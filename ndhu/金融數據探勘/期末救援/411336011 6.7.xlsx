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85A52BC-AE55-48EB-8BE2-62A560D39513}" xr6:coauthVersionLast="47" xr6:coauthVersionMax="47" xr10:uidLastSave="{00000000-0000-0000-0000-000000000000}"/>
  <bookViews>
    <workbookView xWindow="-108" yWindow="-108" windowWidth="23256" windowHeight="12576" activeTab="1" xr2:uid="{1C898E88-26DE-464B-8C05-0EDD7638EC4C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V3" i="1"/>
  <c r="W3" i="1"/>
  <c r="U4" i="1"/>
  <c r="V4" i="1"/>
  <c r="W4" i="1"/>
  <c r="U5" i="1"/>
  <c r="V5" i="1"/>
  <c r="W5" i="1"/>
  <c r="N123" i="1" l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J6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" i="1"/>
  <c r="N12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122" i="1"/>
  <c r="M242" i="1"/>
  <c r="M24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123" i="1"/>
  <c r="M12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122" i="1"/>
  <c r="G62" i="1"/>
  <c r="I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D3" i="1"/>
  <c r="E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3" i="1"/>
</calcChain>
</file>

<file path=xl/sharedStrings.xml><?xml version="1.0" encoding="utf-8"?>
<sst xmlns="http://schemas.openxmlformats.org/spreadsheetml/2006/main" count="57" uniqueCount="53">
  <si>
    <t>Date</t>
  </si>
  <si>
    <t>S0</t>
  </si>
  <si>
    <t>日報酬</t>
    <phoneticPr fontId="1" type="noConversion"/>
  </si>
  <si>
    <t>天數差</t>
    <phoneticPr fontId="1" type="noConversion"/>
  </si>
  <si>
    <t>消除天數差影下的報酬(mu)</t>
    <phoneticPr fontId="1" type="noConversion"/>
  </si>
  <si>
    <t>消除天數差影下的報酬(sigma)</t>
    <phoneticPr fontId="1" type="noConversion"/>
  </si>
  <si>
    <t>3M_Mu</t>
  </si>
  <si>
    <t>3M_Mu</t>
    <phoneticPr fontId="1" type="noConversion"/>
  </si>
  <si>
    <t>3M天數</t>
    <phoneticPr fontId="1" type="noConversion"/>
  </si>
  <si>
    <t>3M_Sigma</t>
  </si>
  <si>
    <t>3M_Downsiderisk</t>
  </si>
  <si>
    <t>3M_Downsiderisk</t>
    <phoneticPr fontId="1" type="noConversion"/>
  </si>
  <si>
    <t>6M_Mu</t>
  </si>
  <si>
    <t>6M_Mu</t>
    <phoneticPr fontId="1" type="noConversion"/>
  </si>
  <si>
    <t>6M天數</t>
    <phoneticPr fontId="1" type="noConversion"/>
  </si>
  <si>
    <t>6M_Sigma</t>
  </si>
  <si>
    <t>6M_Sigma</t>
    <phoneticPr fontId="1" type="noConversion"/>
  </si>
  <si>
    <t>6M_Downsiderisk</t>
  </si>
  <si>
    <t>6M_Downsiderisk</t>
    <phoneticPr fontId="1" type="noConversion"/>
  </si>
  <si>
    <t>五日報酬</t>
  </si>
  <si>
    <t>&gt;=1.015</t>
    <phoneticPr fontId="1" type="noConversion"/>
  </si>
  <si>
    <t>&lt;=0.985</t>
    <phoneticPr fontId="1" type="noConversion"/>
  </si>
  <si>
    <t>max</t>
    <phoneticPr fontId="1" type="noConversion"/>
  </si>
  <si>
    <t>計算3M次數</t>
    <phoneticPr fontId="1" type="noConversion"/>
  </si>
  <si>
    <t>計算6M次數</t>
    <phoneticPr fontId="1" type="noConversion"/>
  </si>
  <si>
    <t>等於一個數</t>
    <phoneticPr fontId="1" type="noConversion"/>
  </si>
  <si>
    <t>等於0個數</t>
    <phoneticPr fontId="1" type="noConversion"/>
  </si>
  <si>
    <t>IV_C0</t>
    <phoneticPr fontId="1" type="noConversion"/>
  </si>
  <si>
    <t>Std_C0</t>
    <phoneticPr fontId="1" type="noConversion"/>
  </si>
  <si>
    <t>IV_P0</t>
    <phoneticPr fontId="1" type="noConversion"/>
  </si>
  <si>
    <t>Std_P0</t>
    <phoneticPr fontId="1" type="noConversion"/>
  </si>
  <si>
    <t>IV_C1</t>
  </si>
  <si>
    <t>Std_C1</t>
  </si>
  <si>
    <t>IV_P1</t>
  </si>
  <si>
    <t>Std_P1</t>
  </si>
  <si>
    <t>IV_C2</t>
  </si>
  <si>
    <t>Std_C2</t>
  </si>
  <si>
    <t>IV_P2</t>
  </si>
  <si>
    <t>Std_P2</t>
  </si>
  <si>
    <t>IV_C3</t>
  </si>
  <si>
    <t>Std_C3</t>
  </si>
  <si>
    <t>IV_P3</t>
  </si>
  <si>
    <t>Std_P3</t>
  </si>
  <si>
    <t>IV_C4</t>
  </si>
  <si>
    <t>Std_C4</t>
  </si>
  <si>
    <t>IV_P4</t>
  </si>
  <si>
    <t>Std_P4</t>
  </si>
  <si>
    <t>Target2 (&gt;=1.015)</t>
  </si>
  <si>
    <t>Target2 (&gt;=1.015)</t>
    <phoneticPr fontId="1" type="noConversion"/>
  </si>
  <si>
    <t>Target3 (&lt;=0.985)</t>
    <phoneticPr fontId="1" type="noConversion"/>
  </si>
  <si>
    <t>Target1 (&gt;=1.015 OR&lt;=0.985)</t>
    <phoneticPr fontId="1" type="noConversion"/>
  </si>
  <si>
    <t>等於1</t>
    <phoneticPr fontId="1" type="noConversion"/>
  </si>
  <si>
    <t>等於0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</si>
</sst>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 "/>
    <numFmt numFmtId="177" formatCode="0.0000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1DB4-D280-4BD4-A131-648C294AECE4}">
  <dimension ref="A1:W243"/>
  <sheetViews>
    <sheetView topLeftCell="G1" workbookViewId="0">
      <selection activeCell="R1" sqref="R1"/>
    </sheetView>
  </sheetViews>
  <sheetFormatPr defaultRowHeight="16.2" x14ac:dyDescent="0.3"/>
  <cols>
    <col min="1" max="1" width="12.21875" customWidth="1"/>
    <col min="3" max="3" width="12.5546875" style="2" bestFit="1" customWidth="1"/>
    <col min="5" max="5" width="28.88671875" style="2" customWidth="1"/>
    <col min="6" max="6" width="32.109375" style="2" customWidth="1"/>
    <col min="7" max="7" width="11.77734375" bestFit="1" customWidth="1"/>
    <col min="9" max="9" width="13.109375" customWidth="1"/>
    <col min="10" max="10" width="16.5546875" customWidth="1"/>
    <col min="11" max="11" width="11.77734375" bestFit="1" customWidth="1"/>
    <col min="13" max="13" width="15.44140625" customWidth="1"/>
    <col min="14" max="14" width="17" customWidth="1"/>
    <col min="15" max="15" width="12.33203125" customWidth="1"/>
    <col min="19" max="19" width="12.88671875" customWidth="1"/>
    <col min="20" max="20" width="13.77734375" customWidth="1"/>
    <col min="21" max="21" width="13.6640625" customWidth="1"/>
  </cols>
  <sheetData>
    <row r="1" spans="1:23" x14ac:dyDescent="0.3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s="2" t="s">
        <v>5</v>
      </c>
      <c r="G1" t="s">
        <v>7</v>
      </c>
      <c r="H1" t="s">
        <v>8</v>
      </c>
      <c r="I1" t="s">
        <v>9</v>
      </c>
      <c r="J1" t="s">
        <v>11</v>
      </c>
      <c r="K1" t="s">
        <v>13</v>
      </c>
      <c r="L1" t="s">
        <v>14</v>
      </c>
      <c r="M1" t="s">
        <v>16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T1" t="s">
        <v>23</v>
      </c>
      <c r="U1" t="s">
        <v>24</v>
      </c>
    </row>
    <row r="2" spans="1:23" x14ac:dyDescent="0.3">
      <c r="A2" s="1">
        <v>45293</v>
      </c>
      <c r="B2">
        <v>17853.759999999998</v>
      </c>
      <c r="O2" s="2">
        <f>B7/B2</f>
        <v>0.98217350294839867</v>
      </c>
      <c r="P2">
        <f>IF(O2&gt;=1.015,1,0)</f>
        <v>0</v>
      </c>
      <c r="Q2">
        <f>IF(O2&lt;=0.985,1,0)</f>
        <v>1</v>
      </c>
      <c r="R2">
        <f>MAX(P2,Q2)</f>
        <v>1</v>
      </c>
      <c r="T2">
        <v>60</v>
      </c>
      <c r="U2">
        <v>120</v>
      </c>
    </row>
    <row r="3" spans="1:23" x14ac:dyDescent="0.3">
      <c r="A3" s="1">
        <v>45294</v>
      </c>
      <c r="B3">
        <v>17559.310000000001</v>
      </c>
      <c r="C3" s="2">
        <f>LN(B3/B2)</f>
        <v>-1.662983671567566E-2</v>
      </c>
      <c r="D3">
        <f>DATEDIF(A2,A3,"d")</f>
        <v>1</v>
      </c>
      <c r="E3" s="2">
        <f>C3/D3</f>
        <v>-1.662983671567566E-2</v>
      </c>
      <c r="F3" s="2">
        <f>C3/SQRT(D3)</f>
        <v>-1.662983671567566E-2</v>
      </c>
      <c r="O3" s="2">
        <f t="shared" ref="O3:O66" si="0">B8/B3</f>
        <v>0.99466493842867398</v>
      </c>
      <c r="P3">
        <f t="shared" ref="P3:P66" si="1">IF(O3&gt;=1.015,1,0)</f>
        <v>0</v>
      </c>
      <c r="Q3">
        <f t="shared" ref="Q3:Q66" si="2">IF(O3&lt;=0.985,1,0)</f>
        <v>0</v>
      </c>
      <c r="R3">
        <f t="shared" ref="R3:R66" si="3">MAX(P3,Q3)</f>
        <v>0</v>
      </c>
      <c r="T3" t="s">
        <v>25</v>
      </c>
      <c r="U3">
        <f>COUNTIF(P2:P978,"=1")</f>
        <v>98</v>
      </c>
      <c r="V3">
        <f>COUNTIF(Q2:Q978,"=1")</f>
        <v>48</v>
      </c>
      <c r="W3">
        <f>COUNTIF(R2:R978,"=1")</f>
        <v>146</v>
      </c>
    </row>
    <row r="4" spans="1:23" x14ac:dyDescent="0.3">
      <c r="A4" s="1">
        <v>45295</v>
      </c>
      <c r="B4">
        <v>17549.650000000001</v>
      </c>
      <c r="C4" s="2">
        <f t="shared" ref="C4:C67" si="4">LN(B4/B3)</f>
        <v>-5.5028689222165895E-4</v>
      </c>
      <c r="D4">
        <f t="shared" ref="D4:D67" si="5">DATEDIF(A3,A4,"d")</f>
        <v>1</v>
      </c>
      <c r="E4" s="2">
        <f t="shared" ref="E4:E67" si="6">C4/D4</f>
        <v>-5.5028689222165895E-4</v>
      </c>
      <c r="F4" s="2">
        <f t="shared" ref="F4:F67" si="7">C4/SQRT(D4)</f>
        <v>-5.5028689222165895E-4</v>
      </c>
      <c r="O4" s="2">
        <f t="shared" si="0"/>
        <v>0.99975327143276349</v>
      </c>
      <c r="P4">
        <f t="shared" si="1"/>
        <v>0</v>
      </c>
      <c r="Q4">
        <f t="shared" si="2"/>
        <v>0</v>
      </c>
      <c r="R4">
        <f t="shared" si="3"/>
        <v>0</v>
      </c>
      <c r="T4" t="s">
        <v>26</v>
      </c>
      <c r="U4">
        <f>COUNTIF(P3:P979,"=0")</f>
        <v>143</v>
      </c>
      <c r="V4">
        <f>COUNTIF(Q2:Q978,"=0")</f>
        <v>194</v>
      </c>
      <c r="W4">
        <f>COUNTIF(R3:R979,"=0")</f>
        <v>96</v>
      </c>
    </row>
    <row r="5" spans="1:23" x14ac:dyDescent="0.3">
      <c r="A5" s="1">
        <v>45296</v>
      </c>
      <c r="B5">
        <v>17519.14</v>
      </c>
      <c r="C5" s="2">
        <f t="shared" si="4"/>
        <v>-1.7400091476070386E-3</v>
      </c>
      <c r="D5">
        <f t="shared" si="5"/>
        <v>1</v>
      </c>
      <c r="E5" s="2">
        <f t="shared" si="6"/>
        <v>-1.7400091476070386E-3</v>
      </c>
      <c r="F5" s="2">
        <f t="shared" si="7"/>
        <v>-1.7400091476070386E-3</v>
      </c>
      <c r="O5" s="2">
        <f t="shared" si="0"/>
        <v>0.99963982250270289</v>
      </c>
      <c r="P5">
        <f t="shared" si="1"/>
        <v>0</v>
      </c>
      <c r="Q5">
        <f t="shared" si="2"/>
        <v>0</v>
      </c>
      <c r="R5">
        <f t="shared" si="3"/>
        <v>0</v>
      </c>
      <c r="U5">
        <f>SUM(U3:U4)</f>
        <v>241</v>
      </c>
      <c r="V5">
        <f>SUM(V3:V4)</f>
        <v>242</v>
      </c>
      <c r="W5">
        <f>SUM(W3:W4)</f>
        <v>242</v>
      </c>
    </row>
    <row r="6" spans="1:23" x14ac:dyDescent="0.3">
      <c r="A6" s="1">
        <v>45299</v>
      </c>
      <c r="B6">
        <v>17572.66</v>
      </c>
      <c r="C6" s="2">
        <f t="shared" si="4"/>
        <v>3.0502876168774238E-3</v>
      </c>
      <c r="D6">
        <f t="shared" si="5"/>
        <v>3</v>
      </c>
      <c r="E6" s="2">
        <f t="shared" si="6"/>
        <v>1.0167625389591413E-3</v>
      </c>
      <c r="F6" s="2">
        <f t="shared" si="7"/>
        <v>1.7610843767099627E-3</v>
      </c>
      <c r="O6" s="2">
        <f t="shared" si="0"/>
        <v>0.99852953394648281</v>
      </c>
      <c r="P6">
        <f t="shared" si="1"/>
        <v>0</v>
      </c>
      <c r="Q6">
        <f t="shared" si="2"/>
        <v>0</v>
      </c>
      <c r="R6">
        <f t="shared" si="3"/>
        <v>0</v>
      </c>
    </row>
    <row r="7" spans="1:23" x14ac:dyDescent="0.3">
      <c r="A7" s="1">
        <v>45300</v>
      </c>
      <c r="B7">
        <v>17535.490000000002</v>
      </c>
      <c r="C7" s="2">
        <f t="shared" si="4"/>
        <v>-2.1174578488490229E-3</v>
      </c>
      <c r="D7">
        <f t="shared" si="5"/>
        <v>1</v>
      </c>
      <c r="E7" s="2">
        <f t="shared" si="6"/>
        <v>-2.1174578488490229E-3</v>
      </c>
      <c r="F7" s="2">
        <f t="shared" si="7"/>
        <v>-2.1174578488490229E-3</v>
      </c>
      <c r="O7" s="2">
        <f t="shared" si="0"/>
        <v>0.98924352841009844</v>
      </c>
      <c r="P7">
        <f t="shared" si="1"/>
        <v>0</v>
      </c>
      <c r="Q7">
        <f t="shared" si="2"/>
        <v>0</v>
      </c>
      <c r="R7">
        <f t="shared" si="3"/>
        <v>0</v>
      </c>
    </row>
    <row r="8" spans="1:23" x14ac:dyDescent="0.3">
      <c r="A8" s="1">
        <v>45301</v>
      </c>
      <c r="B8">
        <v>17465.63</v>
      </c>
      <c r="C8" s="2">
        <f t="shared" si="4"/>
        <v>-3.9918775609887863E-3</v>
      </c>
      <c r="D8">
        <f t="shared" si="5"/>
        <v>1</v>
      </c>
      <c r="E8" s="2">
        <f t="shared" si="6"/>
        <v>-3.9918775609887863E-3</v>
      </c>
      <c r="F8" s="2">
        <f t="shared" si="7"/>
        <v>-3.9918775609887863E-3</v>
      </c>
      <c r="O8" s="2">
        <f t="shared" si="0"/>
        <v>0.98260354765330538</v>
      </c>
      <c r="P8">
        <f t="shared" si="1"/>
        <v>0</v>
      </c>
      <c r="Q8">
        <f t="shared" si="2"/>
        <v>1</v>
      </c>
      <c r="R8">
        <f t="shared" si="3"/>
        <v>1</v>
      </c>
    </row>
    <row r="9" spans="1:23" x14ac:dyDescent="0.3">
      <c r="A9" s="1">
        <v>45302</v>
      </c>
      <c r="B9">
        <v>17545.32</v>
      </c>
      <c r="C9" s="2">
        <f t="shared" si="4"/>
        <v>4.5522979308305657E-3</v>
      </c>
      <c r="D9">
        <f t="shared" si="5"/>
        <v>1</v>
      </c>
      <c r="E9" s="2">
        <f t="shared" si="6"/>
        <v>4.5522979308305657E-3</v>
      </c>
      <c r="F9" s="2">
        <f t="shared" si="7"/>
        <v>4.5522979308305657E-3</v>
      </c>
      <c r="O9" s="2">
        <f t="shared" si="0"/>
        <v>0.98190229645284333</v>
      </c>
      <c r="P9">
        <f t="shared" si="1"/>
        <v>0</v>
      </c>
      <c r="Q9">
        <f t="shared" si="2"/>
        <v>1</v>
      </c>
      <c r="R9">
        <f t="shared" si="3"/>
        <v>1</v>
      </c>
    </row>
    <row r="10" spans="1:23" x14ac:dyDescent="0.3">
      <c r="A10" s="1">
        <v>45303</v>
      </c>
      <c r="B10">
        <v>17512.830000000002</v>
      </c>
      <c r="C10" s="2">
        <f t="shared" si="4"/>
        <v>-1.8534925146612583E-3</v>
      </c>
      <c r="D10">
        <f t="shared" si="5"/>
        <v>1</v>
      </c>
      <c r="E10" s="2">
        <f t="shared" si="6"/>
        <v>-1.8534925146612583E-3</v>
      </c>
      <c r="F10" s="2">
        <f t="shared" si="7"/>
        <v>-1.8534925146612583E-3</v>
      </c>
      <c r="O10" s="2">
        <f t="shared" si="0"/>
        <v>1.0096323666706066</v>
      </c>
      <c r="P10">
        <f t="shared" si="1"/>
        <v>0</v>
      </c>
      <c r="Q10">
        <f t="shared" si="2"/>
        <v>0</v>
      </c>
      <c r="R10">
        <f t="shared" si="3"/>
        <v>0</v>
      </c>
    </row>
    <row r="11" spans="1:23" x14ac:dyDescent="0.3">
      <c r="A11" s="1">
        <v>45306</v>
      </c>
      <c r="B11">
        <v>17546.82</v>
      </c>
      <c r="C11" s="2">
        <f t="shared" si="4"/>
        <v>1.9389817439254766E-3</v>
      </c>
      <c r="D11">
        <f t="shared" si="5"/>
        <v>3</v>
      </c>
      <c r="E11" s="2">
        <f t="shared" si="6"/>
        <v>6.4632724797515889E-4</v>
      </c>
      <c r="F11" s="2">
        <f t="shared" si="7"/>
        <v>1.119471631809144E-3</v>
      </c>
      <c r="O11" s="2">
        <f t="shared" si="0"/>
        <v>1.0152893800700069</v>
      </c>
      <c r="P11">
        <f t="shared" si="1"/>
        <v>1</v>
      </c>
      <c r="Q11">
        <f t="shared" si="2"/>
        <v>0</v>
      </c>
      <c r="R11">
        <f t="shared" si="3"/>
        <v>1</v>
      </c>
    </row>
    <row r="12" spans="1:23" x14ac:dyDescent="0.3">
      <c r="A12" s="1">
        <v>45307</v>
      </c>
      <c r="B12">
        <v>17346.87</v>
      </c>
      <c r="C12" s="2">
        <f t="shared" si="4"/>
        <v>-1.1460650252600743E-2</v>
      </c>
      <c r="D12">
        <f t="shared" si="5"/>
        <v>1</v>
      </c>
      <c r="E12" s="2">
        <f t="shared" si="6"/>
        <v>-1.1460650252600743E-2</v>
      </c>
      <c r="F12" s="2">
        <f t="shared" si="7"/>
        <v>-1.1460650252600743E-2</v>
      </c>
      <c r="O12" s="2">
        <f t="shared" si="0"/>
        <v>1.0304216264951545</v>
      </c>
      <c r="P12">
        <f t="shared" si="1"/>
        <v>1</v>
      </c>
      <c r="Q12">
        <f t="shared" si="2"/>
        <v>0</v>
      </c>
      <c r="R12">
        <f t="shared" si="3"/>
        <v>1</v>
      </c>
    </row>
    <row r="13" spans="1:23" x14ac:dyDescent="0.3">
      <c r="A13" s="1">
        <v>45308</v>
      </c>
      <c r="B13">
        <v>17161.79</v>
      </c>
      <c r="C13" s="2">
        <f t="shared" si="4"/>
        <v>-1.0726685686020311E-2</v>
      </c>
      <c r="D13">
        <f t="shared" si="5"/>
        <v>1</v>
      </c>
      <c r="E13" s="2">
        <f t="shared" si="6"/>
        <v>-1.0726685686020311E-2</v>
      </c>
      <c r="F13" s="2">
        <f t="shared" si="7"/>
        <v>-1.0726685686020311E-2</v>
      </c>
      <c r="O13" s="2">
        <f t="shared" si="0"/>
        <v>1.0416063825510042</v>
      </c>
      <c r="P13">
        <f t="shared" si="1"/>
        <v>1</v>
      </c>
      <c r="Q13">
        <f t="shared" si="2"/>
        <v>0</v>
      </c>
      <c r="R13">
        <f t="shared" si="3"/>
        <v>1</v>
      </c>
    </row>
    <row r="14" spans="1:23" x14ac:dyDescent="0.3">
      <c r="A14" s="1">
        <v>45309</v>
      </c>
      <c r="B14">
        <v>17227.79</v>
      </c>
      <c r="C14" s="2">
        <f t="shared" si="4"/>
        <v>3.8383766845785229E-3</v>
      </c>
      <c r="D14">
        <f t="shared" si="5"/>
        <v>1</v>
      </c>
      <c r="E14" s="2">
        <f t="shared" si="6"/>
        <v>3.8383766845785229E-3</v>
      </c>
      <c r="F14" s="2">
        <f t="shared" si="7"/>
        <v>3.8383766845785229E-3</v>
      </c>
      <c r="O14" s="2">
        <f t="shared" si="0"/>
        <v>1.0449755888596273</v>
      </c>
      <c r="P14">
        <f t="shared" si="1"/>
        <v>1</v>
      </c>
      <c r="Q14">
        <f t="shared" si="2"/>
        <v>0</v>
      </c>
      <c r="R14">
        <f t="shared" si="3"/>
        <v>1</v>
      </c>
    </row>
    <row r="15" spans="1:23" x14ac:dyDescent="0.3">
      <c r="A15" s="1">
        <v>45310</v>
      </c>
      <c r="B15">
        <v>17681.52</v>
      </c>
      <c r="C15" s="2">
        <f t="shared" si="4"/>
        <v>2.5996248706170545E-2</v>
      </c>
      <c r="D15">
        <f t="shared" si="5"/>
        <v>1</v>
      </c>
      <c r="E15" s="2">
        <f t="shared" si="6"/>
        <v>2.5996248706170545E-2</v>
      </c>
      <c r="F15" s="2">
        <f t="shared" si="7"/>
        <v>2.5996248706170545E-2</v>
      </c>
      <c r="O15" s="2">
        <f t="shared" si="0"/>
        <v>1.0177309416837466</v>
      </c>
      <c r="P15">
        <f t="shared" si="1"/>
        <v>1</v>
      </c>
      <c r="Q15">
        <f t="shared" si="2"/>
        <v>0</v>
      </c>
      <c r="R15">
        <f t="shared" si="3"/>
        <v>1</v>
      </c>
    </row>
    <row r="16" spans="1:23" x14ac:dyDescent="0.3">
      <c r="A16" s="1">
        <v>45313</v>
      </c>
      <c r="B16">
        <v>17815.099999999999</v>
      </c>
      <c r="C16" s="2">
        <f t="shared" si="4"/>
        <v>7.5263859245862054E-3</v>
      </c>
      <c r="D16">
        <f t="shared" si="5"/>
        <v>3</v>
      </c>
      <c r="E16" s="2">
        <f t="shared" si="6"/>
        <v>2.5087953081954018E-3</v>
      </c>
      <c r="F16" s="2">
        <f t="shared" si="7"/>
        <v>4.3453609395848565E-3</v>
      </c>
      <c r="O16" s="2">
        <f t="shared" si="0"/>
        <v>1.0170939259392315</v>
      </c>
      <c r="P16">
        <f t="shared" si="1"/>
        <v>1</v>
      </c>
      <c r="Q16">
        <f t="shared" si="2"/>
        <v>0</v>
      </c>
      <c r="R16">
        <f t="shared" si="3"/>
        <v>1</v>
      </c>
    </row>
    <row r="17" spans="1:18" x14ac:dyDescent="0.3">
      <c r="A17" s="1">
        <v>45314</v>
      </c>
      <c r="B17">
        <v>17874.59</v>
      </c>
      <c r="C17" s="2">
        <f t="shared" si="4"/>
        <v>3.3337389647671504E-3</v>
      </c>
      <c r="D17">
        <f t="shared" si="5"/>
        <v>1</v>
      </c>
      <c r="E17" s="2">
        <f t="shared" si="6"/>
        <v>3.3337389647671504E-3</v>
      </c>
      <c r="F17" s="2">
        <f t="shared" si="7"/>
        <v>3.3337389647671504E-3</v>
      </c>
      <c r="O17" s="2">
        <f t="shared" si="0"/>
        <v>1.0089534920800982</v>
      </c>
      <c r="P17">
        <f t="shared" si="1"/>
        <v>0</v>
      </c>
      <c r="Q17">
        <f t="shared" si="2"/>
        <v>0</v>
      </c>
      <c r="R17">
        <f t="shared" si="3"/>
        <v>0</v>
      </c>
    </row>
    <row r="18" spans="1:18" x14ac:dyDescent="0.3">
      <c r="A18" s="1">
        <v>45315</v>
      </c>
      <c r="B18">
        <v>17875.830000000002</v>
      </c>
      <c r="C18" s="2">
        <f t="shared" si="4"/>
        <v>6.9369814424585652E-5</v>
      </c>
      <c r="D18">
        <f t="shared" si="5"/>
        <v>1</v>
      </c>
      <c r="E18" s="2">
        <f t="shared" si="6"/>
        <v>6.9369814424585652E-5</v>
      </c>
      <c r="F18" s="2">
        <f t="shared" si="7"/>
        <v>6.9369814424585652E-5</v>
      </c>
      <c r="O18" s="2">
        <f t="shared" si="0"/>
        <v>1.0007680762235935</v>
      </c>
      <c r="P18">
        <f t="shared" si="1"/>
        <v>0</v>
      </c>
      <c r="Q18">
        <f t="shared" si="2"/>
        <v>0</v>
      </c>
      <c r="R18">
        <f t="shared" si="3"/>
        <v>0</v>
      </c>
    </row>
    <row r="19" spans="1:18" x14ac:dyDescent="0.3">
      <c r="A19" s="1">
        <v>45316</v>
      </c>
      <c r="B19">
        <v>18002.62</v>
      </c>
      <c r="C19" s="2">
        <f t="shared" si="4"/>
        <v>7.067781791037865E-3</v>
      </c>
      <c r="D19">
        <f t="shared" si="5"/>
        <v>1</v>
      </c>
      <c r="E19" s="2">
        <f t="shared" si="6"/>
        <v>7.067781791037865E-3</v>
      </c>
      <c r="F19" s="2">
        <f t="shared" si="7"/>
        <v>7.067781791037865E-3</v>
      </c>
      <c r="O19" s="2">
        <f t="shared" si="0"/>
        <v>0.99808305679951037</v>
      </c>
      <c r="P19">
        <f t="shared" si="1"/>
        <v>0</v>
      </c>
      <c r="Q19">
        <f t="shared" si="2"/>
        <v>0</v>
      </c>
      <c r="R19">
        <f t="shared" si="3"/>
        <v>0</v>
      </c>
    </row>
    <row r="20" spans="1:18" x14ac:dyDescent="0.3">
      <c r="A20" s="1">
        <v>45317</v>
      </c>
      <c r="B20">
        <v>17995.03</v>
      </c>
      <c r="C20" s="2">
        <f t="shared" si="4"/>
        <v>-4.2169420017557199E-4</v>
      </c>
      <c r="D20">
        <f t="shared" si="5"/>
        <v>1</v>
      </c>
      <c r="E20" s="2">
        <f t="shared" si="6"/>
        <v>-4.2169420017557199E-4</v>
      </c>
      <c r="F20" s="2">
        <f t="shared" si="7"/>
        <v>-4.2169420017557199E-4</v>
      </c>
      <c r="O20" s="2">
        <f t="shared" si="0"/>
        <v>1.0036065513644601</v>
      </c>
      <c r="P20">
        <f t="shared" si="1"/>
        <v>0</v>
      </c>
      <c r="Q20">
        <f t="shared" si="2"/>
        <v>0</v>
      </c>
      <c r="R20">
        <f t="shared" si="3"/>
        <v>0</v>
      </c>
    </row>
    <row r="21" spans="1:18" x14ac:dyDescent="0.3">
      <c r="A21" s="1">
        <v>45320</v>
      </c>
      <c r="B21">
        <v>18119.63</v>
      </c>
      <c r="C21" s="2">
        <f t="shared" si="4"/>
        <v>6.9002723209427748E-3</v>
      </c>
      <c r="D21">
        <f t="shared" si="5"/>
        <v>3</v>
      </c>
      <c r="E21" s="2">
        <f t="shared" si="6"/>
        <v>2.3000907736475916E-3</v>
      </c>
      <c r="F21" s="2">
        <f t="shared" si="7"/>
        <v>3.9838740819780347E-3</v>
      </c>
      <c r="O21" s="2">
        <f t="shared" si="0"/>
        <v>0.99869975269914446</v>
      </c>
      <c r="P21">
        <f t="shared" si="1"/>
        <v>0</v>
      </c>
      <c r="Q21">
        <f t="shared" si="2"/>
        <v>0</v>
      </c>
      <c r="R21">
        <f t="shared" si="3"/>
        <v>0</v>
      </c>
    </row>
    <row r="22" spans="1:18" x14ac:dyDescent="0.3">
      <c r="A22" s="1">
        <v>45321</v>
      </c>
      <c r="B22">
        <v>18034.63</v>
      </c>
      <c r="C22" s="2">
        <f t="shared" si="4"/>
        <v>-4.7020824992388679E-3</v>
      </c>
      <c r="D22">
        <f t="shared" si="5"/>
        <v>1</v>
      </c>
      <c r="E22" s="2">
        <f t="shared" si="6"/>
        <v>-4.7020824992388679E-3</v>
      </c>
      <c r="F22" s="2">
        <f t="shared" si="7"/>
        <v>-4.7020824992388679E-3</v>
      </c>
      <c r="O22" s="2">
        <f t="shared" si="0"/>
        <v>1.0338204886931419</v>
      </c>
      <c r="P22">
        <f t="shared" si="1"/>
        <v>1</v>
      </c>
      <c r="Q22">
        <f t="shared" si="2"/>
        <v>0</v>
      </c>
      <c r="R22">
        <f t="shared" si="3"/>
        <v>1</v>
      </c>
    </row>
    <row r="23" spans="1:18" x14ac:dyDescent="0.3">
      <c r="A23" s="1">
        <v>45322</v>
      </c>
      <c r="B23">
        <v>17889.560000000001</v>
      </c>
      <c r="C23" s="2">
        <f t="shared" si="4"/>
        <v>-8.0764960085624189E-3</v>
      </c>
      <c r="D23">
        <f t="shared" si="5"/>
        <v>1</v>
      </c>
      <c r="E23" s="2">
        <f t="shared" si="6"/>
        <v>-8.0764960085624189E-3</v>
      </c>
      <c r="F23" s="2">
        <f t="shared" si="7"/>
        <v>-8.0764960085624189E-3</v>
      </c>
      <c r="O23" s="2">
        <f t="shared" si="0"/>
        <v>1.0401178117292991</v>
      </c>
      <c r="P23">
        <f t="shared" si="1"/>
        <v>1</v>
      </c>
      <c r="Q23">
        <f t="shared" si="2"/>
        <v>0</v>
      </c>
      <c r="R23">
        <f t="shared" si="3"/>
        <v>1</v>
      </c>
    </row>
    <row r="24" spans="1:18" x14ac:dyDescent="0.3">
      <c r="A24" s="1">
        <v>45323</v>
      </c>
      <c r="B24">
        <v>17968.11</v>
      </c>
      <c r="C24" s="2">
        <f t="shared" si="4"/>
        <v>4.3812174995010687E-3</v>
      </c>
      <c r="D24">
        <f t="shared" si="5"/>
        <v>1</v>
      </c>
      <c r="E24" s="2">
        <f t="shared" si="6"/>
        <v>4.3812174995010687E-3</v>
      </c>
      <c r="F24" s="2">
        <f t="shared" si="7"/>
        <v>4.3812174995010687E-3</v>
      </c>
      <c r="O24" s="2">
        <f t="shared" si="0"/>
        <v>1.0371597235324137</v>
      </c>
      <c r="P24">
        <f t="shared" si="1"/>
        <v>1</v>
      </c>
      <c r="Q24">
        <f t="shared" si="2"/>
        <v>0</v>
      </c>
      <c r="R24">
        <f t="shared" si="3"/>
        <v>1</v>
      </c>
    </row>
    <row r="25" spans="1:18" x14ac:dyDescent="0.3">
      <c r="A25" s="1">
        <v>45324</v>
      </c>
      <c r="B25">
        <v>18059.93</v>
      </c>
      <c r="C25" s="2">
        <f t="shared" si="4"/>
        <v>5.0971520403302736E-3</v>
      </c>
      <c r="D25">
        <f t="shared" si="5"/>
        <v>1</v>
      </c>
      <c r="E25" s="2">
        <f t="shared" si="6"/>
        <v>5.0971520403302736E-3</v>
      </c>
      <c r="F25" s="2">
        <f t="shared" si="7"/>
        <v>5.0971520403302736E-3</v>
      </c>
      <c r="O25" s="2">
        <f t="shared" si="0"/>
        <v>1.0383849771289257</v>
      </c>
      <c r="P25">
        <f t="shared" si="1"/>
        <v>1</v>
      </c>
      <c r="Q25">
        <f t="shared" si="2"/>
        <v>0</v>
      </c>
      <c r="R25">
        <f t="shared" si="3"/>
        <v>1</v>
      </c>
    </row>
    <row r="26" spans="1:18" x14ac:dyDescent="0.3">
      <c r="A26" s="1">
        <v>45327</v>
      </c>
      <c r="B26">
        <v>18096.07</v>
      </c>
      <c r="C26" s="2">
        <f t="shared" si="4"/>
        <v>1.9991156121260396E-3</v>
      </c>
      <c r="D26">
        <f t="shared" si="5"/>
        <v>3</v>
      </c>
      <c r="E26" s="2">
        <f t="shared" si="6"/>
        <v>6.6637187070867987E-4</v>
      </c>
      <c r="F26" s="2">
        <f t="shared" si="7"/>
        <v>1.1541899368021525E-3</v>
      </c>
      <c r="O26" s="2">
        <f t="shared" si="0"/>
        <v>1.0320644206172944</v>
      </c>
      <c r="P26">
        <f t="shared" si="1"/>
        <v>1</v>
      </c>
      <c r="Q26">
        <f t="shared" si="2"/>
        <v>0</v>
      </c>
      <c r="R26">
        <f t="shared" si="3"/>
        <v>1</v>
      </c>
    </row>
    <row r="27" spans="1:18" x14ac:dyDescent="0.3">
      <c r="A27" s="1">
        <v>45337</v>
      </c>
      <c r="B27">
        <v>18644.57</v>
      </c>
      <c r="C27" s="2">
        <f t="shared" si="4"/>
        <v>2.9860163257139867E-2</v>
      </c>
      <c r="D27">
        <f t="shared" si="5"/>
        <v>10</v>
      </c>
      <c r="E27" s="2">
        <f t="shared" si="6"/>
        <v>2.9860163257139868E-3</v>
      </c>
      <c r="F27" s="2">
        <f t="shared" si="7"/>
        <v>9.4426127197034058E-3</v>
      </c>
      <c r="O27" s="2">
        <f t="shared" si="0"/>
        <v>1.0111673264655607</v>
      </c>
      <c r="P27">
        <f t="shared" si="1"/>
        <v>0</v>
      </c>
      <c r="Q27">
        <f t="shared" si="2"/>
        <v>0</v>
      </c>
      <c r="R27">
        <f t="shared" si="3"/>
        <v>0</v>
      </c>
    </row>
    <row r="28" spans="1:18" x14ac:dyDescent="0.3">
      <c r="A28" s="1">
        <v>45338</v>
      </c>
      <c r="B28">
        <v>18607.25</v>
      </c>
      <c r="C28" s="2">
        <f t="shared" si="4"/>
        <v>-2.003661162626937E-3</v>
      </c>
      <c r="D28">
        <f t="shared" si="5"/>
        <v>1</v>
      </c>
      <c r="E28" s="2">
        <f t="shared" si="6"/>
        <v>-2.003661162626937E-3</v>
      </c>
      <c r="F28" s="2">
        <f t="shared" si="7"/>
        <v>-2.003661162626937E-3</v>
      </c>
      <c r="O28" s="2">
        <f t="shared" si="0"/>
        <v>1.0151521584328689</v>
      </c>
      <c r="P28">
        <f t="shared" si="1"/>
        <v>1</v>
      </c>
      <c r="Q28">
        <f t="shared" si="2"/>
        <v>0</v>
      </c>
      <c r="R28">
        <f t="shared" si="3"/>
        <v>1</v>
      </c>
    </row>
    <row r="29" spans="1:18" x14ac:dyDescent="0.3">
      <c r="A29" s="1">
        <v>45341</v>
      </c>
      <c r="B29">
        <v>18635.8</v>
      </c>
      <c r="C29" s="2">
        <f t="shared" si="4"/>
        <v>1.5331722612681074E-3</v>
      </c>
      <c r="D29">
        <f t="shared" si="5"/>
        <v>3</v>
      </c>
      <c r="E29" s="2">
        <f t="shared" si="6"/>
        <v>5.1105742042270249E-4</v>
      </c>
      <c r="F29" s="2">
        <f t="shared" si="7"/>
        <v>8.8517741775720905E-4</v>
      </c>
      <c r="O29" s="2">
        <f t="shared" si="0"/>
        <v>1.0167553847970037</v>
      </c>
      <c r="P29">
        <f t="shared" si="1"/>
        <v>1</v>
      </c>
      <c r="Q29">
        <f t="shared" si="2"/>
        <v>0</v>
      </c>
      <c r="R29">
        <f t="shared" si="3"/>
        <v>1</v>
      </c>
    </row>
    <row r="30" spans="1:18" x14ac:dyDescent="0.3">
      <c r="A30" s="1">
        <v>45342</v>
      </c>
      <c r="B30">
        <v>18753.16</v>
      </c>
      <c r="C30" s="2">
        <f t="shared" si="4"/>
        <v>6.2778095693638699E-3</v>
      </c>
      <c r="D30">
        <f t="shared" si="5"/>
        <v>1</v>
      </c>
      <c r="E30" s="2">
        <f t="shared" si="6"/>
        <v>6.2778095693638699E-3</v>
      </c>
      <c r="F30" s="2">
        <f t="shared" si="7"/>
        <v>6.2778095693638699E-3</v>
      </c>
      <c r="O30" s="2">
        <f t="shared" si="0"/>
        <v>1.0053990900733529</v>
      </c>
      <c r="P30">
        <f t="shared" si="1"/>
        <v>0</v>
      </c>
      <c r="Q30">
        <f t="shared" si="2"/>
        <v>0</v>
      </c>
      <c r="R30">
        <f t="shared" si="3"/>
        <v>0</v>
      </c>
    </row>
    <row r="31" spans="1:18" x14ac:dyDescent="0.3">
      <c r="A31" s="1">
        <v>45343</v>
      </c>
      <c r="B31">
        <v>18676.310000000001</v>
      </c>
      <c r="C31" s="2">
        <f t="shared" si="4"/>
        <v>-4.1063957352395694E-3</v>
      </c>
      <c r="D31">
        <f t="shared" si="5"/>
        <v>1</v>
      </c>
      <c r="E31" s="2">
        <f t="shared" si="6"/>
        <v>-4.1063957352395694E-3</v>
      </c>
      <c r="F31" s="2">
        <f t="shared" si="7"/>
        <v>-4.1063957352395694E-3</v>
      </c>
      <c r="O31" s="2">
        <f t="shared" si="0"/>
        <v>1.0155523227018612</v>
      </c>
      <c r="P31">
        <f t="shared" si="1"/>
        <v>1</v>
      </c>
      <c r="Q31">
        <f t="shared" si="2"/>
        <v>0</v>
      </c>
      <c r="R31">
        <f t="shared" si="3"/>
        <v>1</v>
      </c>
    </row>
    <row r="32" spans="1:18" x14ac:dyDescent="0.3">
      <c r="A32" s="1">
        <v>45344</v>
      </c>
      <c r="B32">
        <v>18852.78</v>
      </c>
      <c r="C32" s="2">
        <f t="shared" si="4"/>
        <v>9.4045073116319784E-3</v>
      </c>
      <c r="D32">
        <f t="shared" si="5"/>
        <v>1</v>
      </c>
      <c r="E32" s="2">
        <f t="shared" si="6"/>
        <v>9.4045073116319784E-3</v>
      </c>
      <c r="F32" s="2">
        <f t="shared" si="7"/>
        <v>9.4045073116319784E-3</v>
      </c>
      <c r="O32" s="2">
        <f t="shared" si="0"/>
        <v>1.004410490124003</v>
      </c>
      <c r="P32">
        <f t="shared" si="1"/>
        <v>0</v>
      </c>
      <c r="Q32">
        <f t="shared" si="2"/>
        <v>0</v>
      </c>
      <c r="R32">
        <f t="shared" si="3"/>
        <v>0</v>
      </c>
    </row>
    <row r="33" spans="1:18" x14ac:dyDescent="0.3">
      <c r="A33" s="1">
        <v>45345</v>
      </c>
      <c r="B33">
        <v>18889.189999999999</v>
      </c>
      <c r="C33" s="2">
        <f t="shared" si="4"/>
        <v>1.9294176374548798E-3</v>
      </c>
      <c r="D33">
        <f t="shared" si="5"/>
        <v>1</v>
      </c>
      <c r="E33" s="2">
        <f t="shared" si="6"/>
        <v>1.9294176374548798E-3</v>
      </c>
      <c r="F33" s="2">
        <f t="shared" si="7"/>
        <v>1.9294176374548798E-3</v>
      </c>
      <c r="O33" s="2">
        <f t="shared" si="0"/>
        <v>1.0220295311762972</v>
      </c>
      <c r="P33">
        <f t="shared" si="1"/>
        <v>1</v>
      </c>
      <c r="Q33">
        <f t="shared" si="2"/>
        <v>0</v>
      </c>
      <c r="R33">
        <f t="shared" si="3"/>
        <v>1</v>
      </c>
    </row>
    <row r="34" spans="1:18" x14ac:dyDescent="0.3">
      <c r="A34" s="1">
        <v>45348</v>
      </c>
      <c r="B34">
        <v>18948.05</v>
      </c>
      <c r="C34" s="2">
        <f t="shared" si="4"/>
        <v>3.1112230954987983E-3</v>
      </c>
      <c r="D34">
        <f t="shared" si="5"/>
        <v>3</v>
      </c>
      <c r="E34" s="2">
        <f t="shared" si="6"/>
        <v>1.0370743651662662E-3</v>
      </c>
      <c r="F34" s="2">
        <f t="shared" si="7"/>
        <v>1.7962654916952121E-3</v>
      </c>
      <c r="O34" s="2">
        <f t="shared" si="0"/>
        <v>1.0231617501537098</v>
      </c>
      <c r="P34">
        <f t="shared" si="1"/>
        <v>1</v>
      </c>
      <c r="Q34">
        <f t="shared" si="2"/>
        <v>0</v>
      </c>
      <c r="R34">
        <f t="shared" si="3"/>
        <v>1</v>
      </c>
    </row>
    <row r="35" spans="1:18" x14ac:dyDescent="0.3">
      <c r="A35" s="1">
        <v>45349</v>
      </c>
      <c r="B35">
        <v>18854.41</v>
      </c>
      <c r="C35" s="2">
        <f t="shared" si="4"/>
        <v>-4.954185072851963E-3</v>
      </c>
      <c r="D35">
        <f t="shared" si="5"/>
        <v>1</v>
      </c>
      <c r="E35" s="2">
        <f t="shared" si="6"/>
        <v>-4.954185072851963E-3</v>
      </c>
      <c r="F35" s="2">
        <f t="shared" si="7"/>
        <v>-4.954185072851963E-3</v>
      </c>
      <c r="O35" s="2">
        <f t="shared" si="0"/>
        <v>1.0342116247604671</v>
      </c>
      <c r="P35">
        <f t="shared" si="1"/>
        <v>1</v>
      </c>
      <c r="Q35">
        <f t="shared" si="2"/>
        <v>0</v>
      </c>
      <c r="R35">
        <f t="shared" si="3"/>
        <v>1</v>
      </c>
    </row>
    <row r="36" spans="1:18" x14ac:dyDescent="0.3">
      <c r="A36" s="1">
        <v>45351</v>
      </c>
      <c r="B36">
        <v>18966.77</v>
      </c>
      <c r="C36" s="2">
        <f t="shared" si="4"/>
        <v>5.9416618178911914E-3</v>
      </c>
      <c r="D36">
        <f t="shared" si="5"/>
        <v>2</v>
      </c>
      <c r="E36" s="2">
        <f t="shared" si="6"/>
        <v>2.9708309089455957E-3</v>
      </c>
      <c r="F36" s="2">
        <f t="shared" si="7"/>
        <v>4.2013893629480508E-3</v>
      </c>
      <c r="O36" s="2">
        <f t="shared" si="0"/>
        <v>1.0383170144415734</v>
      </c>
      <c r="P36">
        <f t="shared" si="1"/>
        <v>1</v>
      </c>
      <c r="Q36">
        <f t="shared" si="2"/>
        <v>0</v>
      </c>
      <c r="R36">
        <f t="shared" si="3"/>
        <v>1</v>
      </c>
    </row>
    <row r="37" spans="1:18" x14ac:dyDescent="0.3">
      <c r="A37" s="1">
        <v>45352</v>
      </c>
      <c r="B37">
        <v>18935.93</v>
      </c>
      <c r="C37" s="2">
        <f t="shared" si="4"/>
        <v>-1.6273250615834907E-3</v>
      </c>
      <c r="D37">
        <f t="shared" si="5"/>
        <v>1</v>
      </c>
      <c r="E37" s="2">
        <f t="shared" si="6"/>
        <v>-1.6273250615834907E-3</v>
      </c>
      <c r="F37" s="2">
        <f t="shared" si="7"/>
        <v>-1.6273250615834907E-3</v>
      </c>
      <c r="O37" s="2">
        <f t="shared" si="0"/>
        <v>1.0448559959822412</v>
      </c>
      <c r="P37">
        <f t="shared" si="1"/>
        <v>1</v>
      </c>
      <c r="Q37">
        <f t="shared" si="2"/>
        <v>0</v>
      </c>
      <c r="R37">
        <f t="shared" si="3"/>
        <v>1</v>
      </c>
    </row>
    <row r="38" spans="1:18" x14ac:dyDescent="0.3">
      <c r="A38" s="1">
        <v>45355</v>
      </c>
      <c r="B38">
        <v>19305.310000000001</v>
      </c>
      <c r="C38" s="2">
        <f t="shared" si="4"/>
        <v>1.9319012060920959E-2</v>
      </c>
      <c r="D38">
        <f t="shared" si="5"/>
        <v>3</v>
      </c>
      <c r="E38" s="2">
        <f t="shared" si="6"/>
        <v>6.4396706869736531E-3</v>
      </c>
      <c r="F38" s="2">
        <f t="shared" si="7"/>
        <v>1.1153836813850343E-2</v>
      </c>
      <c r="O38" s="2">
        <f t="shared" si="0"/>
        <v>1.0217955578024907</v>
      </c>
      <c r="P38">
        <f t="shared" si="1"/>
        <v>1</v>
      </c>
      <c r="Q38">
        <f t="shared" si="2"/>
        <v>0</v>
      </c>
      <c r="R38">
        <f t="shared" si="3"/>
        <v>1</v>
      </c>
    </row>
    <row r="39" spans="1:18" x14ac:dyDescent="0.3">
      <c r="A39" s="1">
        <v>45356</v>
      </c>
      <c r="B39">
        <v>19386.919999999998</v>
      </c>
      <c r="C39" s="2">
        <f t="shared" si="4"/>
        <v>4.2184242687224203E-3</v>
      </c>
      <c r="D39">
        <f t="shared" si="5"/>
        <v>1</v>
      </c>
      <c r="E39" s="2">
        <f t="shared" si="6"/>
        <v>4.2184242687224203E-3</v>
      </c>
      <c r="F39" s="2">
        <f t="shared" si="7"/>
        <v>4.2184242687224203E-3</v>
      </c>
      <c r="O39" s="2">
        <f t="shared" si="0"/>
        <v>1.0272157722835809</v>
      </c>
      <c r="P39">
        <f t="shared" si="1"/>
        <v>1</v>
      </c>
      <c r="Q39">
        <f t="shared" si="2"/>
        <v>0</v>
      </c>
      <c r="R39">
        <f t="shared" si="3"/>
        <v>1</v>
      </c>
    </row>
    <row r="40" spans="1:18" x14ac:dyDescent="0.3">
      <c r="A40" s="1">
        <v>45357</v>
      </c>
      <c r="B40">
        <v>19499.45</v>
      </c>
      <c r="C40" s="2">
        <f t="shared" si="4"/>
        <v>5.7876481716723832E-3</v>
      </c>
      <c r="D40">
        <f t="shared" si="5"/>
        <v>1</v>
      </c>
      <c r="E40" s="2">
        <f t="shared" si="6"/>
        <v>5.7876481716723832E-3</v>
      </c>
      <c r="F40" s="2">
        <f t="shared" si="7"/>
        <v>5.7876481716723832E-3</v>
      </c>
      <c r="O40" s="2">
        <f t="shared" si="0"/>
        <v>1.0220036975401869</v>
      </c>
      <c r="P40">
        <f t="shared" si="1"/>
        <v>1</v>
      </c>
      <c r="Q40">
        <f t="shared" si="2"/>
        <v>0</v>
      </c>
      <c r="R40">
        <f t="shared" si="3"/>
        <v>1</v>
      </c>
    </row>
    <row r="41" spans="1:18" x14ac:dyDescent="0.3">
      <c r="A41" s="1">
        <v>45358</v>
      </c>
      <c r="B41">
        <v>19693.52</v>
      </c>
      <c r="C41" s="2">
        <f t="shared" si="4"/>
        <v>9.9033875794088712E-3</v>
      </c>
      <c r="D41">
        <f t="shared" si="5"/>
        <v>1</v>
      </c>
      <c r="E41" s="2">
        <f t="shared" si="6"/>
        <v>9.9033875794088712E-3</v>
      </c>
      <c r="F41" s="2">
        <f t="shared" si="7"/>
        <v>9.9033875794088712E-3</v>
      </c>
      <c r="O41" s="2">
        <f t="shared" si="0"/>
        <v>1.0124101734986939</v>
      </c>
      <c r="P41">
        <f t="shared" si="1"/>
        <v>0</v>
      </c>
      <c r="Q41">
        <f t="shared" si="2"/>
        <v>0</v>
      </c>
      <c r="R41">
        <f t="shared" si="3"/>
        <v>0</v>
      </c>
    </row>
    <row r="42" spans="1:18" x14ac:dyDescent="0.3">
      <c r="A42" s="1">
        <v>45359</v>
      </c>
      <c r="B42">
        <v>19785.32</v>
      </c>
      <c r="C42" s="2">
        <f t="shared" si="4"/>
        <v>4.6506009525518997E-3</v>
      </c>
      <c r="D42">
        <f t="shared" si="5"/>
        <v>1</v>
      </c>
      <c r="E42" s="2">
        <f t="shared" si="6"/>
        <v>4.6506009525518997E-3</v>
      </c>
      <c r="F42" s="2">
        <f t="shared" si="7"/>
        <v>4.6506009525518997E-3</v>
      </c>
      <c r="O42" s="2">
        <f t="shared" si="0"/>
        <v>0.99480321773921276</v>
      </c>
      <c r="P42">
        <f t="shared" si="1"/>
        <v>0</v>
      </c>
      <c r="Q42">
        <f t="shared" si="2"/>
        <v>0</v>
      </c>
      <c r="R42">
        <f t="shared" si="3"/>
        <v>0</v>
      </c>
    </row>
    <row r="43" spans="1:18" x14ac:dyDescent="0.3">
      <c r="A43" s="1">
        <v>45362</v>
      </c>
      <c r="B43">
        <v>19726.080000000002</v>
      </c>
      <c r="C43" s="2">
        <f t="shared" si="4"/>
        <v>-2.9986304909183845E-3</v>
      </c>
      <c r="D43">
        <f t="shared" si="5"/>
        <v>3</v>
      </c>
      <c r="E43" s="2">
        <f t="shared" si="6"/>
        <v>-9.9954349697279482E-4</v>
      </c>
      <c r="F43" s="2">
        <f t="shared" si="7"/>
        <v>-1.731260121131949E-3</v>
      </c>
      <c r="O43" s="2">
        <f t="shared" si="0"/>
        <v>1.0077952639348515</v>
      </c>
      <c r="P43">
        <f t="shared" si="1"/>
        <v>0</v>
      </c>
      <c r="Q43">
        <f t="shared" si="2"/>
        <v>0</v>
      </c>
      <c r="R43">
        <f t="shared" si="3"/>
        <v>0</v>
      </c>
    </row>
    <row r="44" spans="1:18" x14ac:dyDescent="0.3">
      <c r="A44" s="1">
        <v>45363</v>
      </c>
      <c r="B44">
        <v>19914.55</v>
      </c>
      <c r="C44" s="2">
        <f t="shared" si="4"/>
        <v>9.5090022604061002E-3</v>
      </c>
      <c r="D44">
        <f t="shared" si="5"/>
        <v>1</v>
      </c>
      <c r="E44" s="2">
        <f t="shared" si="6"/>
        <v>9.5090022604061002E-3</v>
      </c>
      <c r="F44" s="2">
        <f t="shared" si="7"/>
        <v>9.5090022604061002E-3</v>
      </c>
      <c r="O44" s="2">
        <f t="shared" si="0"/>
        <v>0.99712019603757063</v>
      </c>
      <c r="P44">
        <f t="shared" si="1"/>
        <v>0</v>
      </c>
      <c r="Q44">
        <f t="shared" si="2"/>
        <v>0</v>
      </c>
      <c r="R44">
        <f t="shared" si="3"/>
        <v>0</v>
      </c>
    </row>
    <row r="45" spans="1:18" x14ac:dyDescent="0.3">
      <c r="A45" s="1">
        <v>45364</v>
      </c>
      <c r="B45">
        <v>19928.509999999998</v>
      </c>
      <c r="C45" s="2">
        <f t="shared" si="4"/>
        <v>7.0074941890772131E-4</v>
      </c>
      <c r="D45">
        <f t="shared" si="5"/>
        <v>1</v>
      </c>
      <c r="E45" s="2">
        <f t="shared" si="6"/>
        <v>7.0074941890772131E-4</v>
      </c>
      <c r="F45" s="2">
        <f t="shared" si="7"/>
        <v>7.0074941890772131E-4</v>
      </c>
      <c r="O45" s="2">
        <f t="shared" si="0"/>
        <v>0.99277116051325476</v>
      </c>
      <c r="P45">
        <f t="shared" si="1"/>
        <v>0</v>
      </c>
      <c r="Q45">
        <f t="shared" si="2"/>
        <v>0</v>
      </c>
      <c r="R45">
        <f t="shared" si="3"/>
        <v>0</v>
      </c>
    </row>
    <row r="46" spans="1:18" x14ac:dyDescent="0.3">
      <c r="A46" s="1">
        <v>45365</v>
      </c>
      <c r="B46">
        <v>19937.919999999998</v>
      </c>
      <c r="C46" s="2">
        <f t="shared" si="4"/>
        <v>4.7207638982252353E-4</v>
      </c>
      <c r="D46">
        <f t="shared" si="5"/>
        <v>1</v>
      </c>
      <c r="E46" s="2">
        <f t="shared" si="6"/>
        <v>4.7207638982252353E-4</v>
      </c>
      <c r="F46" s="2">
        <f t="shared" si="7"/>
        <v>4.7207638982252353E-4</v>
      </c>
      <c r="O46" s="2">
        <f t="shared" si="0"/>
        <v>1.0130991597919945</v>
      </c>
      <c r="P46">
        <f t="shared" si="1"/>
        <v>0</v>
      </c>
      <c r="Q46">
        <f t="shared" si="2"/>
        <v>0</v>
      </c>
      <c r="R46">
        <f t="shared" si="3"/>
        <v>0</v>
      </c>
    </row>
    <row r="47" spans="1:18" x14ac:dyDescent="0.3">
      <c r="A47" s="1">
        <v>45366</v>
      </c>
      <c r="B47">
        <v>19682.5</v>
      </c>
      <c r="C47" s="2">
        <f t="shared" si="4"/>
        <v>-1.2893530077417597E-2</v>
      </c>
      <c r="D47">
        <f t="shared" si="5"/>
        <v>1</v>
      </c>
      <c r="E47" s="2">
        <f t="shared" si="6"/>
        <v>-1.2893530077417597E-2</v>
      </c>
      <c r="F47" s="2">
        <f t="shared" si="7"/>
        <v>-1.2893530077417597E-2</v>
      </c>
      <c r="O47" s="2">
        <f t="shared" si="0"/>
        <v>1.0277368220500445</v>
      </c>
      <c r="P47">
        <f t="shared" si="1"/>
        <v>1</v>
      </c>
      <c r="Q47">
        <f t="shared" si="2"/>
        <v>0</v>
      </c>
      <c r="R47">
        <f t="shared" si="3"/>
        <v>1</v>
      </c>
    </row>
    <row r="48" spans="1:18" x14ac:dyDescent="0.3">
      <c r="A48" s="1">
        <v>45369</v>
      </c>
      <c r="B48">
        <v>19879.849999999999</v>
      </c>
      <c r="C48" s="2">
        <f t="shared" si="4"/>
        <v>9.9767398518472317E-3</v>
      </c>
      <c r="D48">
        <f t="shared" si="5"/>
        <v>3</v>
      </c>
      <c r="E48" s="2">
        <f t="shared" si="6"/>
        <v>3.3255799506157441E-3</v>
      </c>
      <c r="F48" s="2">
        <f t="shared" si="7"/>
        <v>5.7600734390988667E-3</v>
      </c>
      <c r="O48" s="2">
        <f t="shared" si="0"/>
        <v>1.0157144042837347</v>
      </c>
      <c r="P48">
        <f t="shared" si="1"/>
        <v>1</v>
      </c>
      <c r="Q48">
        <f t="shared" si="2"/>
        <v>0</v>
      </c>
      <c r="R48">
        <f t="shared" si="3"/>
        <v>1</v>
      </c>
    </row>
    <row r="49" spans="1:18" x14ac:dyDescent="0.3">
      <c r="A49" s="1">
        <v>45370</v>
      </c>
      <c r="B49">
        <v>19857.2</v>
      </c>
      <c r="C49" s="2">
        <f t="shared" si="4"/>
        <v>-1.1399941592528226E-3</v>
      </c>
      <c r="D49">
        <f t="shared" si="5"/>
        <v>1</v>
      </c>
      <c r="E49" s="2">
        <f t="shared" si="6"/>
        <v>-1.1399941592528226E-3</v>
      </c>
      <c r="F49" s="2">
        <f t="shared" si="7"/>
        <v>-1.1399941592528226E-3</v>
      </c>
      <c r="O49" s="2">
        <f t="shared" si="0"/>
        <v>1.0135613278810709</v>
      </c>
      <c r="P49">
        <f t="shared" si="1"/>
        <v>0</v>
      </c>
      <c r="Q49">
        <f t="shared" si="2"/>
        <v>0</v>
      </c>
      <c r="R49">
        <f t="shared" si="3"/>
        <v>0</v>
      </c>
    </row>
    <row r="50" spans="1:18" x14ac:dyDescent="0.3">
      <c r="A50" s="1">
        <v>45371</v>
      </c>
      <c r="B50">
        <v>19784.45</v>
      </c>
      <c r="C50" s="2">
        <f t="shared" si="4"/>
        <v>-3.6703861555900494E-3</v>
      </c>
      <c r="D50">
        <f t="shared" si="5"/>
        <v>1</v>
      </c>
      <c r="E50" s="2">
        <f t="shared" si="6"/>
        <v>-3.6703861555900494E-3</v>
      </c>
      <c r="F50" s="2">
        <f t="shared" si="7"/>
        <v>-3.6703861555900494E-3</v>
      </c>
      <c r="O50" s="2">
        <f t="shared" si="0"/>
        <v>1.0210099345698262</v>
      </c>
      <c r="P50">
        <f t="shared" si="1"/>
        <v>1</v>
      </c>
      <c r="Q50">
        <f t="shared" si="2"/>
        <v>0</v>
      </c>
      <c r="R50">
        <f t="shared" si="3"/>
        <v>1</v>
      </c>
    </row>
    <row r="51" spans="1:18" x14ac:dyDescent="0.3">
      <c r="A51" s="1">
        <v>45372</v>
      </c>
      <c r="B51">
        <v>20199.09</v>
      </c>
      <c r="C51" s="2">
        <f t="shared" si="4"/>
        <v>2.074127827395944E-2</v>
      </c>
      <c r="D51">
        <f t="shared" si="5"/>
        <v>1</v>
      </c>
      <c r="E51" s="2">
        <f t="shared" si="6"/>
        <v>2.074127827395944E-2</v>
      </c>
      <c r="F51" s="2">
        <f t="shared" si="7"/>
        <v>2.074127827395944E-2</v>
      </c>
      <c r="O51" s="2">
        <f t="shared" si="0"/>
        <v>0.9973988927223949</v>
      </c>
      <c r="P51">
        <f t="shared" si="1"/>
        <v>0</v>
      </c>
      <c r="Q51">
        <f t="shared" si="2"/>
        <v>0</v>
      </c>
      <c r="R51">
        <f t="shared" si="3"/>
        <v>0</v>
      </c>
    </row>
    <row r="52" spans="1:18" x14ac:dyDescent="0.3">
      <c r="A52" s="1">
        <v>45373</v>
      </c>
      <c r="B52">
        <v>20228.43</v>
      </c>
      <c r="C52" s="2">
        <f t="shared" si="4"/>
        <v>1.4514867669924393E-3</v>
      </c>
      <c r="D52">
        <f t="shared" si="5"/>
        <v>1</v>
      </c>
      <c r="E52" s="2">
        <f t="shared" si="6"/>
        <v>1.4514867669924393E-3</v>
      </c>
      <c r="F52" s="2">
        <f t="shared" si="7"/>
        <v>1.4514867669924393E-3</v>
      </c>
      <c r="O52" s="2">
        <f t="shared" si="0"/>
        <v>1.0032637233833768</v>
      </c>
      <c r="P52">
        <f t="shared" si="1"/>
        <v>0</v>
      </c>
      <c r="Q52">
        <f t="shared" si="2"/>
        <v>0</v>
      </c>
      <c r="R52">
        <f t="shared" si="3"/>
        <v>0</v>
      </c>
    </row>
    <row r="53" spans="1:18" x14ac:dyDescent="0.3">
      <c r="A53" s="1">
        <v>45376</v>
      </c>
      <c r="B53">
        <v>20192.25</v>
      </c>
      <c r="C53" s="2">
        <f t="shared" si="4"/>
        <v>-1.7901732312386133E-3</v>
      </c>
      <c r="D53">
        <f t="shared" si="5"/>
        <v>3</v>
      </c>
      <c r="E53" s="2">
        <f t="shared" si="6"/>
        <v>-5.9672441041287109E-4</v>
      </c>
      <c r="F53" s="2">
        <f t="shared" si="7"/>
        <v>-1.0335569969516757E-3</v>
      </c>
      <c r="O53" s="2">
        <f t="shared" si="0"/>
        <v>1.0014896804467062</v>
      </c>
      <c r="P53">
        <f t="shared" si="1"/>
        <v>0</v>
      </c>
      <c r="Q53">
        <f t="shared" si="2"/>
        <v>0</v>
      </c>
      <c r="R53">
        <f t="shared" si="3"/>
        <v>0</v>
      </c>
    </row>
    <row r="54" spans="1:18" x14ac:dyDescent="0.3">
      <c r="A54" s="1">
        <v>45377</v>
      </c>
      <c r="B54">
        <v>20126.490000000002</v>
      </c>
      <c r="C54" s="2">
        <f t="shared" si="4"/>
        <v>-3.2620095921181728E-3</v>
      </c>
      <c r="D54">
        <f t="shared" si="5"/>
        <v>1</v>
      </c>
      <c r="E54" s="2">
        <f t="shared" si="6"/>
        <v>-3.2620095921181728E-3</v>
      </c>
      <c r="F54" s="2">
        <f t="shared" si="7"/>
        <v>-3.2620095921181728E-3</v>
      </c>
      <c r="O54" s="2">
        <f t="shared" si="0"/>
        <v>1.0168971340755391</v>
      </c>
      <c r="P54">
        <f t="shared" si="1"/>
        <v>1</v>
      </c>
      <c r="Q54">
        <f t="shared" si="2"/>
        <v>0</v>
      </c>
      <c r="R54">
        <f t="shared" si="3"/>
        <v>1</v>
      </c>
    </row>
    <row r="55" spans="1:18" x14ac:dyDescent="0.3">
      <c r="A55" s="1">
        <v>45378</v>
      </c>
      <c r="B55">
        <v>20200.12</v>
      </c>
      <c r="C55" s="2">
        <f t="shared" si="4"/>
        <v>3.6516871524884986E-3</v>
      </c>
      <c r="D55">
        <f t="shared" si="5"/>
        <v>1</v>
      </c>
      <c r="E55" s="2">
        <f t="shared" si="6"/>
        <v>3.6516871524884986E-3</v>
      </c>
      <c r="F55" s="2">
        <f t="shared" si="7"/>
        <v>3.6516871524884986E-3</v>
      </c>
      <c r="O55" s="2">
        <f t="shared" si="0"/>
        <v>1.0068059001629692</v>
      </c>
      <c r="P55">
        <f t="shared" si="1"/>
        <v>0</v>
      </c>
      <c r="Q55">
        <f t="shared" si="2"/>
        <v>0</v>
      </c>
      <c r="R55">
        <f t="shared" si="3"/>
        <v>0</v>
      </c>
    </row>
    <row r="56" spans="1:18" x14ac:dyDescent="0.3">
      <c r="A56" s="1">
        <v>45379</v>
      </c>
      <c r="B56">
        <v>20146.55</v>
      </c>
      <c r="C56" s="2">
        <f t="shared" si="4"/>
        <v>-2.6554871308867392E-3</v>
      </c>
      <c r="D56">
        <f t="shared" si="5"/>
        <v>1</v>
      </c>
      <c r="E56" s="2">
        <f t="shared" si="6"/>
        <v>-2.6554871308867392E-3</v>
      </c>
      <c r="F56" s="2">
        <f t="shared" si="7"/>
        <v>-2.6554871308867392E-3</v>
      </c>
      <c r="O56" s="2">
        <f t="shared" si="0"/>
        <v>1.0134588800563868</v>
      </c>
      <c r="P56">
        <f t="shared" si="1"/>
        <v>0</v>
      </c>
      <c r="Q56">
        <f t="shared" si="2"/>
        <v>0</v>
      </c>
      <c r="R56">
        <f t="shared" si="3"/>
        <v>0</v>
      </c>
    </row>
    <row r="57" spans="1:18" x14ac:dyDescent="0.3">
      <c r="A57" s="1">
        <v>45380</v>
      </c>
      <c r="B57">
        <v>20294.45</v>
      </c>
      <c r="C57" s="2">
        <f t="shared" si="4"/>
        <v>7.3143917999529146E-3</v>
      </c>
      <c r="D57">
        <f t="shared" si="5"/>
        <v>1</v>
      </c>
      <c r="E57" s="2">
        <f t="shared" si="6"/>
        <v>7.3143917999529146E-3</v>
      </c>
      <c r="F57" s="2">
        <f t="shared" si="7"/>
        <v>7.3143917999529146E-3</v>
      </c>
      <c r="O57" s="2">
        <f t="shared" si="0"/>
        <v>1.0247235081512434</v>
      </c>
      <c r="P57">
        <f t="shared" si="1"/>
        <v>1</v>
      </c>
      <c r="Q57">
        <f t="shared" si="2"/>
        <v>0</v>
      </c>
      <c r="R57">
        <f t="shared" si="3"/>
        <v>1</v>
      </c>
    </row>
    <row r="58" spans="1:18" x14ac:dyDescent="0.3">
      <c r="A58" s="1">
        <v>45383</v>
      </c>
      <c r="B58">
        <v>20222.330000000002</v>
      </c>
      <c r="C58" s="2">
        <f t="shared" si="4"/>
        <v>-3.5600102559363422E-3</v>
      </c>
      <c r="D58">
        <f t="shared" si="5"/>
        <v>3</v>
      </c>
      <c r="E58" s="2">
        <f t="shared" si="6"/>
        <v>-1.1866700853121141E-3</v>
      </c>
      <c r="F58" s="2">
        <f t="shared" si="7"/>
        <v>-2.055372879582676E-3</v>
      </c>
      <c r="O58" s="2">
        <f t="shared" si="0"/>
        <v>1.026762494727363</v>
      </c>
      <c r="P58">
        <f t="shared" si="1"/>
        <v>1</v>
      </c>
      <c r="Q58">
        <f t="shared" si="2"/>
        <v>0</v>
      </c>
      <c r="R58">
        <f t="shared" si="3"/>
        <v>1</v>
      </c>
    </row>
    <row r="59" spans="1:18" x14ac:dyDescent="0.3">
      <c r="A59" s="1">
        <v>45384</v>
      </c>
      <c r="B59">
        <v>20466.57</v>
      </c>
      <c r="C59" s="2">
        <f t="shared" si="4"/>
        <v>1.2005383950094052E-2</v>
      </c>
      <c r="D59">
        <f t="shared" si="5"/>
        <v>1</v>
      </c>
      <c r="E59" s="2">
        <f t="shared" si="6"/>
        <v>1.2005383950094052E-2</v>
      </c>
      <c r="F59" s="2">
        <f t="shared" si="7"/>
        <v>1.2005383950094052E-2</v>
      </c>
      <c r="O59" s="2">
        <f t="shared" si="0"/>
        <v>1.0140057664767472</v>
      </c>
      <c r="P59">
        <f t="shared" si="1"/>
        <v>0</v>
      </c>
      <c r="Q59">
        <f t="shared" si="2"/>
        <v>0</v>
      </c>
      <c r="R59">
        <f t="shared" si="3"/>
        <v>0</v>
      </c>
    </row>
    <row r="60" spans="1:18" x14ac:dyDescent="0.3">
      <c r="A60" s="1">
        <v>45385</v>
      </c>
      <c r="B60">
        <v>20337.599999999999</v>
      </c>
      <c r="C60" s="2">
        <f t="shared" si="4"/>
        <v>-6.3214337885299163E-3</v>
      </c>
      <c r="D60">
        <f t="shared" si="5"/>
        <v>1</v>
      </c>
      <c r="E60" s="2">
        <f t="shared" si="6"/>
        <v>-6.3214337885299163E-3</v>
      </c>
      <c r="F60" s="2">
        <f t="shared" si="7"/>
        <v>-6.3214337885299163E-3</v>
      </c>
      <c r="O60" s="2">
        <f t="shared" si="0"/>
        <v>1.0196173589804107</v>
      </c>
      <c r="P60">
        <f t="shared" si="1"/>
        <v>1</v>
      </c>
      <c r="Q60">
        <f t="shared" si="2"/>
        <v>0</v>
      </c>
      <c r="R60">
        <f t="shared" si="3"/>
        <v>1</v>
      </c>
    </row>
    <row r="61" spans="1:18" x14ac:dyDescent="0.3">
      <c r="A61" s="1">
        <v>45390</v>
      </c>
      <c r="B61">
        <v>20417.7</v>
      </c>
      <c r="C61" s="2">
        <f t="shared" si="4"/>
        <v>3.9307821626007921E-3</v>
      </c>
      <c r="D61">
        <f t="shared" si="5"/>
        <v>5</v>
      </c>
      <c r="E61" s="2">
        <f t="shared" si="6"/>
        <v>7.8615643252015846E-4</v>
      </c>
      <c r="F61" s="2">
        <f t="shared" si="7"/>
        <v>1.7578992240638003E-3</v>
      </c>
      <c r="O61" s="2">
        <f t="shared" si="0"/>
        <v>1.0015706960137527</v>
      </c>
      <c r="P61">
        <f t="shared" si="1"/>
        <v>0</v>
      </c>
      <c r="Q61">
        <f t="shared" si="2"/>
        <v>0</v>
      </c>
      <c r="R61">
        <f t="shared" si="3"/>
        <v>0</v>
      </c>
    </row>
    <row r="62" spans="1:18" x14ac:dyDescent="0.3">
      <c r="A62" s="1">
        <v>45391</v>
      </c>
      <c r="B62">
        <v>20796.2</v>
      </c>
      <c r="C62" s="2">
        <f t="shared" si="4"/>
        <v>1.8368105988439413E-2</v>
      </c>
      <c r="D62">
        <f t="shared" si="5"/>
        <v>1</v>
      </c>
      <c r="E62" s="2">
        <f t="shared" si="6"/>
        <v>1.8368105988439413E-2</v>
      </c>
      <c r="F62" s="2">
        <f t="shared" si="7"/>
        <v>1.8368105988439413E-2</v>
      </c>
      <c r="G62" s="2">
        <f>MEDIAN(E3:E62)*365</f>
        <v>0.27136031788558806</v>
      </c>
      <c r="H62">
        <f>SUM(D3:D62)</f>
        <v>98</v>
      </c>
      <c r="I62" s="2">
        <f>_xlfn.STDEV.S(F3:F62)*SQRT(365)</f>
        <v>0.14159493251788655</v>
      </c>
      <c r="J62" s="2">
        <f>SQRT(SUM(IF(F3:F62&lt;AVERAGE(F3:F62),(F3:F62-AVERAGE(F3:F62))^2,0))/COUNT(F3:F62))*SQRT(365)</f>
        <v>0</v>
      </c>
      <c r="O62" s="2">
        <f t="shared" si="0"/>
        <v>0.95699983650859288</v>
      </c>
      <c r="P62">
        <f t="shared" si="1"/>
        <v>0</v>
      </c>
      <c r="Q62">
        <f t="shared" si="2"/>
        <v>1</v>
      </c>
      <c r="R62">
        <f t="shared" si="3"/>
        <v>1</v>
      </c>
    </row>
    <row r="63" spans="1:18" x14ac:dyDescent="0.3">
      <c r="A63" s="1">
        <v>45392</v>
      </c>
      <c r="B63">
        <v>20763.53</v>
      </c>
      <c r="C63" s="2">
        <f t="shared" si="4"/>
        <v>-1.5721953308874264E-3</v>
      </c>
      <c r="D63">
        <f t="shared" si="5"/>
        <v>1</v>
      </c>
      <c r="E63" s="2">
        <f t="shared" si="6"/>
        <v>-1.5721953308874264E-3</v>
      </c>
      <c r="F63" s="2">
        <f t="shared" si="7"/>
        <v>-1.5721953308874264E-3</v>
      </c>
      <c r="G63" s="2">
        <f t="shared" ref="G63:G126" si="8">MEDIAN(E4:E63)*365</f>
        <v>0.27136031788558806</v>
      </c>
      <c r="H63">
        <f t="shared" ref="H63:H126" si="9">SUM(D4:D63)</f>
        <v>98</v>
      </c>
      <c r="I63" s="2">
        <f t="shared" ref="I63:I126" si="10">_xlfn.STDEV.S(F4:F63)*SQRT(365)</f>
        <v>0.13414061905361521</v>
      </c>
      <c r="J63" s="2">
        <f t="shared" ref="J63:J126" si="11">SQRT(SUM(IF(F4:F63&lt;AVERAGE(F4:F63),(F4:F63-AVERAGE(F4:F63))^2,0))/COUNT(F4:F63))*SQRT(365)</f>
        <v>8.9510271502273048E-3</v>
      </c>
      <c r="O63" s="2">
        <f t="shared" si="0"/>
        <v>0.97350161557307469</v>
      </c>
      <c r="P63">
        <f t="shared" si="1"/>
        <v>0</v>
      </c>
      <c r="Q63">
        <f t="shared" si="2"/>
        <v>1</v>
      </c>
      <c r="R63">
        <f t="shared" si="3"/>
        <v>1</v>
      </c>
    </row>
    <row r="64" spans="1:18" x14ac:dyDescent="0.3">
      <c r="A64" s="1">
        <v>45393</v>
      </c>
      <c r="B64">
        <v>20753.22</v>
      </c>
      <c r="C64" s="2">
        <f t="shared" si="4"/>
        <v>-4.9666701810399758E-4</v>
      </c>
      <c r="D64">
        <f t="shared" si="5"/>
        <v>1</v>
      </c>
      <c r="E64" s="2">
        <f t="shared" si="6"/>
        <v>-4.9666701810399758E-4</v>
      </c>
      <c r="F64" s="2">
        <f t="shared" si="7"/>
        <v>-4.9666701810399758E-4</v>
      </c>
      <c r="G64" s="2">
        <f t="shared" si="8"/>
        <v>0.27136031788558806</v>
      </c>
      <c r="H64">
        <f t="shared" si="9"/>
        <v>98</v>
      </c>
      <c r="I64" s="2">
        <f t="shared" si="10"/>
        <v>0.13413423670957203</v>
      </c>
      <c r="J64" s="2">
        <f t="shared" si="11"/>
        <v>6.3005037305122824E-3</v>
      </c>
      <c r="O64" s="2">
        <f t="shared" si="0"/>
        <v>0.97821928356177978</v>
      </c>
      <c r="P64">
        <f t="shared" si="1"/>
        <v>0</v>
      </c>
      <c r="Q64">
        <f t="shared" si="2"/>
        <v>1</v>
      </c>
      <c r="R64">
        <f t="shared" si="3"/>
        <v>1</v>
      </c>
    </row>
    <row r="65" spans="1:18" x14ac:dyDescent="0.3">
      <c r="A65" s="1">
        <v>45394</v>
      </c>
      <c r="B65">
        <v>20736.57</v>
      </c>
      <c r="C65" s="2">
        <f t="shared" si="4"/>
        <v>-8.0260714232582397E-4</v>
      </c>
      <c r="D65">
        <f t="shared" si="5"/>
        <v>1</v>
      </c>
      <c r="E65" s="2">
        <f t="shared" si="6"/>
        <v>-8.0260714232582397E-4</v>
      </c>
      <c r="F65" s="2">
        <f t="shared" si="7"/>
        <v>-8.0260714232582397E-4</v>
      </c>
      <c r="G65" s="2">
        <f t="shared" si="8"/>
        <v>0.27136031788558806</v>
      </c>
      <c r="H65">
        <f t="shared" si="9"/>
        <v>98</v>
      </c>
      <c r="I65" s="2">
        <f t="shared" si="10"/>
        <v>0.13398988903387188</v>
      </c>
      <c r="J65" s="2">
        <f t="shared" si="11"/>
        <v>7.0936212474045964E-3</v>
      </c>
      <c r="O65" s="2">
        <f t="shared" si="0"/>
        <v>0.94167550371155884</v>
      </c>
      <c r="P65">
        <f t="shared" si="1"/>
        <v>0</v>
      </c>
      <c r="Q65">
        <f t="shared" si="2"/>
        <v>1</v>
      </c>
      <c r="R65">
        <f t="shared" si="3"/>
        <v>1</v>
      </c>
    </row>
    <row r="66" spans="1:18" x14ac:dyDescent="0.3">
      <c r="A66" s="1">
        <v>45397</v>
      </c>
      <c r="B66">
        <v>20449.77</v>
      </c>
      <c r="C66" s="2">
        <f t="shared" si="4"/>
        <v>-1.3927172736192057E-2</v>
      </c>
      <c r="D66">
        <f t="shared" si="5"/>
        <v>3</v>
      </c>
      <c r="E66" s="2">
        <f t="shared" si="6"/>
        <v>-4.6423909120640186E-3</v>
      </c>
      <c r="F66" s="2">
        <f t="shared" si="7"/>
        <v>-8.0408569282909015E-3</v>
      </c>
      <c r="G66" s="2">
        <f t="shared" si="8"/>
        <v>0.24949963535499323</v>
      </c>
      <c r="H66">
        <f t="shared" si="9"/>
        <v>98</v>
      </c>
      <c r="I66" s="2">
        <f t="shared" si="10"/>
        <v>0.13629250928839395</v>
      </c>
      <c r="J66" s="2">
        <f t="shared" si="11"/>
        <v>2.4543408506239716E-2</v>
      </c>
      <c r="O66" s="2">
        <f t="shared" si="0"/>
        <v>0.94921458774352963</v>
      </c>
      <c r="P66">
        <f t="shared" si="1"/>
        <v>0</v>
      </c>
      <c r="Q66">
        <f t="shared" si="2"/>
        <v>1</v>
      </c>
      <c r="R66">
        <f t="shared" si="3"/>
        <v>1</v>
      </c>
    </row>
    <row r="67" spans="1:18" x14ac:dyDescent="0.3">
      <c r="A67" s="1">
        <v>45398</v>
      </c>
      <c r="B67">
        <v>19901.96</v>
      </c>
      <c r="C67" s="2">
        <f t="shared" si="4"/>
        <v>-2.7153416139104079E-2</v>
      </c>
      <c r="D67">
        <f t="shared" si="5"/>
        <v>1</v>
      </c>
      <c r="E67" s="2">
        <f t="shared" si="6"/>
        <v>-2.7153416139104079E-2</v>
      </c>
      <c r="F67" s="2">
        <f t="shared" si="7"/>
        <v>-2.7153416139104079E-2</v>
      </c>
      <c r="G67" s="2">
        <f t="shared" si="8"/>
        <v>0.24949963535499323</v>
      </c>
      <c r="H67">
        <f t="shared" si="9"/>
        <v>98</v>
      </c>
      <c r="I67" s="2">
        <f t="shared" si="10"/>
        <v>0.15374093585820972</v>
      </c>
      <c r="J67" s="2">
        <f t="shared" si="11"/>
        <v>7.065425431932161E-2</v>
      </c>
      <c r="O67" s="2">
        <f t="shared" ref="O67:O130" si="12">B72/B67</f>
        <v>0.98479144767651028</v>
      </c>
      <c r="P67">
        <f t="shared" ref="P67:P130" si="13">IF(O67&gt;=1.015,1,0)</f>
        <v>0</v>
      </c>
      <c r="Q67">
        <f t="shared" ref="Q67:Q130" si="14">IF(O67&lt;=0.985,1,0)</f>
        <v>1</v>
      </c>
      <c r="R67">
        <f t="shared" ref="R67:R130" si="15">MAX(P67,Q67)</f>
        <v>1</v>
      </c>
    </row>
    <row r="68" spans="1:18" x14ac:dyDescent="0.3">
      <c r="A68" s="1">
        <v>45399</v>
      </c>
      <c r="B68">
        <v>20213.330000000002</v>
      </c>
      <c r="C68" s="2">
        <f t="shared" ref="C68:C131" si="16">LN(B68/B67)</f>
        <v>1.5524068415647168E-2</v>
      </c>
      <c r="D68">
        <f t="shared" ref="D68:D131" si="17">DATEDIF(A67,A68,"d")</f>
        <v>1</v>
      </c>
      <c r="E68" s="2">
        <f t="shared" ref="E68:E131" si="18">C68/D68</f>
        <v>1.5524068415647168E-2</v>
      </c>
      <c r="F68" s="2">
        <f t="shared" ref="F68:F131" si="19">C68/SQRT(D68)</f>
        <v>1.5524068415647168E-2</v>
      </c>
      <c r="G68" s="2">
        <f t="shared" si="8"/>
        <v>0.27136031788558806</v>
      </c>
      <c r="H68">
        <f t="shared" si="9"/>
        <v>98</v>
      </c>
      <c r="I68" s="2">
        <f t="shared" si="10"/>
        <v>0.1569358687392487</v>
      </c>
      <c r="J68" s="2">
        <f t="shared" si="11"/>
        <v>0</v>
      </c>
      <c r="O68" s="2">
        <f t="shared" si="12"/>
        <v>0.99596355474333031</v>
      </c>
      <c r="P68">
        <f t="shared" si="13"/>
        <v>0</v>
      </c>
      <c r="Q68">
        <f t="shared" si="14"/>
        <v>0</v>
      </c>
      <c r="R68">
        <f t="shared" si="15"/>
        <v>0</v>
      </c>
    </row>
    <row r="69" spans="1:18" x14ac:dyDescent="0.3">
      <c r="A69" s="1">
        <v>45400</v>
      </c>
      <c r="B69">
        <v>20301.2</v>
      </c>
      <c r="C69" s="2">
        <f t="shared" si="16"/>
        <v>4.3377098427706939E-3</v>
      </c>
      <c r="D69">
        <f t="shared" si="17"/>
        <v>1</v>
      </c>
      <c r="E69" s="2">
        <f t="shared" si="18"/>
        <v>4.3377098427706939E-3</v>
      </c>
      <c r="F69" s="2">
        <f t="shared" si="19"/>
        <v>4.3377098427706939E-3</v>
      </c>
      <c r="G69" s="2">
        <f t="shared" si="8"/>
        <v>0.27136031788558806</v>
      </c>
      <c r="H69">
        <f t="shared" si="9"/>
        <v>98</v>
      </c>
      <c r="I69" s="2">
        <f t="shared" si="10"/>
        <v>0.15691363063718028</v>
      </c>
      <c r="J69" s="2">
        <f t="shared" si="11"/>
        <v>0</v>
      </c>
      <c r="O69" s="2">
        <f t="shared" si="12"/>
        <v>0.97814020846058347</v>
      </c>
      <c r="P69">
        <f t="shared" si="13"/>
        <v>0</v>
      </c>
      <c r="Q69">
        <f t="shared" si="14"/>
        <v>1</v>
      </c>
      <c r="R69">
        <f t="shared" si="15"/>
        <v>1</v>
      </c>
    </row>
    <row r="70" spans="1:18" x14ac:dyDescent="0.3">
      <c r="A70" s="1">
        <v>45401</v>
      </c>
      <c r="B70">
        <v>19527.12</v>
      </c>
      <c r="C70" s="2">
        <f t="shared" si="16"/>
        <v>-3.8875729024409264E-2</v>
      </c>
      <c r="D70">
        <f t="shared" si="17"/>
        <v>1</v>
      </c>
      <c r="E70" s="2">
        <f t="shared" si="18"/>
        <v>-3.8875729024409264E-2</v>
      </c>
      <c r="F70" s="2">
        <f t="shared" si="19"/>
        <v>-3.8875729024409264E-2</v>
      </c>
      <c r="G70" s="2">
        <f t="shared" si="8"/>
        <v>0.27136031788558806</v>
      </c>
      <c r="H70">
        <f t="shared" si="9"/>
        <v>98</v>
      </c>
      <c r="I70" s="2">
        <f t="shared" si="10"/>
        <v>0.1861187529346284</v>
      </c>
      <c r="J70" s="2">
        <f t="shared" si="11"/>
        <v>9.883819400150734E-2</v>
      </c>
      <c r="O70" s="2">
        <f t="shared" si="12"/>
        <v>1.0303879937236007</v>
      </c>
      <c r="P70">
        <f t="shared" si="13"/>
        <v>1</v>
      </c>
      <c r="Q70">
        <f t="shared" si="14"/>
        <v>0</v>
      </c>
      <c r="R70">
        <f t="shared" si="15"/>
        <v>1</v>
      </c>
    </row>
    <row r="71" spans="1:18" x14ac:dyDescent="0.3">
      <c r="A71" s="1">
        <v>45404</v>
      </c>
      <c r="B71">
        <v>19411.22</v>
      </c>
      <c r="C71" s="2">
        <f t="shared" si="16"/>
        <v>-5.9530191721596281E-3</v>
      </c>
      <c r="D71">
        <f t="shared" si="17"/>
        <v>3</v>
      </c>
      <c r="E71" s="2">
        <f t="shared" si="18"/>
        <v>-1.9843397240532092E-3</v>
      </c>
      <c r="F71" s="2">
        <f t="shared" si="19"/>
        <v>-3.4369772215373648E-3</v>
      </c>
      <c r="G71" s="2">
        <f t="shared" si="8"/>
        <v>0.27136031788558806</v>
      </c>
      <c r="H71">
        <f t="shared" si="9"/>
        <v>98</v>
      </c>
      <c r="I71" s="2">
        <f t="shared" si="10"/>
        <v>0.18646952786143656</v>
      </c>
      <c r="J71" s="2">
        <f t="shared" si="11"/>
        <v>1.1243284715860327E-2</v>
      </c>
      <c r="O71" s="2">
        <f t="shared" si="12"/>
        <v>1.0558594462377944</v>
      </c>
      <c r="P71">
        <f t="shared" si="13"/>
        <v>1</v>
      </c>
      <c r="Q71">
        <f t="shared" si="14"/>
        <v>0</v>
      </c>
      <c r="R71">
        <f t="shared" si="15"/>
        <v>1</v>
      </c>
    </row>
    <row r="72" spans="1:18" x14ac:dyDescent="0.3">
      <c r="A72" s="1">
        <v>45405</v>
      </c>
      <c r="B72">
        <v>19599.28</v>
      </c>
      <c r="C72" s="2">
        <f t="shared" si="16"/>
        <v>9.641581463315398E-3</v>
      </c>
      <c r="D72">
        <f t="shared" si="17"/>
        <v>1</v>
      </c>
      <c r="E72" s="2">
        <f t="shared" si="18"/>
        <v>9.641581463315398E-3</v>
      </c>
      <c r="F72" s="2">
        <f t="shared" si="19"/>
        <v>9.641581463315398E-3</v>
      </c>
      <c r="G72" s="2">
        <f t="shared" si="8"/>
        <v>0.33273962057777251</v>
      </c>
      <c r="H72">
        <f t="shared" si="9"/>
        <v>98</v>
      </c>
      <c r="I72" s="2">
        <f t="shared" si="10"/>
        <v>0.18491800824315049</v>
      </c>
      <c r="J72" s="2">
        <f t="shared" si="11"/>
        <v>0</v>
      </c>
      <c r="O72" s="2">
        <f t="shared" si="12"/>
        <v>1.0406810862439844</v>
      </c>
      <c r="P72">
        <f t="shared" si="13"/>
        <v>1</v>
      </c>
      <c r="Q72">
        <f t="shared" si="14"/>
        <v>0</v>
      </c>
      <c r="R72">
        <f t="shared" si="15"/>
        <v>1</v>
      </c>
    </row>
    <row r="73" spans="1:18" x14ac:dyDescent="0.3">
      <c r="A73" s="1">
        <v>45406</v>
      </c>
      <c r="B73">
        <v>20131.740000000002</v>
      </c>
      <c r="C73" s="2">
        <f t="shared" si="16"/>
        <v>2.6804843200291761E-2</v>
      </c>
      <c r="D73">
        <f t="shared" si="17"/>
        <v>1</v>
      </c>
      <c r="E73" s="2">
        <f t="shared" si="18"/>
        <v>2.6804843200291761E-2</v>
      </c>
      <c r="F73" s="2">
        <f t="shared" si="19"/>
        <v>2.6804843200291761E-2</v>
      </c>
      <c r="G73" s="2">
        <f t="shared" si="8"/>
        <v>0.45416240661896373</v>
      </c>
      <c r="H73">
        <f t="shared" si="9"/>
        <v>98</v>
      </c>
      <c r="I73" s="2">
        <f t="shared" si="10"/>
        <v>0.19260953884057355</v>
      </c>
      <c r="J73" s="2">
        <f t="shared" si="11"/>
        <v>0</v>
      </c>
      <c r="O73" s="2">
        <f t="shared" si="12"/>
        <v>1.0045053234345365</v>
      </c>
      <c r="P73">
        <f t="shared" si="13"/>
        <v>0</v>
      </c>
      <c r="Q73">
        <f t="shared" si="14"/>
        <v>0</v>
      </c>
      <c r="R73">
        <f t="shared" si="15"/>
        <v>0</v>
      </c>
    </row>
    <row r="74" spans="1:18" x14ac:dyDescent="0.3">
      <c r="A74" s="1">
        <v>45407</v>
      </c>
      <c r="B74">
        <v>19857.419999999998</v>
      </c>
      <c r="C74" s="2">
        <f t="shared" si="16"/>
        <v>-1.3719933255635237E-2</v>
      </c>
      <c r="D74">
        <f t="shared" si="17"/>
        <v>1</v>
      </c>
      <c r="E74" s="2">
        <f t="shared" si="18"/>
        <v>-1.3719933255635237E-2</v>
      </c>
      <c r="F74" s="2">
        <f t="shared" si="19"/>
        <v>-1.3719933255635237E-2</v>
      </c>
      <c r="G74" s="2">
        <f t="shared" si="8"/>
        <v>0.33273962057777251</v>
      </c>
      <c r="H74">
        <f t="shared" si="9"/>
        <v>98</v>
      </c>
      <c r="I74" s="2">
        <f t="shared" si="10"/>
        <v>0.19645855572512175</v>
      </c>
      <c r="J74" s="2">
        <f t="shared" si="11"/>
        <v>3.8294096735074799E-2</v>
      </c>
      <c r="O74" s="2">
        <f t="shared" si="12"/>
        <v>1.0238147755347875</v>
      </c>
      <c r="P74">
        <f t="shared" si="13"/>
        <v>1</v>
      </c>
      <c r="Q74">
        <f t="shared" si="14"/>
        <v>0</v>
      </c>
      <c r="R74">
        <f t="shared" si="15"/>
        <v>1</v>
      </c>
    </row>
    <row r="75" spans="1:18" x14ac:dyDescent="0.3">
      <c r="A75" s="1">
        <v>45408</v>
      </c>
      <c r="B75">
        <v>20120.509999999998</v>
      </c>
      <c r="C75" s="2">
        <f t="shared" si="16"/>
        <v>1.3161952010295337E-2</v>
      </c>
      <c r="D75">
        <f t="shared" si="17"/>
        <v>1</v>
      </c>
      <c r="E75" s="2">
        <f t="shared" si="18"/>
        <v>1.3161952010295337E-2</v>
      </c>
      <c r="F75" s="2">
        <f t="shared" si="19"/>
        <v>1.3161952010295337E-2</v>
      </c>
      <c r="G75" s="2">
        <f t="shared" si="8"/>
        <v>0.33273962057777251</v>
      </c>
      <c r="H75">
        <f t="shared" si="9"/>
        <v>98</v>
      </c>
      <c r="I75" s="2">
        <f t="shared" si="10"/>
        <v>0.18909436805648688</v>
      </c>
      <c r="J75" s="2">
        <f t="shared" si="11"/>
        <v>0</v>
      </c>
      <c r="O75" s="2">
        <f t="shared" si="12"/>
        <v>1.0200193732663836</v>
      </c>
      <c r="P75">
        <f t="shared" si="13"/>
        <v>1</v>
      </c>
      <c r="Q75">
        <f t="shared" si="14"/>
        <v>0</v>
      </c>
      <c r="R75">
        <f t="shared" si="15"/>
        <v>1</v>
      </c>
    </row>
    <row r="76" spans="1:18" x14ac:dyDescent="0.3">
      <c r="A76" s="1">
        <v>45411</v>
      </c>
      <c r="B76">
        <v>20495.52</v>
      </c>
      <c r="C76" s="2">
        <f t="shared" si="16"/>
        <v>1.8466632853587198E-2</v>
      </c>
      <c r="D76">
        <f t="shared" si="17"/>
        <v>3</v>
      </c>
      <c r="E76" s="2">
        <f t="shared" si="18"/>
        <v>6.1555442845290659E-3</v>
      </c>
      <c r="F76" s="2">
        <f t="shared" si="19"/>
        <v>1.0661715449044555E-2</v>
      </c>
      <c r="G76" s="2">
        <f t="shared" si="8"/>
        <v>0.33273962057777251</v>
      </c>
      <c r="H76">
        <f t="shared" si="9"/>
        <v>98</v>
      </c>
      <c r="I76" s="2">
        <f t="shared" si="10"/>
        <v>0.19030119642471202</v>
      </c>
      <c r="J76" s="2">
        <f t="shared" si="11"/>
        <v>0</v>
      </c>
      <c r="O76" s="2">
        <f t="shared" si="12"/>
        <v>1.007709489683599</v>
      </c>
      <c r="P76">
        <f t="shared" si="13"/>
        <v>0</v>
      </c>
      <c r="Q76">
        <f t="shared" si="14"/>
        <v>0</v>
      </c>
      <c r="R76">
        <f t="shared" si="15"/>
        <v>0</v>
      </c>
    </row>
    <row r="77" spans="1:18" x14ac:dyDescent="0.3">
      <c r="A77" s="1">
        <v>45412</v>
      </c>
      <c r="B77">
        <v>20396.599999999999</v>
      </c>
      <c r="C77" s="2">
        <f t="shared" si="16"/>
        <v>-4.8381053833258525E-3</v>
      </c>
      <c r="D77">
        <f t="shared" si="17"/>
        <v>1</v>
      </c>
      <c r="E77" s="2">
        <f t="shared" si="18"/>
        <v>-4.8381053833258525E-3</v>
      </c>
      <c r="F77" s="2">
        <f t="shared" si="19"/>
        <v>-4.8381053833258525E-3</v>
      </c>
      <c r="G77" s="2">
        <f t="shared" si="8"/>
        <v>0.27136031788558806</v>
      </c>
      <c r="H77">
        <f t="shared" si="9"/>
        <v>98</v>
      </c>
      <c r="I77" s="2">
        <f t="shared" si="10"/>
        <v>0.19093282636333503</v>
      </c>
      <c r="J77" s="2">
        <f t="shared" si="11"/>
        <v>1.5783730184336261E-2</v>
      </c>
      <c r="O77" s="2">
        <f t="shared" si="12"/>
        <v>1.0149000323583341</v>
      </c>
      <c r="P77">
        <f t="shared" si="13"/>
        <v>0</v>
      </c>
      <c r="Q77">
        <f t="shared" si="14"/>
        <v>0</v>
      </c>
      <c r="R77">
        <f t="shared" si="15"/>
        <v>0</v>
      </c>
    </row>
    <row r="78" spans="1:18" x14ac:dyDescent="0.3">
      <c r="A78" s="1">
        <v>45414</v>
      </c>
      <c r="B78">
        <v>20222.439999999999</v>
      </c>
      <c r="C78" s="2">
        <f t="shared" si="16"/>
        <v>-8.5753413797142394E-3</v>
      </c>
      <c r="D78">
        <f t="shared" si="17"/>
        <v>2</v>
      </c>
      <c r="E78" s="2">
        <f t="shared" si="18"/>
        <v>-4.2876706898571197E-3</v>
      </c>
      <c r="F78" s="2">
        <f t="shared" si="19"/>
        <v>-6.0636820405855427E-3</v>
      </c>
      <c r="G78" s="2">
        <f t="shared" si="8"/>
        <v>0.27136031788558806</v>
      </c>
      <c r="H78">
        <f t="shared" si="9"/>
        <v>99</v>
      </c>
      <c r="I78" s="2">
        <f t="shared" si="10"/>
        <v>0.19182642337697861</v>
      </c>
      <c r="J78" s="2">
        <f t="shared" si="11"/>
        <v>1.8554429675617871E-2</v>
      </c>
      <c r="O78" s="2">
        <f t="shared" si="12"/>
        <v>1.0167304242218052</v>
      </c>
      <c r="P78">
        <f t="shared" si="13"/>
        <v>1</v>
      </c>
      <c r="Q78">
        <f t="shared" si="14"/>
        <v>0</v>
      </c>
      <c r="R78">
        <f t="shared" si="15"/>
        <v>1</v>
      </c>
    </row>
    <row r="79" spans="1:18" x14ac:dyDescent="0.3">
      <c r="A79" s="1">
        <v>45415</v>
      </c>
      <c r="B79">
        <v>20330.32</v>
      </c>
      <c r="C79" s="2">
        <f t="shared" si="16"/>
        <v>5.3204888883134523E-3</v>
      </c>
      <c r="D79">
        <f t="shared" si="17"/>
        <v>1</v>
      </c>
      <c r="E79" s="2">
        <f t="shared" si="18"/>
        <v>5.3204888883134523E-3</v>
      </c>
      <c r="F79" s="2">
        <f t="shared" si="19"/>
        <v>5.3204888883134523E-3</v>
      </c>
      <c r="G79" s="2">
        <f t="shared" si="8"/>
        <v>0.27136031788558806</v>
      </c>
      <c r="H79">
        <f t="shared" si="9"/>
        <v>99</v>
      </c>
      <c r="I79" s="2">
        <f t="shared" si="10"/>
        <v>0.19155859242658793</v>
      </c>
      <c r="J79" s="2">
        <f t="shared" si="11"/>
        <v>0</v>
      </c>
      <c r="O79" s="2">
        <f t="shared" si="12"/>
        <v>1.0186184969051151</v>
      </c>
      <c r="P79">
        <f t="shared" si="13"/>
        <v>1</v>
      </c>
      <c r="Q79">
        <f t="shared" si="14"/>
        <v>0</v>
      </c>
      <c r="R79">
        <f t="shared" si="15"/>
        <v>1</v>
      </c>
    </row>
    <row r="80" spans="1:18" x14ac:dyDescent="0.3">
      <c r="A80" s="1">
        <v>45418</v>
      </c>
      <c r="B80">
        <v>20523.310000000001</v>
      </c>
      <c r="C80" s="2">
        <f t="shared" si="16"/>
        <v>9.4479455353621063E-3</v>
      </c>
      <c r="D80">
        <f t="shared" si="17"/>
        <v>3</v>
      </c>
      <c r="E80" s="2">
        <f t="shared" si="18"/>
        <v>3.1493151784540356E-3</v>
      </c>
      <c r="F80" s="2">
        <f t="shared" si="19"/>
        <v>5.4547738981302355E-3</v>
      </c>
      <c r="G80" s="2">
        <f t="shared" si="8"/>
        <v>0.33273962057777251</v>
      </c>
      <c r="H80">
        <f t="shared" si="9"/>
        <v>101</v>
      </c>
      <c r="I80" s="2">
        <f t="shared" si="10"/>
        <v>0.19175541314983782</v>
      </c>
      <c r="J80" s="2">
        <f t="shared" si="11"/>
        <v>0</v>
      </c>
      <c r="O80" s="2">
        <f t="shared" si="12"/>
        <v>1.0162936680291823</v>
      </c>
      <c r="P80">
        <f t="shared" si="13"/>
        <v>1</v>
      </c>
      <c r="Q80">
        <f t="shared" si="14"/>
        <v>0</v>
      </c>
      <c r="R80">
        <f t="shared" si="15"/>
        <v>1</v>
      </c>
    </row>
    <row r="81" spans="1:18" x14ac:dyDescent="0.3">
      <c r="A81" s="1">
        <v>45419</v>
      </c>
      <c r="B81">
        <v>20653.53</v>
      </c>
      <c r="C81" s="2">
        <f t="shared" si="16"/>
        <v>6.3249357706224611E-3</v>
      </c>
      <c r="D81">
        <f t="shared" si="17"/>
        <v>1</v>
      </c>
      <c r="E81" s="2">
        <f t="shared" si="18"/>
        <v>6.3249357706224611E-3</v>
      </c>
      <c r="F81" s="2">
        <f t="shared" si="19"/>
        <v>6.3249357706224611E-3</v>
      </c>
      <c r="G81" s="2">
        <f t="shared" si="8"/>
        <v>0.33273962057777251</v>
      </c>
      <c r="H81">
        <f t="shared" si="9"/>
        <v>99</v>
      </c>
      <c r="I81" s="2">
        <f t="shared" si="10"/>
        <v>0.1920276486211081</v>
      </c>
      <c r="J81" s="2">
        <f t="shared" si="11"/>
        <v>0</v>
      </c>
      <c r="O81" s="2">
        <f t="shared" si="12"/>
        <v>1.0160902276753658</v>
      </c>
      <c r="P81">
        <f t="shared" si="13"/>
        <v>1</v>
      </c>
      <c r="Q81">
        <f t="shared" si="14"/>
        <v>0</v>
      </c>
      <c r="R81">
        <f t="shared" si="15"/>
        <v>1</v>
      </c>
    </row>
    <row r="82" spans="1:18" x14ac:dyDescent="0.3">
      <c r="A82" s="1">
        <v>45420</v>
      </c>
      <c r="B82">
        <v>20700.509999999998</v>
      </c>
      <c r="C82" s="2">
        <f t="shared" si="16"/>
        <v>2.2720885413245553E-3</v>
      </c>
      <c r="D82">
        <f t="shared" si="17"/>
        <v>1</v>
      </c>
      <c r="E82" s="2">
        <f t="shared" si="18"/>
        <v>2.2720885413245553E-3</v>
      </c>
      <c r="F82" s="2">
        <f t="shared" si="19"/>
        <v>2.2720885413245553E-3</v>
      </c>
      <c r="G82" s="2">
        <f t="shared" si="8"/>
        <v>0.45416240661896373</v>
      </c>
      <c r="H82">
        <f t="shared" si="9"/>
        <v>99</v>
      </c>
      <c r="I82" s="2">
        <f t="shared" si="10"/>
        <v>0.19138848070188216</v>
      </c>
      <c r="J82" s="2">
        <f t="shared" si="11"/>
        <v>0</v>
      </c>
      <c r="O82" s="2">
        <f t="shared" si="12"/>
        <v>1.0215791784840085</v>
      </c>
      <c r="P82">
        <f t="shared" si="13"/>
        <v>1</v>
      </c>
      <c r="Q82">
        <f t="shared" si="14"/>
        <v>0</v>
      </c>
      <c r="R82">
        <f t="shared" si="15"/>
        <v>1</v>
      </c>
    </row>
    <row r="83" spans="1:18" x14ac:dyDescent="0.3">
      <c r="A83" s="1">
        <v>45421</v>
      </c>
      <c r="B83">
        <v>20560.77</v>
      </c>
      <c r="C83" s="2">
        <f t="shared" si="16"/>
        <v>-6.7734464014326682E-3</v>
      </c>
      <c r="D83">
        <f t="shared" si="17"/>
        <v>1</v>
      </c>
      <c r="E83" s="2">
        <f t="shared" si="18"/>
        <v>-6.7734464014326682E-3</v>
      </c>
      <c r="F83" s="2">
        <f t="shared" si="19"/>
        <v>-6.7734464014326682E-3</v>
      </c>
      <c r="G83" s="2">
        <f t="shared" si="8"/>
        <v>0.45416240661896373</v>
      </c>
      <c r="H83">
        <f t="shared" si="9"/>
        <v>99</v>
      </c>
      <c r="I83" s="2">
        <f t="shared" si="10"/>
        <v>0.19100400540269852</v>
      </c>
      <c r="J83" s="2">
        <f t="shared" si="11"/>
        <v>2.0911250905920185E-2</v>
      </c>
      <c r="O83" s="2">
        <f t="shared" si="12"/>
        <v>1.0361606107164274</v>
      </c>
      <c r="P83">
        <f t="shared" si="13"/>
        <v>1</v>
      </c>
      <c r="Q83">
        <f t="shared" si="14"/>
        <v>0</v>
      </c>
      <c r="R83">
        <f t="shared" si="15"/>
        <v>1</v>
      </c>
    </row>
    <row r="84" spans="1:18" x14ac:dyDescent="0.3">
      <c r="A84" s="1">
        <v>45422</v>
      </c>
      <c r="B84">
        <v>20708.84</v>
      </c>
      <c r="C84" s="2">
        <f t="shared" si="16"/>
        <v>7.1757710026334066E-3</v>
      </c>
      <c r="D84">
        <f t="shared" si="17"/>
        <v>1</v>
      </c>
      <c r="E84" s="2">
        <f t="shared" si="18"/>
        <v>7.1757710026334066E-3</v>
      </c>
      <c r="F84" s="2">
        <f t="shared" si="19"/>
        <v>7.1757710026334066E-3</v>
      </c>
      <c r="G84" s="2">
        <f t="shared" si="8"/>
        <v>0.45416240661896373</v>
      </c>
      <c r="H84">
        <f t="shared" si="9"/>
        <v>99</v>
      </c>
      <c r="I84" s="2">
        <f t="shared" si="10"/>
        <v>0.19137026293895493</v>
      </c>
      <c r="J84" s="2">
        <f t="shared" si="11"/>
        <v>0</v>
      </c>
      <c r="O84" s="2">
        <f t="shared" si="12"/>
        <v>1.0265408395641669</v>
      </c>
      <c r="P84">
        <f t="shared" si="13"/>
        <v>1</v>
      </c>
      <c r="Q84">
        <f t="shared" si="14"/>
        <v>0</v>
      </c>
      <c r="R84">
        <f t="shared" si="15"/>
        <v>1</v>
      </c>
    </row>
    <row r="85" spans="1:18" x14ac:dyDescent="0.3">
      <c r="A85" s="1">
        <v>45425</v>
      </c>
      <c r="B85">
        <v>20857.71</v>
      </c>
      <c r="C85" s="2">
        <f t="shared" si="16"/>
        <v>7.1630018139744794E-3</v>
      </c>
      <c r="D85">
        <f t="shared" si="17"/>
        <v>3</v>
      </c>
      <c r="E85" s="2">
        <f t="shared" si="18"/>
        <v>2.3876672713248263E-3</v>
      </c>
      <c r="F85" s="2">
        <f t="shared" si="19"/>
        <v>4.1355610255039438E-3</v>
      </c>
      <c r="G85" s="2">
        <f t="shared" si="8"/>
        <v>0.45416240661896373</v>
      </c>
      <c r="H85">
        <f t="shared" si="9"/>
        <v>101</v>
      </c>
      <c r="I85" s="2">
        <f t="shared" si="10"/>
        <v>0.19128093578220032</v>
      </c>
      <c r="J85" s="2">
        <f t="shared" si="11"/>
        <v>0</v>
      </c>
      <c r="O85" s="2">
        <f t="shared" si="12"/>
        <v>1.0198449398328004</v>
      </c>
      <c r="P85">
        <f t="shared" si="13"/>
        <v>1</v>
      </c>
      <c r="Q85">
        <f t="shared" si="14"/>
        <v>0</v>
      </c>
      <c r="R85">
        <f t="shared" si="15"/>
        <v>1</v>
      </c>
    </row>
    <row r="86" spans="1:18" x14ac:dyDescent="0.3">
      <c r="A86" s="1">
        <v>45426</v>
      </c>
      <c r="B86">
        <v>20985.85</v>
      </c>
      <c r="C86" s="2">
        <f t="shared" si="16"/>
        <v>6.1247370237951584E-3</v>
      </c>
      <c r="D86">
        <f t="shared" si="17"/>
        <v>1</v>
      </c>
      <c r="E86" s="2">
        <f t="shared" si="18"/>
        <v>6.1247370237951584E-3</v>
      </c>
      <c r="F86" s="2">
        <f t="shared" si="19"/>
        <v>6.1247370237951584E-3</v>
      </c>
      <c r="G86" s="2">
        <f t="shared" si="8"/>
        <v>0.61701505381163568</v>
      </c>
      <c r="H86">
        <f t="shared" si="9"/>
        <v>99</v>
      </c>
      <c r="I86" s="2">
        <f t="shared" si="10"/>
        <v>0.19158013513427255</v>
      </c>
      <c r="J86" s="2">
        <f t="shared" si="11"/>
        <v>0</v>
      </c>
      <c r="O86" s="2">
        <f t="shared" si="12"/>
        <v>1.0119556748952272</v>
      </c>
      <c r="P86">
        <f t="shared" si="13"/>
        <v>0</v>
      </c>
      <c r="Q86">
        <f t="shared" si="14"/>
        <v>0</v>
      </c>
      <c r="R86">
        <f t="shared" si="15"/>
        <v>0</v>
      </c>
    </row>
    <row r="87" spans="1:18" x14ac:dyDescent="0.3">
      <c r="A87" s="1">
        <v>45427</v>
      </c>
      <c r="B87">
        <v>21147.21</v>
      </c>
      <c r="C87" s="2">
        <f t="shared" si="16"/>
        <v>7.6595808091846915E-3</v>
      </c>
      <c r="D87">
        <f t="shared" si="17"/>
        <v>1</v>
      </c>
      <c r="E87" s="2">
        <f t="shared" si="18"/>
        <v>7.6595808091846915E-3</v>
      </c>
      <c r="F87" s="2">
        <f t="shared" si="19"/>
        <v>7.6595808091846915E-3</v>
      </c>
      <c r="G87" s="2">
        <f t="shared" si="8"/>
        <v>0.61701505381163568</v>
      </c>
      <c r="H87">
        <f t="shared" si="9"/>
        <v>90</v>
      </c>
      <c r="I87" s="2">
        <f t="shared" si="10"/>
        <v>0.1911912275649563</v>
      </c>
      <c r="J87" s="2">
        <f t="shared" si="11"/>
        <v>0</v>
      </c>
      <c r="O87" s="2">
        <f t="shared" si="12"/>
        <v>1.0191334932598675</v>
      </c>
      <c r="P87">
        <f t="shared" si="13"/>
        <v>1</v>
      </c>
      <c r="Q87">
        <f t="shared" si="14"/>
        <v>0</v>
      </c>
      <c r="R87">
        <f t="shared" si="15"/>
        <v>1</v>
      </c>
    </row>
    <row r="88" spans="1:18" x14ac:dyDescent="0.3">
      <c r="A88" s="1">
        <v>45428</v>
      </c>
      <c r="B88">
        <v>21304.26</v>
      </c>
      <c r="C88" s="2">
        <f t="shared" si="16"/>
        <v>7.399070820910454E-3</v>
      </c>
      <c r="D88">
        <f t="shared" si="17"/>
        <v>1</v>
      </c>
      <c r="E88" s="2">
        <f t="shared" si="18"/>
        <v>7.399070820910454E-3</v>
      </c>
      <c r="F88" s="2">
        <f t="shared" si="19"/>
        <v>7.399070820910454E-3</v>
      </c>
      <c r="G88" s="2">
        <f t="shared" si="8"/>
        <v>0.76677487762724683</v>
      </c>
      <c r="H88">
        <f t="shared" si="9"/>
        <v>90</v>
      </c>
      <c r="I88" s="2">
        <f t="shared" si="10"/>
        <v>0.19144383318015037</v>
      </c>
      <c r="J88" s="2">
        <f t="shared" si="11"/>
        <v>0</v>
      </c>
      <c r="O88" s="2">
        <f t="shared" si="12"/>
        <v>1.0142304872358863</v>
      </c>
      <c r="P88">
        <f t="shared" si="13"/>
        <v>0</v>
      </c>
      <c r="Q88">
        <f t="shared" si="14"/>
        <v>0</v>
      </c>
      <c r="R88">
        <f t="shared" si="15"/>
        <v>0</v>
      </c>
    </row>
    <row r="89" spans="1:18" x14ac:dyDescent="0.3">
      <c r="A89" s="1">
        <v>45429</v>
      </c>
      <c r="B89">
        <v>21258.47</v>
      </c>
      <c r="C89" s="2">
        <f t="shared" si="16"/>
        <v>-2.1516485275143216E-3</v>
      </c>
      <c r="D89">
        <f t="shared" si="17"/>
        <v>1</v>
      </c>
      <c r="E89" s="2">
        <f t="shared" si="18"/>
        <v>-2.1516485275143216E-3</v>
      </c>
      <c r="F89" s="2">
        <f t="shared" si="19"/>
        <v>-2.1516485275143216E-3</v>
      </c>
      <c r="G89" s="2">
        <f t="shared" si="8"/>
        <v>0.76677487762724683</v>
      </c>
      <c r="H89">
        <f t="shared" si="9"/>
        <v>88</v>
      </c>
      <c r="I89" s="2">
        <f t="shared" si="10"/>
        <v>0.19169422287609914</v>
      </c>
      <c r="J89" s="2">
        <f t="shared" si="11"/>
        <v>9.9799212851870572E-3</v>
      </c>
      <c r="O89" s="2">
        <f t="shared" si="12"/>
        <v>1.0144351874805666</v>
      </c>
      <c r="P89">
        <f t="shared" si="13"/>
        <v>0</v>
      </c>
      <c r="Q89">
        <f t="shared" si="14"/>
        <v>0</v>
      </c>
      <c r="R89">
        <f t="shared" si="15"/>
        <v>0</v>
      </c>
    </row>
    <row r="90" spans="1:18" x14ac:dyDescent="0.3">
      <c r="A90" s="1">
        <v>45432</v>
      </c>
      <c r="B90">
        <v>21271.63</v>
      </c>
      <c r="C90" s="2">
        <f t="shared" si="16"/>
        <v>6.1885584186283777E-4</v>
      </c>
      <c r="D90">
        <f t="shared" si="17"/>
        <v>3</v>
      </c>
      <c r="E90" s="2">
        <f t="shared" si="18"/>
        <v>2.0628528062094592E-4</v>
      </c>
      <c r="F90" s="2">
        <f t="shared" si="19"/>
        <v>3.5729658688908188E-4</v>
      </c>
      <c r="G90" s="2">
        <f t="shared" si="8"/>
        <v>0.61701505381163568</v>
      </c>
      <c r="H90">
        <f t="shared" si="9"/>
        <v>90</v>
      </c>
      <c r="I90" s="2">
        <f t="shared" si="10"/>
        <v>0.19141271314125499</v>
      </c>
      <c r="J90" s="2">
        <f t="shared" si="11"/>
        <v>3.5483784646259901E-3</v>
      </c>
      <c r="O90" s="2">
        <f t="shared" si="12"/>
        <v>1.0250164185819328</v>
      </c>
      <c r="P90">
        <f t="shared" si="13"/>
        <v>1</v>
      </c>
      <c r="Q90">
        <f t="shared" si="14"/>
        <v>0</v>
      </c>
      <c r="R90">
        <f t="shared" si="15"/>
        <v>1</v>
      </c>
    </row>
    <row r="91" spans="1:18" x14ac:dyDescent="0.3">
      <c r="A91" s="1">
        <v>45433</v>
      </c>
      <c r="B91">
        <v>21236.75</v>
      </c>
      <c r="C91" s="2">
        <f t="shared" si="16"/>
        <v>-1.6410885490415244E-3</v>
      </c>
      <c r="D91">
        <f t="shared" si="17"/>
        <v>1</v>
      </c>
      <c r="E91" s="2">
        <f t="shared" si="18"/>
        <v>-1.6410885490415244E-3</v>
      </c>
      <c r="F91" s="2">
        <f t="shared" si="19"/>
        <v>-1.6410885490415244E-3</v>
      </c>
      <c r="G91" s="2">
        <f t="shared" si="8"/>
        <v>0.61701505381163568</v>
      </c>
      <c r="H91">
        <f t="shared" si="9"/>
        <v>90</v>
      </c>
      <c r="I91" s="2">
        <f t="shared" si="10"/>
        <v>0.19103863586525871</v>
      </c>
      <c r="J91" s="2">
        <f t="shared" si="11"/>
        <v>8.5786206223719755E-3</v>
      </c>
      <c r="O91" s="2">
        <f t="shared" si="12"/>
        <v>1.0292728407124443</v>
      </c>
      <c r="P91">
        <f t="shared" si="13"/>
        <v>1</v>
      </c>
      <c r="Q91">
        <f t="shared" si="14"/>
        <v>0</v>
      </c>
      <c r="R91">
        <f t="shared" si="15"/>
        <v>1</v>
      </c>
    </row>
    <row r="92" spans="1:18" x14ac:dyDescent="0.3">
      <c r="A92" s="1">
        <v>45434</v>
      </c>
      <c r="B92">
        <v>21551.83</v>
      </c>
      <c r="C92" s="2">
        <f t="shared" si="16"/>
        <v>1.4727560254511165E-2</v>
      </c>
      <c r="D92">
        <f t="shared" si="17"/>
        <v>1</v>
      </c>
      <c r="E92" s="2">
        <f t="shared" si="18"/>
        <v>1.4727560254511165E-2</v>
      </c>
      <c r="F92" s="2">
        <f t="shared" si="19"/>
        <v>1.4727560254511165E-2</v>
      </c>
      <c r="G92" s="2">
        <f t="shared" si="8"/>
        <v>0.61701505381163568</v>
      </c>
      <c r="H92">
        <f t="shared" si="9"/>
        <v>90</v>
      </c>
      <c r="I92" s="2">
        <f t="shared" si="10"/>
        <v>0.19278624229002223</v>
      </c>
      <c r="J92" s="2">
        <f t="shared" si="11"/>
        <v>0</v>
      </c>
      <c r="O92" s="2">
        <f t="shared" si="12"/>
        <v>1.0051350627765716</v>
      </c>
      <c r="P92">
        <f t="shared" si="13"/>
        <v>0</v>
      </c>
      <c r="Q92">
        <f t="shared" si="14"/>
        <v>0</v>
      </c>
      <c r="R92">
        <f t="shared" si="15"/>
        <v>0</v>
      </c>
    </row>
    <row r="93" spans="1:18" x14ac:dyDescent="0.3">
      <c r="A93" s="1">
        <v>45435</v>
      </c>
      <c r="B93">
        <v>21607.43</v>
      </c>
      <c r="C93" s="2">
        <f t="shared" si="16"/>
        <v>2.5765052856707837E-3</v>
      </c>
      <c r="D93">
        <f t="shared" si="17"/>
        <v>1</v>
      </c>
      <c r="E93" s="2">
        <f t="shared" si="18"/>
        <v>2.5765052856707837E-3</v>
      </c>
      <c r="F93" s="2">
        <f t="shared" si="19"/>
        <v>2.5765052856707837E-3</v>
      </c>
      <c r="G93" s="2">
        <f t="shared" si="8"/>
        <v>0.67955249376785154</v>
      </c>
      <c r="H93">
        <f t="shared" si="9"/>
        <v>90</v>
      </c>
      <c r="I93" s="2">
        <f t="shared" si="10"/>
        <v>0.19279292435800327</v>
      </c>
      <c r="J93" s="2">
        <f t="shared" si="11"/>
        <v>0</v>
      </c>
      <c r="O93" s="2">
        <f t="shared" si="12"/>
        <v>0.98875618247982289</v>
      </c>
      <c r="P93">
        <f t="shared" si="13"/>
        <v>0</v>
      </c>
      <c r="Q93">
        <f t="shared" si="14"/>
        <v>0</v>
      </c>
      <c r="R93">
        <f t="shared" si="15"/>
        <v>0</v>
      </c>
    </row>
    <row r="94" spans="1:18" x14ac:dyDescent="0.3">
      <c r="A94" s="1">
        <v>45436</v>
      </c>
      <c r="B94">
        <v>21565.34</v>
      </c>
      <c r="C94" s="2">
        <f t="shared" si="16"/>
        <v>-1.9498407600480629E-3</v>
      </c>
      <c r="D94">
        <f t="shared" si="17"/>
        <v>1</v>
      </c>
      <c r="E94" s="2">
        <f t="shared" si="18"/>
        <v>-1.9498407600480629E-3</v>
      </c>
      <c r="F94" s="2">
        <f t="shared" si="19"/>
        <v>-1.9498407600480629E-3</v>
      </c>
      <c r="G94" s="2">
        <f t="shared" si="8"/>
        <v>0.67955249376785154</v>
      </c>
      <c r="H94">
        <f t="shared" si="9"/>
        <v>88</v>
      </c>
      <c r="I94" s="2">
        <f t="shared" si="10"/>
        <v>0.19303104213668545</v>
      </c>
      <c r="J94" s="2">
        <f t="shared" si="11"/>
        <v>9.4315640415417734E-3</v>
      </c>
      <c r="O94" s="2">
        <f t="shared" si="12"/>
        <v>0.98186349021160813</v>
      </c>
      <c r="P94">
        <f t="shared" si="13"/>
        <v>0</v>
      </c>
      <c r="Q94">
        <f t="shared" si="14"/>
        <v>1</v>
      </c>
      <c r="R94">
        <f t="shared" si="15"/>
        <v>1</v>
      </c>
    </row>
    <row r="95" spans="1:18" x14ac:dyDescent="0.3">
      <c r="A95" s="1">
        <v>45439</v>
      </c>
      <c r="B95">
        <v>21803.77</v>
      </c>
      <c r="C95" s="2">
        <f t="shared" si="16"/>
        <v>1.099549435970529E-2</v>
      </c>
      <c r="D95">
        <f t="shared" si="17"/>
        <v>3</v>
      </c>
      <c r="E95" s="2">
        <f t="shared" si="18"/>
        <v>3.66516478656843E-3</v>
      </c>
      <c r="F95" s="2">
        <f t="shared" si="19"/>
        <v>6.3482516284488607E-3</v>
      </c>
      <c r="G95" s="2">
        <f t="shared" si="8"/>
        <v>0.85040543580851213</v>
      </c>
      <c r="H95">
        <f t="shared" si="9"/>
        <v>90</v>
      </c>
      <c r="I95" s="2">
        <f t="shared" si="10"/>
        <v>0.19256999827616039</v>
      </c>
      <c r="J95" s="2">
        <f t="shared" si="11"/>
        <v>0</v>
      </c>
      <c r="O95" s="2">
        <f t="shared" si="12"/>
        <v>0.98775395264213472</v>
      </c>
      <c r="P95">
        <f t="shared" si="13"/>
        <v>0</v>
      </c>
      <c r="Q95">
        <f t="shared" si="14"/>
        <v>0</v>
      </c>
      <c r="R95">
        <f t="shared" si="15"/>
        <v>0</v>
      </c>
    </row>
    <row r="96" spans="1:18" x14ac:dyDescent="0.3">
      <c r="A96" s="1">
        <v>45440</v>
      </c>
      <c r="B96">
        <v>21858.41</v>
      </c>
      <c r="C96" s="2">
        <f t="shared" si="16"/>
        <v>2.5028538897205886E-3</v>
      </c>
      <c r="D96">
        <f t="shared" si="17"/>
        <v>1</v>
      </c>
      <c r="E96" s="2">
        <f t="shared" si="18"/>
        <v>2.5028538897205886E-3</v>
      </c>
      <c r="F96" s="2">
        <f t="shared" si="19"/>
        <v>2.5028538897205886E-3</v>
      </c>
      <c r="G96" s="2">
        <f t="shared" si="8"/>
        <v>0.85040543580851213</v>
      </c>
      <c r="H96">
        <f t="shared" si="9"/>
        <v>89</v>
      </c>
      <c r="I96" s="2">
        <f t="shared" si="10"/>
        <v>0.19249884193063013</v>
      </c>
      <c r="J96" s="2">
        <f t="shared" si="11"/>
        <v>0</v>
      </c>
      <c r="O96" s="2">
        <f t="shared" si="12"/>
        <v>0.97704361845166232</v>
      </c>
      <c r="P96">
        <f t="shared" si="13"/>
        <v>0</v>
      </c>
      <c r="Q96">
        <f t="shared" si="14"/>
        <v>1</v>
      </c>
      <c r="R96">
        <f t="shared" si="15"/>
        <v>1</v>
      </c>
    </row>
    <row r="97" spans="1:18" x14ac:dyDescent="0.3">
      <c r="A97" s="1">
        <v>45441</v>
      </c>
      <c r="B97">
        <v>21662.5</v>
      </c>
      <c r="C97" s="2">
        <f t="shared" si="16"/>
        <v>-9.0030894711877318E-3</v>
      </c>
      <c r="D97">
        <f t="shared" si="17"/>
        <v>1</v>
      </c>
      <c r="E97" s="2">
        <f t="shared" si="18"/>
        <v>-9.0030894711877318E-3</v>
      </c>
      <c r="F97" s="2">
        <f t="shared" si="19"/>
        <v>-9.0030894711877318E-3</v>
      </c>
      <c r="G97" s="2">
        <f t="shared" si="8"/>
        <v>0.85040543580851213</v>
      </c>
      <c r="H97">
        <f t="shared" si="9"/>
        <v>89</v>
      </c>
      <c r="I97" s="2">
        <f t="shared" si="10"/>
        <v>0.1942186810035671</v>
      </c>
      <c r="J97" s="2">
        <f t="shared" si="11"/>
        <v>2.6919581703015307E-2</v>
      </c>
      <c r="O97" s="2">
        <f t="shared" si="12"/>
        <v>0.99180057703404501</v>
      </c>
      <c r="P97">
        <f t="shared" si="13"/>
        <v>0</v>
      </c>
      <c r="Q97">
        <f t="shared" si="14"/>
        <v>0</v>
      </c>
      <c r="R97">
        <f t="shared" si="15"/>
        <v>0</v>
      </c>
    </row>
    <row r="98" spans="1:18" x14ac:dyDescent="0.3">
      <c r="A98" s="1">
        <v>45442</v>
      </c>
      <c r="B98">
        <v>21364.48</v>
      </c>
      <c r="C98" s="2">
        <f t="shared" si="16"/>
        <v>-1.3852925113918271E-2</v>
      </c>
      <c r="D98">
        <f t="shared" si="17"/>
        <v>1</v>
      </c>
      <c r="E98" s="2">
        <f t="shared" si="18"/>
        <v>-1.3852925113918271E-2</v>
      </c>
      <c r="F98" s="2">
        <f t="shared" si="19"/>
        <v>-1.3852925113918271E-2</v>
      </c>
      <c r="G98" s="2">
        <f t="shared" si="8"/>
        <v>0.67955249376785154</v>
      </c>
      <c r="H98">
        <f t="shared" si="9"/>
        <v>87</v>
      </c>
      <c r="I98" s="2">
        <f t="shared" si="10"/>
        <v>0.1966350114240287</v>
      </c>
      <c r="J98" s="2">
        <f t="shared" si="11"/>
        <v>3.7853455371924027E-2</v>
      </c>
      <c r="O98" s="2">
        <f t="shared" si="12"/>
        <v>1.0251922817686179</v>
      </c>
      <c r="P98">
        <f t="shared" si="13"/>
        <v>1</v>
      </c>
      <c r="Q98">
        <f t="shared" si="14"/>
        <v>0</v>
      </c>
      <c r="R98">
        <f t="shared" si="15"/>
        <v>1</v>
      </c>
    </row>
    <row r="99" spans="1:18" x14ac:dyDescent="0.3">
      <c r="A99" s="1">
        <v>45443</v>
      </c>
      <c r="B99">
        <v>21174.22</v>
      </c>
      <c r="C99" s="2">
        <f t="shared" si="16"/>
        <v>-8.9453259595275551E-3</v>
      </c>
      <c r="D99">
        <f t="shared" si="17"/>
        <v>1</v>
      </c>
      <c r="E99" s="2">
        <f t="shared" si="18"/>
        <v>-8.9453259595275551E-3</v>
      </c>
      <c r="F99" s="2">
        <f t="shared" si="19"/>
        <v>-8.9453259595275551E-3</v>
      </c>
      <c r="G99" s="2">
        <f t="shared" si="8"/>
        <v>0.40836988391104906</v>
      </c>
      <c r="H99">
        <f t="shared" si="9"/>
        <v>87</v>
      </c>
      <c r="I99" s="2">
        <f t="shared" si="10"/>
        <v>0.19818126615863194</v>
      </c>
      <c r="J99" s="2">
        <f t="shared" si="11"/>
        <v>2.5208022507478643E-2</v>
      </c>
      <c r="O99" s="2">
        <f t="shared" si="12"/>
        <v>1.032310989495717</v>
      </c>
      <c r="P99">
        <f t="shared" si="13"/>
        <v>1</v>
      </c>
      <c r="Q99">
        <f t="shared" si="14"/>
        <v>0</v>
      </c>
      <c r="R99">
        <f t="shared" si="15"/>
        <v>1</v>
      </c>
    </row>
    <row r="100" spans="1:18" x14ac:dyDescent="0.3">
      <c r="A100" s="1">
        <v>45446</v>
      </c>
      <c r="B100">
        <v>21536.76</v>
      </c>
      <c r="C100" s="2">
        <f t="shared" si="16"/>
        <v>1.6976838618769686E-2</v>
      </c>
      <c r="D100">
        <f t="shared" si="17"/>
        <v>3</v>
      </c>
      <c r="E100" s="2">
        <f t="shared" si="18"/>
        <v>5.6589462062565619E-3</v>
      </c>
      <c r="F100" s="2">
        <f t="shared" si="19"/>
        <v>9.8015823465355135E-3</v>
      </c>
      <c r="G100" s="2">
        <f t="shared" si="8"/>
        <v>0.40836988391104906</v>
      </c>
      <c r="H100">
        <f t="shared" si="9"/>
        <v>89</v>
      </c>
      <c r="I100" s="2">
        <f t="shared" si="10"/>
        <v>0.19899230885029701</v>
      </c>
      <c r="J100" s="2">
        <f t="shared" si="11"/>
        <v>0</v>
      </c>
      <c r="O100" s="2">
        <f t="shared" si="12"/>
        <v>1.0118569366979993</v>
      </c>
      <c r="P100">
        <f t="shared" si="13"/>
        <v>0</v>
      </c>
      <c r="Q100">
        <f t="shared" si="14"/>
        <v>0</v>
      </c>
      <c r="R100">
        <f t="shared" si="15"/>
        <v>0</v>
      </c>
    </row>
    <row r="101" spans="1:18" x14ac:dyDescent="0.3">
      <c r="A101" s="1">
        <v>45447</v>
      </c>
      <c r="B101">
        <v>21356.62</v>
      </c>
      <c r="C101" s="2">
        <f t="shared" si="16"/>
        <v>-8.3994807166512184E-3</v>
      </c>
      <c r="D101">
        <f t="shared" si="17"/>
        <v>1</v>
      </c>
      <c r="E101" s="2">
        <f t="shared" si="18"/>
        <v>-8.3994807166512184E-3</v>
      </c>
      <c r="F101" s="2">
        <f t="shared" si="19"/>
        <v>-8.3994807166512184E-3</v>
      </c>
      <c r="G101" s="2">
        <f t="shared" si="8"/>
        <v>0.27136031788558806</v>
      </c>
      <c r="H101">
        <f t="shared" si="9"/>
        <v>89</v>
      </c>
      <c r="I101" s="2">
        <f t="shared" si="10"/>
        <v>0.19924109593336081</v>
      </c>
      <c r="J101" s="2">
        <f t="shared" si="11"/>
        <v>2.3274346866721057E-2</v>
      </c>
      <c r="O101" s="2">
        <f t="shared" si="12"/>
        <v>1.0324180511710186</v>
      </c>
      <c r="P101">
        <f t="shared" si="13"/>
        <v>1</v>
      </c>
      <c r="Q101">
        <f t="shared" si="14"/>
        <v>0</v>
      </c>
      <c r="R101">
        <f t="shared" si="15"/>
        <v>1</v>
      </c>
    </row>
    <row r="102" spans="1:18" x14ac:dyDescent="0.3">
      <c r="A102" s="1">
        <v>45448</v>
      </c>
      <c r="B102">
        <v>21484.880000000001</v>
      </c>
      <c r="C102" s="2">
        <f t="shared" si="16"/>
        <v>5.9876700488991344E-3</v>
      </c>
      <c r="D102">
        <f t="shared" si="17"/>
        <v>1</v>
      </c>
      <c r="E102" s="2">
        <f t="shared" si="18"/>
        <v>5.9876700488991344E-3</v>
      </c>
      <c r="F102" s="2">
        <f t="shared" si="19"/>
        <v>5.9876700488991344E-3</v>
      </c>
      <c r="G102" s="2">
        <f t="shared" si="8"/>
        <v>0.27136031788558806</v>
      </c>
      <c r="H102">
        <f t="shared" si="9"/>
        <v>89</v>
      </c>
      <c r="I102" s="2">
        <f t="shared" si="10"/>
        <v>0.1994183348022146</v>
      </c>
      <c r="J102" s="2">
        <f t="shared" si="11"/>
        <v>0</v>
      </c>
      <c r="O102" s="2">
        <f t="shared" si="12"/>
        <v>1.0384996332304393</v>
      </c>
      <c r="P102">
        <f t="shared" si="13"/>
        <v>1</v>
      </c>
      <c r="Q102">
        <f t="shared" si="14"/>
        <v>0</v>
      </c>
      <c r="R102">
        <f t="shared" si="15"/>
        <v>1</v>
      </c>
    </row>
    <row r="103" spans="1:18" x14ac:dyDescent="0.3">
      <c r="A103" s="1">
        <v>45449</v>
      </c>
      <c r="B103">
        <v>21902.7</v>
      </c>
      <c r="C103" s="2">
        <f t="shared" si="16"/>
        <v>1.9260484975091186E-2</v>
      </c>
      <c r="D103">
        <f t="shared" si="17"/>
        <v>1</v>
      </c>
      <c r="E103" s="2">
        <f t="shared" si="18"/>
        <v>1.9260484975091186E-2</v>
      </c>
      <c r="F103" s="2">
        <f t="shared" si="19"/>
        <v>1.9260484975091186E-2</v>
      </c>
      <c r="G103" s="2">
        <f t="shared" si="8"/>
        <v>0.40836988391104906</v>
      </c>
      <c r="H103">
        <f t="shared" si="9"/>
        <v>87</v>
      </c>
      <c r="I103" s="2">
        <f t="shared" si="10"/>
        <v>0.20426343017050819</v>
      </c>
      <c r="J103" s="2">
        <f t="shared" si="11"/>
        <v>0</v>
      </c>
      <c r="O103" s="2">
        <f t="shared" si="12"/>
        <v>1.0274861090185228</v>
      </c>
      <c r="P103">
        <f t="shared" si="13"/>
        <v>1</v>
      </c>
      <c r="Q103">
        <f t="shared" si="14"/>
        <v>0</v>
      </c>
      <c r="R103">
        <f t="shared" si="15"/>
        <v>1</v>
      </c>
    </row>
    <row r="104" spans="1:18" x14ac:dyDescent="0.3">
      <c r="A104" s="1">
        <v>45450</v>
      </c>
      <c r="B104">
        <v>21858.38</v>
      </c>
      <c r="C104" s="2">
        <f t="shared" si="16"/>
        <v>-2.0255448518695218E-3</v>
      </c>
      <c r="D104">
        <f t="shared" si="17"/>
        <v>1</v>
      </c>
      <c r="E104" s="2">
        <f t="shared" si="18"/>
        <v>-2.0255448518695218E-3</v>
      </c>
      <c r="F104" s="2">
        <f t="shared" si="19"/>
        <v>-2.0255448518695218E-3</v>
      </c>
      <c r="G104" s="2">
        <f t="shared" si="8"/>
        <v>0.27136031788558806</v>
      </c>
      <c r="H104">
        <f t="shared" si="9"/>
        <v>87</v>
      </c>
      <c r="I104" s="2">
        <f t="shared" si="10"/>
        <v>0.20341318716723028</v>
      </c>
      <c r="J104" s="2">
        <f t="shared" si="11"/>
        <v>7.997131162709217E-3</v>
      </c>
      <c r="O104" s="2">
        <f t="shared" si="12"/>
        <v>1.0291947527675884</v>
      </c>
      <c r="P104">
        <f t="shared" si="13"/>
        <v>1</v>
      </c>
      <c r="Q104">
        <f t="shared" si="14"/>
        <v>0</v>
      </c>
      <c r="R104">
        <f t="shared" si="15"/>
        <v>1</v>
      </c>
    </row>
    <row r="105" spans="1:18" x14ac:dyDescent="0.3">
      <c r="A105" s="1">
        <v>45454</v>
      </c>
      <c r="B105">
        <v>21792.12</v>
      </c>
      <c r="C105" s="2">
        <f t="shared" si="16"/>
        <v>-3.0359354826481866E-3</v>
      </c>
      <c r="D105">
        <f t="shared" si="17"/>
        <v>4</v>
      </c>
      <c r="E105" s="2">
        <f t="shared" si="18"/>
        <v>-7.5898387066204666E-4</v>
      </c>
      <c r="F105" s="2">
        <f t="shared" si="19"/>
        <v>-1.5179677413240933E-3</v>
      </c>
      <c r="G105" s="2">
        <f t="shared" si="8"/>
        <v>0.22962749007753946</v>
      </c>
      <c r="H105">
        <f t="shared" si="9"/>
        <v>90</v>
      </c>
      <c r="I105" s="2">
        <f t="shared" si="10"/>
        <v>0.20352159251023019</v>
      </c>
      <c r="J105" s="2">
        <f t="shared" si="11"/>
        <v>6.6540163489521584E-3</v>
      </c>
      <c r="O105" s="2">
        <f t="shared" si="12"/>
        <v>1.0442962869147197</v>
      </c>
      <c r="P105">
        <f t="shared" si="13"/>
        <v>1</v>
      </c>
      <c r="Q105">
        <f t="shared" si="14"/>
        <v>0</v>
      </c>
      <c r="R105">
        <f t="shared" si="15"/>
        <v>1</v>
      </c>
    </row>
    <row r="106" spans="1:18" x14ac:dyDescent="0.3">
      <c r="A106" s="1">
        <v>45455</v>
      </c>
      <c r="B106">
        <v>22048.959999999999</v>
      </c>
      <c r="C106" s="2">
        <f t="shared" si="16"/>
        <v>1.1716998687776372E-2</v>
      </c>
      <c r="D106">
        <f t="shared" si="17"/>
        <v>1</v>
      </c>
      <c r="E106" s="2">
        <f t="shared" si="18"/>
        <v>1.1716998687776372E-2</v>
      </c>
      <c r="F106" s="2">
        <f t="shared" si="19"/>
        <v>1.1716998687776372E-2</v>
      </c>
      <c r="G106" s="2">
        <f t="shared" si="8"/>
        <v>0.40836988391104906</v>
      </c>
      <c r="H106">
        <f t="shared" si="9"/>
        <v>90</v>
      </c>
      <c r="I106" s="2">
        <f t="shared" si="10"/>
        <v>0.20516284076050395</v>
      </c>
      <c r="J106" s="2">
        <f t="shared" si="11"/>
        <v>0</v>
      </c>
      <c r="O106" s="2">
        <f t="shared" si="12"/>
        <v>1.0526364962338361</v>
      </c>
      <c r="P106">
        <f t="shared" si="13"/>
        <v>1</v>
      </c>
      <c r="Q106">
        <f t="shared" si="14"/>
        <v>0</v>
      </c>
      <c r="R106">
        <f t="shared" si="15"/>
        <v>1</v>
      </c>
    </row>
    <row r="107" spans="1:18" x14ac:dyDescent="0.3">
      <c r="A107" s="1">
        <v>45456</v>
      </c>
      <c r="B107">
        <v>22312.04</v>
      </c>
      <c r="C107" s="2">
        <f t="shared" si="16"/>
        <v>1.1861007833195044E-2</v>
      </c>
      <c r="D107">
        <f t="shared" si="17"/>
        <v>1</v>
      </c>
      <c r="E107" s="2">
        <f t="shared" si="18"/>
        <v>1.1861007833195044E-2</v>
      </c>
      <c r="F107" s="2">
        <f t="shared" si="19"/>
        <v>1.1861007833195044E-2</v>
      </c>
      <c r="G107" s="2">
        <f t="shared" si="8"/>
        <v>0.67955249376785154</v>
      </c>
      <c r="H107">
        <f t="shared" si="9"/>
        <v>90</v>
      </c>
      <c r="I107" s="2">
        <f t="shared" si="10"/>
        <v>0.20359693435521378</v>
      </c>
      <c r="J107" s="2">
        <f t="shared" si="11"/>
        <v>0</v>
      </c>
      <c r="O107" s="2">
        <f t="shared" si="12"/>
        <v>1.0490345123081528</v>
      </c>
      <c r="P107">
        <f t="shared" si="13"/>
        <v>1</v>
      </c>
      <c r="Q107">
        <f t="shared" si="14"/>
        <v>0</v>
      </c>
      <c r="R107">
        <f t="shared" si="15"/>
        <v>1</v>
      </c>
    </row>
    <row r="108" spans="1:18" x14ac:dyDescent="0.3">
      <c r="A108" s="1">
        <v>45457</v>
      </c>
      <c r="B108">
        <v>22504.720000000001</v>
      </c>
      <c r="C108" s="2">
        <f t="shared" si="16"/>
        <v>8.5986219070293361E-3</v>
      </c>
      <c r="D108">
        <f t="shared" si="17"/>
        <v>1</v>
      </c>
      <c r="E108" s="2">
        <f t="shared" si="18"/>
        <v>8.5986219070293361E-3</v>
      </c>
      <c r="F108" s="2">
        <f t="shared" si="19"/>
        <v>8.5986219070293361E-3</v>
      </c>
      <c r="G108" s="2">
        <f t="shared" si="8"/>
        <v>0.67955249376785154</v>
      </c>
      <c r="H108">
        <f t="shared" si="9"/>
        <v>88</v>
      </c>
      <c r="I108" s="2">
        <f t="shared" si="10"/>
        <v>0.20406008185843472</v>
      </c>
      <c r="J108" s="2">
        <f t="shared" si="11"/>
        <v>0</v>
      </c>
      <c r="O108" s="2">
        <f t="shared" si="12"/>
        <v>1.0332672434938093</v>
      </c>
      <c r="P108">
        <f t="shared" si="13"/>
        <v>1</v>
      </c>
      <c r="Q108">
        <f t="shared" si="14"/>
        <v>0</v>
      </c>
      <c r="R108">
        <f t="shared" si="15"/>
        <v>1</v>
      </c>
    </row>
    <row r="109" spans="1:18" x14ac:dyDescent="0.3">
      <c r="A109" s="1">
        <v>45460</v>
      </c>
      <c r="B109">
        <v>22496.53</v>
      </c>
      <c r="C109" s="2">
        <f t="shared" si="16"/>
        <v>-3.6398989318855681E-4</v>
      </c>
      <c r="D109">
        <f t="shared" si="17"/>
        <v>3</v>
      </c>
      <c r="E109" s="2">
        <f t="shared" si="18"/>
        <v>-1.2132996439618561E-4</v>
      </c>
      <c r="F109" s="2">
        <f t="shared" si="19"/>
        <v>-2.1014966281471641E-4</v>
      </c>
      <c r="G109" s="2">
        <f t="shared" si="8"/>
        <v>0.67955249376785154</v>
      </c>
      <c r="H109">
        <f t="shared" si="9"/>
        <v>90</v>
      </c>
      <c r="I109" s="2">
        <f t="shared" si="10"/>
        <v>0.20398931375113316</v>
      </c>
      <c r="J109" s="2">
        <f t="shared" si="11"/>
        <v>5.0631110005980237E-3</v>
      </c>
      <c r="O109" s="2">
        <f t="shared" si="12"/>
        <v>1.0140986187647607</v>
      </c>
      <c r="P109">
        <f t="shared" si="13"/>
        <v>0</v>
      </c>
      <c r="Q109">
        <f t="shared" si="14"/>
        <v>0</v>
      </c>
      <c r="R109">
        <f t="shared" si="15"/>
        <v>0</v>
      </c>
    </row>
    <row r="110" spans="1:18" x14ac:dyDescent="0.3">
      <c r="A110" s="1">
        <v>45461</v>
      </c>
      <c r="B110">
        <v>22757.43</v>
      </c>
      <c r="C110" s="2">
        <f t="shared" si="16"/>
        <v>1.1530610388852794E-2</v>
      </c>
      <c r="D110">
        <f t="shared" si="17"/>
        <v>1</v>
      </c>
      <c r="E110" s="2">
        <f t="shared" si="18"/>
        <v>1.1530610388852794E-2</v>
      </c>
      <c r="F110" s="2">
        <f t="shared" si="19"/>
        <v>1.1530610388852794E-2</v>
      </c>
      <c r="G110" s="2">
        <f t="shared" si="8"/>
        <v>0.85040543580851213</v>
      </c>
      <c r="H110">
        <f t="shared" si="9"/>
        <v>90</v>
      </c>
      <c r="I110" s="2">
        <f t="shared" si="10"/>
        <v>0.20489125201851119</v>
      </c>
      <c r="J110" s="2">
        <f t="shared" si="11"/>
        <v>0</v>
      </c>
      <c r="O110" s="2">
        <f t="shared" si="12"/>
        <v>1.005208848275047</v>
      </c>
      <c r="P110">
        <f t="shared" si="13"/>
        <v>0</v>
      </c>
      <c r="Q110">
        <f t="shared" si="14"/>
        <v>0</v>
      </c>
      <c r="R110">
        <f t="shared" si="15"/>
        <v>0</v>
      </c>
    </row>
    <row r="111" spans="1:18" x14ac:dyDescent="0.3">
      <c r="A111" s="1">
        <v>45462</v>
      </c>
      <c r="B111">
        <v>23209.54</v>
      </c>
      <c r="C111" s="2">
        <f t="shared" si="16"/>
        <v>1.9671715562895018E-2</v>
      </c>
      <c r="D111">
        <f t="shared" si="17"/>
        <v>1</v>
      </c>
      <c r="E111" s="2">
        <f t="shared" si="18"/>
        <v>1.9671715562895018E-2</v>
      </c>
      <c r="F111" s="2">
        <f t="shared" si="19"/>
        <v>1.9671715562895018E-2</v>
      </c>
      <c r="G111" s="2">
        <f t="shared" si="8"/>
        <v>0.85040543580851213</v>
      </c>
      <c r="H111">
        <f t="shared" si="9"/>
        <v>90</v>
      </c>
      <c r="I111" s="2">
        <f t="shared" si="10"/>
        <v>0.20430526334870053</v>
      </c>
      <c r="J111" s="2">
        <f t="shared" si="11"/>
        <v>0</v>
      </c>
      <c r="O111" s="2">
        <f t="shared" si="12"/>
        <v>0.99039834481855293</v>
      </c>
      <c r="P111">
        <f t="shared" si="13"/>
        <v>0</v>
      </c>
      <c r="Q111">
        <f t="shared" si="14"/>
        <v>0</v>
      </c>
      <c r="R111">
        <f t="shared" si="15"/>
        <v>0</v>
      </c>
    </row>
    <row r="112" spans="1:18" x14ac:dyDescent="0.3">
      <c r="A112" s="1">
        <v>45463</v>
      </c>
      <c r="B112">
        <v>23406.1</v>
      </c>
      <c r="C112" s="2">
        <f t="shared" si="16"/>
        <v>8.4332711058016738E-3</v>
      </c>
      <c r="D112">
        <f t="shared" si="17"/>
        <v>1</v>
      </c>
      <c r="E112" s="2">
        <f t="shared" si="18"/>
        <v>8.4332711058016738E-3</v>
      </c>
      <c r="F112" s="2">
        <f t="shared" si="19"/>
        <v>8.4332711058016738E-3</v>
      </c>
      <c r="G112" s="2">
        <f t="shared" si="8"/>
        <v>0.89252011189078828</v>
      </c>
      <c r="H112">
        <f t="shared" si="9"/>
        <v>90</v>
      </c>
      <c r="I112" s="2">
        <f t="shared" si="10"/>
        <v>0.20489762895356364</v>
      </c>
      <c r="J112" s="2">
        <f t="shared" si="11"/>
        <v>0</v>
      </c>
      <c r="O112" s="2">
        <f t="shared" si="12"/>
        <v>0.97863292047799511</v>
      </c>
      <c r="P112">
        <f t="shared" si="13"/>
        <v>0</v>
      </c>
      <c r="Q112">
        <f t="shared" si="14"/>
        <v>1</v>
      </c>
      <c r="R112">
        <f t="shared" si="15"/>
        <v>1</v>
      </c>
    </row>
    <row r="113" spans="1:18" x14ac:dyDescent="0.3">
      <c r="A113" s="1">
        <v>45464</v>
      </c>
      <c r="B113">
        <v>23253.39</v>
      </c>
      <c r="C113" s="2">
        <f t="shared" si="16"/>
        <v>-6.5457442959810973E-3</v>
      </c>
      <c r="D113">
        <f t="shared" si="17"/>
        <v>1</v>
      </c>
      <c r="E113" s="2">
        <f t="shared" si="18"/>
        <v>-6.5457442959810973E-3</v>
      </c>
      <c r="F113" s="2">
        <f t="shared" si="19"/>
        <v>-6.5457442959810973E-3</v>
      </c>
      <c r="G113" s="2">
        <f t="shared" si="8"/>
        <v>0.89252011189078828</v>
      </c>
      <c r="H113">
        <f t="shared" si="9"/>
        <v>88</v>
      </c>
      <c r="I113" s="2">
        <f t="shared" si="10"/>
        <v>0.20588355190692395</v>
      </c>
      <c r="J113" s="2">
        <f t="shared" si="11"/>
        <v>2.1330801243434883E-2</v>
      </c>
      <c r="O113" s="2">
        <f t="shared" si="12"/>
        <v>0.99048998877152972</v>
      </c>
      <c r="P113">
        <f t="shared" si="13"/>
        <v>0</v>
      </c>
      <c r="Q113">
        <f t="shared" si="14"/>
        <v>0</v>
      </c>
      <c r="R113">
        <f t="shared" si="15"/>
        <v>0</v>
      </c>
    </row>
    <row r="114" spans="1:18" x14ac:dyDescent="0.3">
      <c r="A114" s="1">
        <v>45467</v>
      </c>
      <c r="B114">
        <v>22813.7</v>
      </c>
      <c r="C114" s="2">
        <f t="shared" si="16"/>
        <v>-1.9089695157289893E-2</v>
      </c>
      <c r="D114">
        <f t="shared" si="17"/>
        <v>3</v>
      </c>
      <c r="E114" s="2">
        <f t="shared" si="18"/>
        <v>-6.3632317190966308E-3</v>
      </c>
      <c r="F114" s="2">
        <f t="shared" si="19"/>
        <v>-1.1021440637809216E-2</v>
      </c>
      <c r="G114" s="2">
        <f t="shared" si="8"/>
        <v>0.89252011189078828</v>
      </c>
      <c r="H114">
        <f t="shared" si="9"/>
        <v>90</v>
      </c>
      <c r="I114" s="2">
        <f t="shared" si="10"/>
        <v>0.20801286244900305</v>
      </c>
      <c r="J114" s="2">
        <f t="shared" si="11"/>
        <v>3.2050874430647483E-2</v>
      </c>
      <c r="O114" s="2">
        <f t="shared" si="12"/>
        <v>1.0107334627877109</v>
      </c>
      <c r="P114">
        <f t="shared" si="13"/>
        <v>0</v>
      </c>
      <c r="Q114">
        <f t="shared" si="14"/>
        <v>0</v>
      </c>
      <c r="R114">
        <f t="shared" si="15"/>
        <v>0</v>
      </c>
    </row>
    <row r="115" spans="1:18" x14ac:dyDescent="0.3">
      <c r="A115" s="1">
        <v>45468</v>
      </c>
      <c r="B115">
        <v>22875.97</v>
      </c>
      <c r="C115" s="2">
        <f t="shared" si="16"/>
        <v>2.7257819351691305E-3</v>
      </c>
      <c r="D115">
        <f t="shared" si="17"/>
        <v>1</v>
      </c>
      <c r="E115" s="2">
        <f t="shared" si="18"/>
        <v>2.7257819351691305E-3</v>
      </c>
      <c r="F115" s="2">
        <f t="shared" si="19"/>
        <v>2.7257819351691305E-3</v>
      </c>
      <c r="G115" s="2">
        <f t="shared" si="8"/>
        <v>0.89252011189078828</v>
      </c>
      <c r="H115">
        <f t="shared" si="9"/>
        <v>90</v>
      </c>
      <c r="I115" s="2">
        <f t="shared" si="10"/>
        <v>0.20797917898737073</v>
      </c>
      <c r="J115" s="2">
        <f t="shared" si="11"/>
        <v>0</v>
      </c>
      <c r="O115" s="2">
        <f t="shared" si="12"/>
        <v>1.0001486275773224</v>
      </c>
      <c r="P115">
        <f t="shared" si="13"/>
        <v>0</v>
      </c>
      <c r="Q115">
        <f t="shared" si="14"/>
        <v>0</v>
      </c>
      <c r="R115">
        <f t="shared" si="15"/>
        <v>0</v>
      </c>
    </row>
    <row r="116" spans="1:18" x14ac:dyDescent="0.3">
      <c r="A116" s="1">
        <v>45469</v>
      </c>
      <c r="B116">
        <v>22986.69</v>
      </c>
      <c r="C116" s="2">
        <f t="shared" si="16"/>
        <v>4.8283381338894826E-3</v>
      </c>
      <c r="D116">
        <f t="shared" si="17"/>
        <v>1</v>
      </c>
      <c r="E116" s="2">
        <f t="shared" si="18"/>
        <v>4.8283381338894826E-3</v>
      </c>
      <c r="F116" s="2">
        <f t="shared" si="19"/>
        <v>4.8283381338894826E-3</v>
      </c>
      <c r="G116" s="2">
        <f t="shared" si="8"/>
        <v>0.92698304950892541</v>
      </c>
      <c r="H116">
        <f t="shared" si="9"/>
        <v>90</v>
      </c>
      <c r="I116" s="2">
        <f t="shared" si="10"/>
        <v>0.20777119029359825</v>
      </c>
      <c r="J116" s="2">
        <f t="shared" si="11"/>
        <v>0</v>
      </c>
      <c r="O116" s="2">
        <f t="shared" si="12"/>
        <v>1.0080803282247248</v>
      </c>
      <c r="P116">
        <f t="shared" si="13"/>
        <v>0</v>
      </c>
      <c r="Q116">
        <f t="shared" si="14"/>
        <v>0</v>
      </c>
      <c r="R116">
        <f t="shared" si="15"/>
        <v>0</v>
      </c>
    </row>
    <row r="117" spans="1:18" x14ac:dyDescent="0.3">
      <c r="A117" s="1">
        <v>45470</v>
      </c>
      <c r="B117">
        <v>22905.98</v>
      </c>
      <c r="C117" s="2">
        <f t="shared" si="16"/>
        <v>-3.5173409265526366E-3</v>
      </c>
      <c r="D117">
        <f t="shared" si="17"/>
        <v>1</v>
      </c>
      <c r="E117" s="2">
        <f t="shared" si="18"/>
        <v>-3.5173409265526366E-3</v>
      </c>
      <c r="F117" s="2">
        <f t="shared" si="19"/>
        <v>-3.5173409265526366E-3</v>
      </c>
      <c r="G117" s="2">
        <f t="shared" si="8"/>
        <v>0.89252011189078828</v>
      </c>
      <c r="H117">
        <f t="shared" si="9"/>
        <v>90</v>
      </c>
      <c r="I117" s="2">
        <f t="shared" si="10"/>
        <v>0.20780145716575085</v>
      </c>
      <c r="J117" s="2">
        <f t="shared" si="11"/>
        <v>1.3366766854918971E-2</v>
      </c>
      <c r="O117" s="2">
        <f t="shared" si="12"/>
        <v>1.0269165519222492</v>
      </c>
      <c r="P117">
        <f t="shared" si="13"/>
        <v>1</v>
      </c>
      <c r="Q117">
        <f t="shared" si="14"/>
        <v>0</v>
      </c>
      <c r="R117">
        <f t="shared" si="15"/>
        <v>1</v>
      </c>
    </row>
    <row r="118" spans="1:18" x14ac:dyDescent="0.3">
      <c r="A118" s="1">
        <v>45471</v>
      </c>
      <c r="B118">
        <v>23032.25</v>
      </c>
      <c r="C118" s="2">
        <f t="shared" si="16"/>
        <v>5.4973958728541774E-3</v>
      </c>
      <c r="D118">
        <f t="shared" si="17"/>
        <v>1</v>
      </c>
      <c r="E118" s="2">
        <f t="shared" si="18"/>
        <v>5.4973958728541774E-3</v>
      </c>
      <c r="F118" s="2">
        <f t="shared" si="19"/>
        <v>5.4973958728541774E-3</v>
      </c>
      <c r="G118" s="2">
        <f t="shared" si="8"/>
        <v>0.92698304950892541</v>
      </c>
      <c r="H118">
        <f t="shared" si="9"/>
        <v>88</v>
      </c>
      <c r="I118" s="2">
        <f t="shared" si="10"/>
        <v>0.20774657643729386</v>
      </c>
      <c r="J118" s="2">
        <f t="shared" si="11"/>
        <v>0</v>
      </c>
      <c r="O118" s="2">
        <f t="shared" si="12"/>
        <v>1.022765470155977</v>
      </c>
      <c r="P118">
        <f t="shared" si="13"/>
        <v>1</v>
      </c>
      <c r="Q118">
        <f t="shared" si="14"/>
        <v>0</v>
      </c>
      <c r="R118">
        <f t="shared" si="15"/>
        <v>1</v>
      </c>
    </row>
    <row r="119" spans="1:18" x14ac:dyDescent="0.3">
      <c r="A119" s="1">
        <v>45474</v>
      </c>
      <c r="B119">
        <v>23058.57</v>
      </c>
      <c r="C119" s="2">
        <f t="shared" si="16"/>
        <v>1.1420930615220033E-3</v>
      </c>
      <c r="D119">
        <f t="shared" si="17"/>
        <v>3</v>
      </c>
      <c r="E119" s="2">
        <f t="shared" si="18"/>
        <v>3.8069768717400107E-4</v>
      </c>
      <c r="F119" s="2">
        <f t="shared" si="19"/>
        <v>6.5938773650933247E-4</v>
      </c>
      <c r="G119" s="2">
        <f t="shared" si="8"/>
        <v>0.89252011189078828</v>
      </c>
      <c r="H119">
        <f t="shared" si="9"/>
        <v>90</v>
      </c>
      <c r="I119" s="2">
        <f t="shared" si="10"/>
        <v>0.20625495072591699</v>
      </c>
      <c r="J119" s="2">
        <f t="shared" si="11"/>
        <v>2.9091806775042232E-3</v>
      </c>
      <c r="O119" s="2">
        <f t="shared" si="12"/>
        <v>1.0355434010001487</v>
      </c>
      <c r="P119">
        <f t="shared" si="13"/>
        <v>1</v>
      </c>
      <c r="Q119">
        <f t="shared" si="14"/>
        <v>0</v>
      </c>
      <c r="R119">
        <f t="shared" si="15"/>
        <v>1</v>
      </c>
    </row>
    <row r="120" spans="1:18" x14ac:dyDescent="0.3">
      <c r="A120" s="1">
        <v>45475</v>
      </c>
      <c r="B120">
        <v>22879.37</v>
      </c>
      <c r="C120" s="2">
        <f t="shared" si="16"/>
        <v>-7.8018696083749081E-3</v>
      </c>
      <c r="D120">
        <f t="shared" si="17"/>
        <v>1</v>
      </c>
      <c r="E120" s="2">
        <f t="shared" si="18"/>
        <v>-7.8018696083749081E-3</v>
      </c>
      <c r="F120" s="2">
        <f t="shared" si="19"/>
        <v>-7.8018696083749081E-3</v>
      </c>
      <c r="G120" s="2">
        <f t="shared" si="8"/>
        <v>0.89252011189078828</v>
      </c>
      <c r="H120">
        <f t="shared" si="9"/>
        <v>90</v>
      </c>
      <c r="I120" s="2">
        <f t="shared" si="10"/>
        <v>0.20664924941138132</v>
      </c>
      <c r="J120" s="2">
        <f t="shared" si="11"/>
        <v>2.371751954858042E-2</v>
      </c>
      <c r="O120" s="2">
        <f t="shared" si="12"/>
        <v>1.0446126794575201</v>
      </c>
      <c r="P120">
        <f t="shared" si="13"/>
        <v>1</v>
      </c>
      <c r="Q120">
        <f t="shared" si="14"/>
        <v>0</v>
      </c>
      <c r="R120">
        <f t="shared" si="15"/>
        <v>1</v>
      </c>
    </row>
    <row r="121" spans="1:18" x14ac:dyDescent="0.3">
      <c r="A121" s="1">
        <v>45476</v>
      </c>
      <c r="B121">
        <v>23172.43</v>
      </c>
      <c r="C121" s="2">
        <f t="shared" si="16"/>
        <v>1.2727578773724714E-2</v>
      </c>
      <c r="D121">
        <f t="shared" si="17"/>
        <v>1</v>
      </c>
      <c r="E121" s="2">
        <f t="shared" si="18"/>
        <v>1.2727578773724714E-2</v>
      </c>
      <c r="F121" s="2">
        <f t="shared" si="19"/>
        <v>1.2727578773724714E-2</v>
      </c>
      <c r="G121" s="2">
        <f t="shared" si="8"/>
        <v>0.92698304950892541</v>
      </c>
      <c r="H121">
        <f t="shared" si="9"/>
        <v>86</v>
      </c>
      <c r="I121" s="2">
        <f t="shared" si="10"/>
        <v>0.2083945757974231</v>
      </c>
      <c r="J121" s="2">
        <f t="shared" si="11"/>
        <v>0</v>
      </c>
      <c r="O121" s="2">
        <f t="shared" si="12"/>
        <v>1.0360190968318816</v>
      </c>
      <c r="P121">
        <f t="shared" si="13"/>
        <v>1</v>
      </c>
      <c r="Q121">
        <f t="shared" si="14"/>
        <v>0</v>
      </c>
      <c r="R121">
        <f t="shared" si="15"/>
        <v>1</v>
      </c>
    </row>
    <row r="122" spans="1:18" x14ac:dyDescent="0.3">
      <c r="A122" s="1">
        <v>45477</v>
      </c>
      <c r="B122">
        <v>23522.53</v>
      </c>
      <c r="C122" s="2">
        <f t="shared" si="16"/>
        <v>1.4995475331418866E-2</v>
      </c>
      <c r="D122">
        <f t="shared" si="17"/>
        <v>1</v>
      </c>
      <c r="E122" s="2">
        <f t="shared" si="18"/>
        <v>1.4995475331418866E-2</v>
      </c>
      <c r="F122" s="2">
        <f t="shared" si="19"/>
        <v>1.4995475331418866E-2</v>
      </c>
      <c r="G122" s="2">
        <f t="shared" si="8"/>
        <v>0.92698304950892541</v>
      </c>
      <c r="H122">
        <f t="shared" si="9"/>
        <v>86</v>
      </c>
      <c r="I122" s="2">
        <f t="shared" si="10"/>
        <v>0.20691627392125028</v>
      </c>
      <c r="J122" s="2">
        <f t="shared" si="11"/>
        <v>0</v>
      </c>
      <c r="K122" s="2">
        <f>MEDIAN(E3:E122)*365</f>
        <v>0.45416240661896373</v>
      </c>
      <c r="L122">
        <f>SUM(D3:D62)</f>
        <v>98</v>
      </c>
      <c r="M122" s="2">
        <f>_xlfn.STDEV.S(F3:F122)*SQRT(365)</f>
        <v>0.17654822607154802</v>
      </c>
      <c r="N122" s="2">
        <f>SQRT(SUM(IF(F3:F122&lt;AVERAGE(F3:F122),(F3:F122-AVERAGE(F3:F122))^2,0))/COUNT(F3:F122))*SQRT(365)</f>
        <v>0</v>
      </c>
      <c r="O122" s="2">
        <f t="shared" si="12"/>
        <v>1.0368795363423917</v>
      </c>
      <c r="P122">
        <f t="shared" si="13"/>
        <v>1</v>
      </c>
      <c r="Q122">
        <f t="shared" si="14"/>
        <v>0</v>
      </c>
      <c r="R122">
        <f t="shared" si="15"/>
        <v>1</v>
      </c>
    </row>
    <row r="123" spans="1:18" x14ac:dyDescent="0.3">
      <c r="A123" s="1">
        <v>45478</v>
      </c>
      <c r="B123">
        <v>23556.59</v>
      </c>
      <c r="C123" s="2">
        <f t="shared" si="16"/>
        <v>1.4469261932816572E-3</v>
      </c>
      <c r="D123">
        <f t="shared" si="17"/>
        <v>1</v>
      </c>
      <c r="E123" s="2">
        <f t="shared" si="18"/>
        <v>1.4469261932816572E-3</v>
      </c>
      <c r="F123" s="2">
        <f t="shared" si="19"/>
        <v>1.4469261932816572E-3</v>
      </c>
      <c r="G123" s="2">
        <f t="shared" si="8"/>
        <v>0.92698304950892541</v>
      </c>
      <c r="H123">
        <f t="shared" si="9"/>
        <v>86</v>
      </c>
      <c r="I123" s="2">
        <f t="shared" si="10"/>
        <v>0.20673307536649899</v>
      </c>
      <c r="J123" s="2">
        <f t="shared" si="11"/>
        <v>1.3423091043242613E-3</v>
      </c>
      <c r="K123" s="2">
        <f t="shared" ref="K123:K186" si="20">MEDIAN(E4:E123)*365</f>
        <v>0.52896036525002266</v>
      </c>
      <c r="L123">
        <f t="shared" ref="L123:L186" si="21">SUM(D4:D63)</f>
        <v>98</v>
      </c>
      <c r="M123" s="2">
        <f>_xlfn.STDEV.S(F4:F123)*SQRT(365)</f>
        <v>0.17352623883370863</v>
      </c>
      <c r="N123" s="2">
        <f t="shared" ref="N123:N186" si="22">SQRT(SUM(IF(F4:F123&lt;AVERAGE(F4:F123),(F4:F123-AVERAGE(F4:F123))^2,0))/COUNT(F4:F123))*SQRT(365)</f>
        <v>1.0065134140216311E-3</v>
      </c>
      <c r="O123" s="2">
        <f t="shared" si="12"/>
        <v>1.0152967810706048</v>
      </c>
      <c r="P123">
        <f t="shared" si="13"/>
        <v>1</v>
      </c>
      <c r="Q123">
        <f t="shared" si="14"/>
        <v>0</v>
      </c>
      <c r="R123">
        <f t="shared" si="15"/>
        <v>1</v>
      </c>
    </row>
    <row r="124" spans="1:18" x14ac:dyDescent="0.3">
      <c r="A124" s="1">
        <v>45481</v>
      </c>
      <c r="B124">
        <v>23878.15</v>
      </c>
      <c r="C124" s="2">
        <f t="shared" si="16"/>
        <v>1.3558203370732373E-2</v>
      </c>
      <c r="D124">
        <f t="shared" si="17"/>
        <v>3</v>
      </c>
      <c r="E124" s="2">
        <f t="shared" si="18"/>
        <v>4.5194011235774574E-3</v>
      </c>
      <c r="F124" s="2">
        <f t="shared" si="19"/>
        <v>7.8278323658200269E-3</v>
      </c>
      <c r="G124" s="2">
        <f t="shared" si="8"/>
        <v>0.96766741780328436</v>
      </c>
      <c r="H124">
        <f t="shared" si="9"/>
        <v>88</v>
      </c>
      <c r="I124" s="2">
        <f t="shared" si="10"/>
        <v>0.20713252313110495</v>
      </c>
      <c r="J124" s="2">
        <f t="shared" si="11"/>
        <v>0</v>
      </c>
      <c r="K124" s="2">
        <f t="shared" si="20"/>
        <v>0.61701505381163568</v>
      </c>
      <c r="L124">
        <f t="shared" si="21"/>
        <v>98</v>
      </c>
      <c r="M124" s="2">
        <f t="shared" ref="M124:M187" si="23">_xlfn.STDEV.S(F5:F124)*SQRT(365)</f>
        <v>0.17376003783852961</v>
      </c>
      <c r="N124" s="2">
        <f t="shared" si="22"/>
        <v>0</v>
      </c>
      <c r="O124" s="2">
        <f t="shared" si="12"/>
        <v>1.0000506739424955</v>
      </c>
      <c r="P124">
        <f t="shared" si="13"/>
        <v>0</v>
      </c>
      <c r="Q124">
        <f t="shared" si="14"/>
        <v>0</v>
      </c>
      <c r="R124">
        <f t="shared" si="15"/>
        <v>0</v>
      </c>
    </row>
    <row r="125" spans="1:18" x14ac:dyDescent="0.3">
      <c r="A125" s="1">
        <v>45482</v>
      </c>
      <c r="B125">
        <v>23900.080000000002</v>
      </c>
      <c r="C125" s="2">
        <f t="shared" si="16"/>
        <v>9.179913755721663E-4</v>
      </c>
      <c r="D125">
        <f t="shared" si="17"/>
        <v>1</v>
      </c>
      <c r="E125" s="2">
        <f t="shared" si="18"/>
        <v>9.179913755721663E-4</v>
      </c>
      <c r="F125" s="2">
        <f t="shared" si="19"/>
        <v>9.179913755721663E-4</v>
      </c>
      <c r="G125" s="2">
        <f t="shared" si="8"/>
        <v>0.96766741780328436</v>
      </c>
      <c r="H125">
        <f t="shared" si="9"/>
        <v>88</v>
      </c>
      <c r="I125" s="2">
        <f t="shared" si="10"/>
        <v>0.2070252695211123</v>
      </c>
      <c r="J125" s="2">
        <f t="shared" si="11"/>
        <v>3.0598232805232415E-3</v>
      </c>
      <c r="K125" s="2">
        <f t="shared" si="20"/>
        <v>0.61701505381163568</v>
      </c>
      <c r="L125">
        <f t="shared" si="21"/>
        <v>98</v>
      </c>
      <c r="M125" s="2">
        <f t="shared" si="23"/>
        <v>0.17364195147923747</v>
      </c>
      <c r="N125" s="2">
        <f t="shared" si="22"/>
        <v>2.0893906034525392E-3</v>
      </c>
      <c r="O125" s="2">
        <f t="shared" si="12"/>
        <v>1.004065676767609</v>
      </c>
      <c r="P125">
        <f t="shared" si="13"/>
        <v>0</v>
      </c>
      <c r="Q125">
        <f t="shared" si="14"/>
        <v>0</v>
      </c>
      <c r="R125">
        <f t="shared" si="15"/>
        <v>0</v>
      </c>
    </row>
    <row r="126" spans="1:18" x14ac:dyDescent="0.3">
      <c r="A126" s="1">
        <v>45483</v>
      </c>
      <c r="B126">
        <v>24007.08</v>
      </c>
      <c r="C126" s="2">
        <f t="shared" si="16"/>
        <v>4.4669806318035779E-3</v>
      </c>
      <c r="D126">
        <f t="shared" si="17"/>
        <v>1</v>
      </c>
      <c r="E126" s="2">
        <f t="shared" si="18"/>
        <v>4.4669806318035779E-3</v>
      </c>
      <c r="F126" s="2">
        <f t="shared" si="19"/>
        <v>4.4669806318035779E-3</v>
      </c>
      <c r="G126" s="2">
        <f t="shared" si="8"/>
        <v>1.0722052232362278</v>
      </c>
      <c r="H126">
        <f t="shared" si="9"/>
        <v>86</v>
      </c>
      <c r="I126" s="2">
        <f t="shared" si="10"/>
        <v>0.20550603890797869</v>
      </c>
      <c r="J126" s="2">
        <f t="shared" si="11"/>
        <v>0</v>
      </c>
      <c r="K126" s="2">
        <f t="shared" si="20"/>
        <v>0.76677487762724683</v>
      </c>
      <c r="L126">
        <f t="shared" si="21"/>
        <v>98</v>
      </c>
      <c r="M126" s="2">
        <f t="shared" si="23"/>
        <v>0.17368910882265753</v>
      </c>
      <c r="N126" s="2">
        <f t="shared" si="22"/>
        <v>0</v>
      </c>
      <c r="O126" s="2">
        <f t="shared" si="12"/>
        <v>0.99011708212743899</v>
      </c>
      <c r="P126">
        <f t="shared" si="13"/>
        <v>0</v>
      </c>
      <c r="Q126">
        <f t="shared" si="14"/>
        <v>0</v>
      </c>
      <c r="R126">
        <f t="shared" si="15"/>
        <v>0</v>
      </c>
    </row>
    <row r="127" spans="1:18" x14ac:dyDescent="0.3">
      <c r="A127" s="1">
        <v>45484</v>
      </c>
      <c r="B127">
        <v>24390.03</v>
      </c>
      <c r="C127" s="2">
        <f t="shared" si="16"/>
        <v>1.5825655395371376E-2</v>
      </c>
      <c r="D127">
        <f t="shared" si="17"/>
        <v>1</v>
      </c>
      <c r="E127" s="2">
        <f t="shared" si="18"/>
        <v>1.5825655395371376E-2</v>
      </c>
      <c r="F127" s="2">
        <f t="shared" si="19"/>
        <v>1.5825655395371376E-2</v>
      </c>
      <c r="G127" s="2">
        <f t="shared" ref="G127:G190" si="24">MEDIAN(E68:E127)*365</f>
        <v>1.2436425936166</v>
      </c>
      <c r="H127">
        <f t="shared" ref="H127:H190" si="25">SUM(D68:D127)</f>
        <v>86</v>
      </c>
      <c r="I127" s="2">
        <f t="shared" ref="I127:I190" si="26">_xlfn.STDEV.S(F68:F127)*SQRT(365)</f>
        <v>0.19434925032132885</v>
      </c>
      <c r="J127" s="2">
        <f t="shared" ref="J127:J190" si="27">SQRT(SUM(IF(F68:F127&lt;AVERAGE(F68:F127),(F68:F127-AVERAGE(F68:F127))^2,0))/COUNT(F68:F127))*SQRT(365)</f>
        <v>0</v>
      </c>
      <c r="K127" s="2">
        <f t="shared" si="20"/>
        <v>0.83442272498241676</v>
      </c>
      <c r="L127">
        <f t="shared" si="21"/>
        <v>98</v>
      </c>
      <c r="M127" s="2">
        <f t="shared" si="23"/>
        <v>0.1751534250209634</v>
      </c>
      <c r="N127" s="2">
        <f t="shared" si="22"/>
        <v>0</v>
      </c>
      <c r="O127" s="2">
        <f t="shared" si="12"/>
        <v>0.95934568346164406</v>
      </c>
      <c r="P127">
        <f t="shared" si="13"/>
        <v>0</v>
      </c>
      <c r="Q127">
        <f t="shared" si="14"/>
        <v>1</v>
      </c>
      <c r="R127">
        <f t="shared" si="15"/>
        <v>1</v>
      </c>
    </row>
    <row r="128" spans="1:18" x14ac:dyDescent="0.3">
      <c r="A128" s="1">
        <v>45485</v>
      </c>
      <c r="B128">
        <v>23916.93</v>
      </c>
      <c r="C128" s="2">
        <f t="shared" si="16"/>
        <v>-1.9587865875404689E-2</v>
      </c>
      <c r="D128">
        <f t="shared" si="17"/>
        <v>1</v>
      </c>
      <c r="E128" s="2">
        <f t="shared" si="18"/>
        <v>-1.9587865875404689E-2</v>
      </c>
      <c r="F128" s="2">
        <f t="shared" si="19"/>
        <v>-1.9587865875404689E-2</v>
      </c>
      <c r="G128" s="2">
        <f t="shared" si="24"/>
        <v>1.0722052232362278</v>
      </c>
      <c r="H128">
        <f t="shared" si="25"/>
        <v>86</v>
      </c>
      <c r="I128" s="2">
        <f t="shared" si="26"/>
        <v>0.19966663446125793</v>
      </c>
      <c r="J128" s="2">
        <f t="shared" si="27"/>
        <v>5.4473880552650109E-2</v>
      </c>
      <c r="K128" s="2">
        <f t="shared" si="20"/>
        <v>0.83442272498241676</v>
      </c>
      <c r="L128">
        <f t="shared" si="21"/>
        <v>98</v>
      </c>
      <c r="M128" s="2">
        <f t="shared" si="23"/>
        <v>0.17893960922846897</v>
      </c>
      <c r="N128" s="2">
        <f t="shared" si="22"/>
        <v>3.7925812645352802E-2</v>
      </c>
      <c r="O128" s="2">
        <f t="shared" si="12"/>
        <v>0.95619546488617047</v>
      </c>
      <c r="P128">
        <f t="shared" si="13"/>
        <v>0</v>
      </c>
      <c r="Q128">
        <f t="shared" si="14"/>
        <v>1</v>
      </c>
      <c r="R128">
        <f t="shared" si="15"/>
        <v>1</v>
      </c>
    </row>
    <row r="129" spans="1:18" x14ac:dyDescent="0.3">
      <c r="A129" s="1">
        <v>45488</v>
      </c>
      <c r="B129">
        <v>23879.360000000001</v>
      </c>
      <c r="C129" s="2">
        <f t="shared" si="16"/>
        <v>-1.572088868727636E-3</v>
      </c>
      <c r="D129">
        <f t="shared" si="17"/>
        <v>3</v>
      </c>
      <c r="E129" s="2">
        <f t="shared" si="18"/>
        <v>-5.2402962290921202E-4</v>
      </c>
      <c r="F129" s="2">
        <f t="shared" si="19"/>
        <v>-9.076459315499149E-4</v>
      </c>
      <c r="G129" s="2">
        <f t="shared" si="24"/>
        <v>0.96766741780328436</v>
      </c>
      <c r="H129">
        <f t="shared" si="25"/>
        <v>88</v>
      </c>
      <c r="I129" s="2">
        <f t="shared" si="26"/>
        <v>0.19978676872187059</v>
      </c>
      <c r="J129" s="2">
        <f t="shared" si="27"/>
        <v>8.1845894265979383E-3</v>
      </c>
      <c r="K129" s="2">
        <f t="shared" si="20"/>
        <v>0.76677487762724683</v>
      </c>
      <c r="L129">
        <f t="shared" si="21"/>
        <v>98</v>
      </c>
      <c r="M129" s="2">
        <f t="shared" si="23"/>
        <v>0.17896890444266114</v>
      </c>
      <c r="N129" s="2">
        <f t="shared" si="22"/>
        <v>5.2674563880054943E-3</v>
      </c>
      <c r="O129" s="2">
        <f t="shared" si="12"/>
        <v>0.93205973694437372</v>
      </c>
      <c r="P129">
        <f t="shared" si="13"/>
        <v>0</v>
      </c>
      <c r="Q129">
        <f t="shared" si="14"/>
        <v>1</v>
      </c>
      <c r="R129">
        <f t="shared" si="15"/>
        <v>1</v>
      </c>
    </row>
    <row r="130" spans="1:18" x14ac:dyDescent="0.3">
      <c r="A130" s="1">
        <v>45489</v>
      </c>
      <c r="B130">
        <v>23997.25</v>
      </c>
      <c r="C130" s="2">
        <f t="shared" si="16"/>
        <v>4.9247529542004844E-3</v>
      </c>
      <c r="D130">
        <f t="shared" si="17"/>
        <v>1</v>
      </c>
      <c r="E130" s="2">
        <f t="shared" si="18"/>
        <v>4.9247529542004844E-3</v>
      </c>
      <c r="F130" s="2">
        <f t="shared" si="19"/>
        <v>4.9247529542004844E-3</v>
      </c>
      <c r="G130" s="2">
        <f t="shared" si="24"/>
        <v>1.0722052232362278</v>
      </c>
      <c r="H130">
        <f t="shared" si="25"/>
        <v>88</v>
      </c>
      <c r="I130" s="2">
        <f t="shared" si="26"/>
        <v>0.17091170172728698</v>
      </c>
      <c r="J130" s="2">
        <f t="shared" si="27"/>
        <v>0</v>
      </c>
      <c r="K130" s="2">
        <f t="shared" si="20"/>
        <v>0.83442272498241676</v>
      </c>
      <c r="L130">
        <f t="shared" si="21"/>
        <v>98</v>
      </c>
      <c r="M130" s="2">
        <f t="shared" si="23"/>
        <v>0.17889858216234961</v>
      </c>
      <c r="N130" s="2">
        <f t="shared" si="22"/>
        <v>0</v>
      </c>
      <c r="O130" s="2">
        <f t="shared" si="12"/>
        <v>0.95310254299971875</v>
      </c>
      <c r="P130">
        <f t="shared" si="13"/>
        <v>0</v>
      </c>
      <c r="Q130">
        <f t="shared" si="14"/>
        <v>1</v>
      </c>
      <c r="R130">
        <f t="shared" si="15"/>
        <v>1</v>
      </c>
    </row>
    <row r="131" spans="1:18" x14ac:dyDescent="0.3">
      <c r="A131" s="1">
        <v>45490</v>
      </c>
      <c r="B131">
        <v>23769.82</v>
      </c>
      <c r="C131" s="2">
        <f t="shared" si="16"/>
        <v>-9.5225316764770921E-3</v>
      </c>
      <c r="D131">
        <f t="shared" si="17"/>
        <v>1</v>
      </c>
      <c r="E131" s="2">
        <f t="shared" si="18"/>
        <v>-9.5225316764770921E-3</v>
      </c>
      <c r="F131" s="2">
        <f t="shared" si="19"/>
        <v>-9.5225316764770921E-3</v>
      </c>
      <c r="G131" s="2">
        <f t="shared" si="24"/>
        <v>1.0722052232362278</v>
      </c>
      <c r="H131">
        <f t="shared" si="25"/>
        <v>86</v>
      </c>
      <c r="I131" s="2">
        <f t="shared" si="26"/>
        <v>0.17300686315303679</v>
      </c>
      <c r="J131" s="2">
        <f t="shared" si="27"/>
        <v>3.0983061549538272E-2</v>
      </c>
      <c r="K131" s="2">
        <f t="shared" si="20"/>
        <v>0.83442272498241676</v>
      </c>
      <c r="L131">
        <f t="shared" si="21"/>
        <v>98</v>
      </c>
      <c r="M131" s="2">
        <f t="shared" si="23"/>
        <v>0.1800491636667492</v>
      </c>
      <c r="N131" s="2">
        <f t="shared" si="22"/>
        <v>2.0235985365812427E-2</v>
      </c>
      <c r="O131" s="2">
        <f t="shared" ref="O131:O194" si="28">B136/B131</f>
        <v>0.93055858226944921</v>
      </c>
      <c r="P131">
        <f t="shared" ref="P131:P194" si="29">IF(O131&gt;=1.015,1,0)</f>
        <v>0</v>
      </c>
      <c r="Q131">
        <f t="shared" ref="Q131:Q194" si="30">IF(O131&lt;=0.985,1,0)</f>
        <v>1</v>
      </c>
      <c r="R131">
        <f t="shared" ref="R131:R194" si="31">MAX(P131,Q131)</f>
        <v>1</v>
      </c>
    </row>
    <row r="132" spans="1:18" x14ac:dyDescent="0.3">
      <c r="A132" s="1">
        <v>45491</v>
      </c>
      <c r="B132">
        <v>23398.47</v>
      </c>
      <c r="C132" s="2">
        <f t="shared" ref="C132:C195" si="32">LN(B132/B131)</f>
        <v>-1.57460731623595E-2</v>
      </c>
      <c r="D132">
        <f t="shared" ref="D132:D195" si="33">DATEDIF(A131,A132,"d")</f>
        <v>1</v>
      </c>
      <c r="E132" s="2">
        <f t="shared" ref="E132:E195" si="34">C132/D132</f>
        <v>-1.57460731623595E-2</v>
      </c>
      <c r="F132" s="2">
        <f t="shared" ref="F132:F195" si="35">C132/SQRT(D132)</f>
        <v>-1.57460731623595E-2</v>
      </c>
      <c r="G132" s="2">
        <f t="shared" si="24"/>
        <v>0.96766741780328436</v>
      </c>
      <c r="H132">
        <f t="shared" si="25"/>
        <v>86</v>
      </c>
      <c r="I132" s="2">
        <f t="shared" si="26"/>
        <v>0.17826494469298315</v>
      </c>
      <c r="J132" s="2">
        <f t="shared" si="27"/>
        <v>4.5289442732038401E-2</v>
      </c>
      <c r="K132" s="2">
        <f t="shared" si="20"/>
        <v>0.83442272498241676</v>
      </c>
      <c r="L132">
        <f t="shared" si="21"/>
        <v>98</v>
      </c>
      <c r="M132" s="2">
        <f t="shared" si="23"/>
        <v>0.18118923438162671</v>
      </c>
      <c r="N132" s="2">
        <f t="shared" si="22"/>
        <v>3.1027792042153154E-2</v>
      </c>
      <c r="O132" s="2">
        <f t="shared" si="28"/>
        <v>0.94726236373574857</v>
      </c>
      <c r="P132">
        <f t="shared" si="29"/>
        <v>0</v>
      </c>
      <c r="Q132">
        <f t="shared" si="30"/>
        <v>1</v>
      </c>
      <c r="R132">
        <f t="shared" si="31"/>
        <v>1</v>
      </c>
    </row>
    <row r="133" spans="1:18" x14ac:dyDescent="0.3">
      <c r="A133" s="1">
        <v>45492</v>
      </c>
      <c r="B133">
        <v>22869.26</v>
      </c>
      <c r="C133" s="2">
        <f t="shared" si="32"/>
        <v>-2.2876984898707268E-2</v>
      </c>
      <c r="D133">
        <f t="shared" si="33"/>
        <v>1</v>
      </c>
      <c r="E133" s="2">
        <f t="shared" si="34"/>
        <v>-2.2876984898707268E-2</v>
      </c>
      <c r="F133" s="2">
        <f t="shared" si="35"/>
        <v>-2.2876984898707268E-2</v>
      </c>
      <c r="G133" s="2">
        <f t="shared" si="24"/>
        <v>0.92698304950892541</v>
      </c>
      <c r="H133">
        <f t="shared" si="25"/>
        <v>86</v>
      </c>
      <c r="I133" s="2">
        <f t="shared" si="26"/>
        <v>0.17867523854245199</v>
      </c>
      <c r="J133" s="2">
        <f t="shared" si="27"/>
        <v>6.0835130227180803E-2</v>
      </c>
      <c r="K133" s="2">
        <f t="shared" si="20"/>
        <v>0.83442272498241676</v>
      </c>
      <c r="L133">
        <f t="shared" si="21"/>
        <v>98</v>
      </c>
      <c r="M133" s="2">
        <f t="shared" si="23"/>
        <v>0.18501486672484155</v>
      </c>
      <c r="N133" s="2">
        <f t="shared" si="22"/>
        <v>4.3287781102461398E-2</v>
      </c>
      <c r="O133" s="2">
        <f t="shared" si="28"/>
        <v>0.97176603003332862</v>
      </c>
      <c r="P133">
        <f t="shared" si="29"/>
        <v>0</v>
      </c>
      <c r="Q133">
        <f t="shared" si="30"/>
        <v>1</v>
      </c>
      <c r="R133">
        <f t="shared" si="31"/>
        <v>1</v>
      </c>
    </row>
    <row r="134" spans="1:18" x14ac:dyDescent="0.3">
      <c r="A134" s="1">
        <v>45495</v>
      </c>
      <c r="B134">
        <v>22256.99</v>
      </c>
      <c r="C134" s="2">
        <f t="shared" si="32"/>
        <v>-2.7137534133349586E-2</v>
      </c>
      <c r="D134">
        <f t="shared" si="33"/>
        <v>3</v>
      </c>
      <c r="E134" s="2">
        <f t="shared" si="34"/>
        <v>-9.0458447111165293E-3</v>
      </c>
      <c r="F134" s="2">
        <f t="shared" si="35"/>
        <v>-1.5667862637032043E-2</v>
      </c>
      <c r="G134" s="2">
        <f t="shared" si="24"/>
        <v>0.92698304950892541</v>
      </c>
      <c r="H134">
        <f t="shared" si="25"/>
        <v>88</v>
      </c>
      <c r="I134" s="2">
        <f t="shared" si="26"/>
        <v>0.17978234588103922</v>
      </c>
      <c r="J134" s="2">
        <f t="shared" si="27"/>
        <v>4.2974178169846548E-2</v>
      </c>
      <c r="K134" s="2">
        <f t="shared" si="20"/>
        <v>0.76677487762724683</v>
      </c>
      <c r="L134">
        <f t="shared" si="21"/>
        <v>98</v>
      </c>
      <c r="M134" s="2">
        <f t="shared" si="23"/>
        <v>0.18751290258620146</v>
      </c>
      <c r="N134" s="2">
        <f t="shared" si="22"/>
        <v>3.0431305046932196E-2</v>
      </c>
      <c r="O134" s="2">
        <f t="shared" si="28"/>
        <v>0.99741025179056098</v>
      </c>
      <c r="P134">
        <f t="shared" si="29"/>
        <v>0</v>
      </c>
      <c r="Q134">
        <f t="shared" si="30"/>
        <v>0</v>
      </c>
      <c r="R134">
        <f t="shared" si="31"/>
        <v>0</v>
      </c>
    </row>
    <row r="135" spans="1:18" x14ac:dyDescent="0.3">
      <c r="A135" s="1">
        <v>45496</v>
      </c>
      <c r="B135">
        <v>22871.84</v>
      </c>
      <c r="C135" s="2">
        <f t="shared" si="32"/>
        <v>2.7250342964039605E-2</v>
      </c>
      <c r="D135">
        <f t="shared" si="33"/>
        <v>1</v>
      </c>
      <c r="E135" s="2">
        <f t="shared" si="34"/>
        <v>2.7250342964039605E-2</v>
      </c>
      <c r="F135" s="2">
        <f t="shared" si="35"/>
        <v>2.7250342964039605E-2</v>
      </c>
      <c r="G135" s="2">
        <f t="shared" si="24"/>
        <v>0.92698304950892541</v>
      </c>
      <c r="H135">
        <f t="shared" si="25"/>
        <v>88</v>
      </c>
      <c r="I135" s="2">
        <f t="shared" si="26"/>
        <v>0.18846060407668386</v>
      </c>
      <c r="J135" s="2">
        <f t="shared" si="27"/>
        <v>0</v>
      </c>
      <c r="K135" s="2">
        <f t="shared" si="20"/>
        <v>0.76677487762724683</v>
      </c>
      <c r="L135">
        <f t="shared" si="21"/>
        <v>98</v>
      </c>
      <c r="M135" s="2">
        <f t="shared" si="23"/>
        <v>0.18802171549844923</v>
      </c>
      <c r="N135" s="2">
        <f t="shared" si="22"/>
        <v>0</v>
      </c>
      <c r="O135" s="2">
        <f t="shared" si="28"/>
        <v>0.98995533372041766</v>
      </c>
      <c r="P135">
        <f t="shared" si="29"/>
        <v>0</v>
      </c>
      <c r="Q135">
        <f t="shared" si="30"/>
        <v>0</v>
      </c>
      <c r="R135">
        <f t="shared" si="31"/>
        <v>0</v>
      </c>
    </row>
    <row r="136" spans="1:18" x14ac:dyDescent="0.3">
      <c r="A136" s="1">
        <v>45499</v>
      </c>
      <c r="B136">
        <v>22119.21</v>
      </c>
      <c r="C136" s="2">
        <f t="shared" si="32"/>
        <v>-3.3459997811937384E-2</v>
      </c>
      <c r="D136">
        <f t="shared" si="33"/>
        <v>3</v>
      </c>
      <c r="E136" s="2">
        <f t="shared" si="34"/>
        <v>-1.1153332603979127E-2</v>
      </c>
      <c r="F136" s="2">
        <f t="shared" si="35"/>
        <v>-1.9318138743806338E-2</v>
      </c>
      <c r="G136" s="2">
        <f t="shared" si="24"/>
        <v>0.89252011189078828</v>
      </c>
      <c r="H136">
        <f t="shared" si="25"/>
        <v>88</v>
      </c>
      <c r="I136" s="2">
        <f t="shared" si="26"/>
        <v>0.19434137995119521</v>
      </c>
      <c r="J136" s="2">
        <f t="shared" si="27"/>
        <v>5.1324114339183595E-2</v>
      </c>
      <c r="K136" s="2">
        <f t="shared" si="20"/>
        <v>0.61701505381163568</v>
      </c>
      <c r="L136">
        <f t="shared" si="21"/>
        <v>98</v>
      </c>
      <c r="M136" s="2">
        <f t="shared" si="23"/>
        <v>0.19153233350287022</v>
      </c>
      <c r="N136" s="2">
        <f t="shared" si="22"/>
        <v>3.6471832966918964E-2</v>
      </c>
      <c r="O136" s="2">
        <f t="shared" si="28"/>
        <v>0.97824877109083019</v>
      </c>
      <c r="P136">
        <f t="shared" si="29"/>
        <v>0</v>
      </c>
      <c r="Q136">
        <f t="shared" si="30"/>
        <v>1</v>
      </c>
      <c r="R136">
        <f t="shared" si="31"/>
        <v>1</v>
      </c>
    </row>
    <row r="137" spans="1:18" x14ac:dyDescent="0.3">
      <c r="A137" s="1">
        <v>45502</v>
      </c>
      <c r="B137">
        <v>22164.49</v>
      </c>
      <c r="C137" s="2">
        <f t="shared" si="32"/>
        <v>2.044996952834879E-3</v>
      </c>
      <c r="D137">
        <f t="shared" si="33"/>
        <v>3</v>
      </c>
      <c r="E137" s="2">
        <f t="shared" si="34"/>
        <v>6.8166565094495964E-4</v>
      </c>
      <c r="F137" s="2">
        <f t="shared" si="35"/>
        <v>1.1806795412111818E-3</v>
      </c>
      <c r="G137" s="2">
        <f t="shared" si="24"/>
        <v>0.89252011189078828</v>
      </c>
      <c r="H137">
        <f t="shared" si="25"/>
        <v>90</v>
      </c>
      <c r="I137" s="2">
        <f t="shared" si="26"/>
        <v>0.19369468516369195</v>
      </c>
      <c r="J137" s="2">
        <f t="shared" si="27"/>
        <v>1.0123959729531403E-3</v>
      </c>
      <c r="K137" s="2">
        <f t="shared" si="20"/>
        <v>0.52896036525002266</v>
      </c>
      <c r="L137">
        <f t="shared" si="21"/>
        <v>98</v>
      </c>
      <c r="M137" s="2">
        <f t="shared" si="23"/>
        <v>0.19150916124780626</v>
      </c>
      <c r="N137" s="2">
        <f t="shared" si="22"/>
        <v>6.8983416157714485E-4</v>
      </c>
      <c r="O137" s="2">
        <f t="shared" si="28"/>
        <v>0.89471402229421926</v>
      </c>
      <c r="P137">
        <f t="shared" si="29"/>
        <v>0</v>
      </c>
      <c r="Q137">
        <f t="shared" si="30"/>
        <v>1</v>
      </c>
      <c r="R137">
        <f t="shared" si="31"/>
        <v>1</v>
      </c>
    </row>
    <row r="138" spans="1:18" x14ac:dyDescent="0.3">
      <c r="A138" s="1">
        <v>45503</v>
      </c>
      <c r="B138">
        <v>22223.57</v>
      </c>
      <c r="C138" s="2">
        <f t="shared" si="32"/>
        <v>2.6619786891961018E-3</v>
      </c>
      <c r="D138">
        <f t="shared" si="33"/>
        <v>1</v>
      </c>
      <c r="E138" s="2">
        <f t="shared" si="34"/>
        <v>2.6619786891961018E-3</v>
      </c>
      <c r="F138" s="2">
        <f t="shared" si="35"/>
        <v>2.6619786891961018E-3</v>
      </c>
      <c r="G138" s="2">
        <f t="shared" si="24"/>
        <v>0.92698304950892541</v>
      </c>
      <c r="H138">
        <f t="shared" si="25"/>
        <v>89</v>
      </c>
      <c r="I138" s="2">
        <f t="shared" si="26"/>
        <v>0.19275469214310173</v>
      </c>
      <c r="J138" s="2">
        <f t="shared" si="27"/>
        <v>0</v>
      </c>
      <c r="K138" s="2">
        <f t="shared" si="20"/>
        <v>0.61701505381163568</v>
      </c>
      <c r="L138">
        <f t="shared" si="21"/>
        <v>99</v>
      </c>
      <c r="M138" s="2">
        <f t="shared" si="23"/>
        <v>0.19149996996100685</v>
      </c>
      <c r="N138" s="2">
        <f t="shared" si="22"/>
        <v>0</v>
      </c>
      <c r="O138" s="2">
        <f t="shared" si="28"/>
        <v>0.92248995098447284</v>
      </c>
      <c r="P138">
        <f t="shared" si="29"/>
        <v>0</v>
      </c>
      <c r="Q138">
        <f t="shared" si="30"/>
        <v>1</v>
      </c>
      <c r="R138">
        <f t="shared" si="31"/>
        <v>1</v>
      </c>
    </row>
    <row r="139" spans="1:18" x14ac:dyDescent="0.3">
      <c r="A139" s="1">
        <v>45504</v>
      </c>
      <c r="B139">
        <v>22199.35</v>
      </c>
      <c r="C139" s="2">
        <f t="shared" si="32"/>
        <v>-1.0904282023724309E-3</v>
      </c>
      <c r="D139">
        <f t="shared" si="33"/>
        <v>1</v>
      </c>
      <c r="E139" s="2">
        <f t="shared" si="34"/>
        <v>-1.0904282023724309E-3</v>
      </c>
      <c r="F139" s="2">
        <f t="shared" si="35"/>
        <v>-1.0904282023724309E-3</v>
      </c>
      <c r="G139" s="2">
        <f t="shared" si="24"/>
        <v>0.89252011189078828</v>
      </c>
      <c r="H139">
        <f t="shared" si="25"/>
        <v>89</v>
      </c>
      <c r="I139" s="2">
        <f t="shared" si="26"/>
        <v>0.19266580919797621</v>
      </c>
      <c r="J139" s="2">
        <f t="shared" si="27"/>
        <v>6.7091031999180597E-3</v>
      </c>
      <c r="K139" s="2">
        <f t="shared" si="20"/>
        <v>0.52896036525002266</v>
      </c>
      <c r="L139">
        <f t="shared" si="21"/>
        <v>99</v>
      </c>
      <c r="M139" s="2">
        <f t="shared" si="23"/>
        <v>0.19131369636231754</v>
      </c>
      <c r="N139" s="2">
        <f t="shared" si="22"/>
        <v>4.5698426714812475E-3</v>
      </c>
      <c r="O139" s="2">
        <f t="shared" si="28"/>
        <v>0.95927493372553707</v>
      </c>
      <c r="P139">
        <f t="shared" si="29"/>
        <v>0</v>
      </c>
      <c r="Q139">
        <f t="shared" si="30"/>
        <v>1</v>
      </c>
      <c r="R139">
        <f t="shared" si="31"/>
        <v>1</v>
      </c>
    </row>
    <row r="140" spans="1:18" x14ac:dyDescent="0.3">
      <c r="A140" s="1">
        <v>45505</v>
      </c>
      <c r="B140">
        <v>22642.1</v>
      </c>
      <c r="C140" s="2">
        <f t="shared" si="32"/>
        <v>1.9747996046830928E-2</v>
      </c>
      <c r="D140">
        <f t="shared" si="33"/>
        <v>1</v>
      </c>
      <c r="E140" s="2">
        <f t="shared" si="34"/>
        <v>1.9747996046830928E-2</v>
      </c>
      <c r="F140" s="2">
        <f t="shared" si="35"/>
        <v>1.9747996046830928E-2</v>
      </c>
      <c r="G140" s="2">
        <f t="shared" si="24"/>
        <v>0.89252011189078828</v>
      </c>
      <c r="H140">
        <f t="shared" si="25"/>
        <v>87</v>
      </c>
      <c r="I140" s="2">
        <f t="shared" si="26"/>
        <v>0.19758382812305786</v>
      </c>
      <c r="J140" s="2">
        <f t="shared" si="27"/>
        <v>0</v>
      </c>
      <c r="K140" s="2">
        <f t="shared" si="20"/>
        <v>0.61701505381163568</v>
      </c>
      <c r="L140">
        <f t="shared" si="21"/>
        <v>101</v>
      </c>
      <c r="M140" s="2">
        <f t="shared" si="23"/>
        <v>0.19389911591446804</v>
      </c>
      <c r="N140" s="2">
        <f t="shared" si="22"/>
        <v>0</v>
      </c>
      <c r="O140" s="2">
        <f t="shared" si="28"/>
        <v>0.9217387079820335</v>
      </c>
      <c r="P140">
        <f t="shared" si="29"/>
        <v>0</v>
      </c>
      <c r="Q140">
        <f t="shared" si="30"/>
        <v>1</v>
      </c>
      <c r="R140">
        <f t="shared" si="31"/>
        <v>1</v>
      </c>
    </row>
    <row r="141" spans="1:18" x14ac:dyDescent="0.3">
      <c r="A141" s="1">
        <v>45506</v>
      </c>
      <c r="B141">
        <v>21638.09</v>
      </c>
      <c r="C141" s="2">
        <f t="shared" si="32"/>
        <v>-4.5355817611114346E-2</v>
      </c>
      <c r="D141">
        <f t="shared" si="33"/>
        <v>1</v>
      </c>
      <c r="E141" s="2">
        <f t="shared" si="34"/>
        <v>-4.5355817611114346E-2</v>
      </c>
      <c r="F141" s="2">
        <f t="shared" si="35"/>
        <v>-4.5355817611114346E-2</v>
      </c>
      <c r="G141" s="2">
        <f t="shared" si="24"/>
        <v>0.85040543580851213</v>
      </c>
      <c r="H141">
        <f t="shared" si="25"/>
        <v>87</v>
      </c>
      <c r="I141" s="2">
        <f t="shared" si="26"/>
        <v>0.22899207365748656</v>
      </c>
      <c r="J141" s="2">
        <f t="shared" si="27"/>
        <v>0.11435019100328915</v>
      </c>
      <c r="K141" s="2">
        <f t="shared" si="20"/>
        <v>0.52896036525002266</v>
      </c>
      <c r="L141">
        <f t="shared" si="21"/>
        <v>99</v>
      </c>
      <c r="M141" s="2">
        <f t="shared" si="23"/>
        <v>0.21049850704950451</v>
      </c>
      <c r="N141" s="2">
        <f t="shared" si="22"/>
        <v>8.1346393581933019E-2</v>
      </c>
      <c r="O141" s="2">
        <f t="shared" si="28"/>
        <v>0.99218553948153465</v>
      </c>
      <c r="P141">
        <f t="shared" si="29"/>
        <v>0</v>
      </c>
      <c r="Q141">
        <f t="shared" si="30"/>
        <v>0</v>
      </c>
      <c r="R141">
        <f t="shared" si="31"/>
        <v>0</v>
      </c>
    </row>
    <row r="142" spans="1:18" x14ac:dyDescent="0.3">
      <c r="A142" s="1">
        <v>45509</v>
      </c>
      <c r="B142">
        <v>19830.88</v>
      </c>
      <c r="C142" s="2">
        <f t="shared" si="32"/>
        <v>-8.721486885270581E-2</v>
      </c>
      <c r="D142">
        <f t="shared" si="33"/>
        <v>3</v>
      </c>
      <c r="E142" s="2">
        <f t="shared" si="34"/>
        <v>-2.9071622950901935E-2</v>
      </c>
      <c r="F142" s="2">
        <f t="shared" si="35"/>
        <v>-5.0353528009447611E-2</v>
      </c>
      <c r="G142" s="2">
        <f t="shared" si="24"/>
        <v>0.69981330729068325</v>
      </c>
      <c r="H142">
        <f t="shared" si="25"/>
        <v>89</v>
      </c>
      <c r="I142" s="2">
        <f t="shared" si="26"/>
        <v>0.26165032686648526</v>
      </c>
      <c r="J142" s="2">
        <f t="shared" si="27"/>
        <v>0.12451345097398363</v>
      </c>
      <c r="K142" s="2">
        <f t="shared" si="20"/>
        <v>0.52896036525002266</v>
      </c>
      <c r="L142">
        <f t="shared" si="21"/>
        <v>99</v>
      </c>
      <c r="M142" s="2">
        <f t="shared" si="23"/>
        <v>0.22874827763961586</v>
      </c>
      <c r="N142" s="2">
        <f t="shared" si="22"/>
        <v>8.9399105811581808E-2</v>
      </c>
      <c r="O142" s="2">
        <f t="shared" si="28"/>
        <v>1.0979472418773144</v>
      </c>
      <c r="P142">
        <f t="shared" si="29"/>
        <v>1</v>
      </c>
      <c r="Q142">
        <f t="shared" si="30"/>
        <v>0</v>
      </c>
      <c r="R142">
        <f t="shared" si="31"/>
        <v>1</v>
      </c>
    </row>
    <row r="143" spans="1:18" x14ac:dyDescent="0.3">
      <c r="A143" s="1">
        <v>45510</v>
      </c>
      <c r="B143">
        <v>20501.02</v>
      </c>
      <c r="C143" s="2">
        <f t="shared" si="32"/>
        <v>3.3234322250811119E-2</v>
      </c>
      <c r="D143">
        <f t="shared" si="33"/>
        <v>1</v>
      </c>
      <c r="E143" s="2">
        <f t="shared" si="34"/>
        <v>3.3234322250811119E-2</v>
      </c>
      <c r="F143" s="2">
        <f t="shared" si="35"/>
        <v>3.3234322250811119E-2</v>
      </c>
      <c r="G143" s="2">
        <f t="shared" si="24"/>
        <v>0.89252011189078828</v>
      </c>
      <c r="H143">
        <f t="shared" si="25"/>
        <v>89</v>
      </c>
      <c r="I143" s="2">
        <f t="shared" si="26"/>
        <v>0.27346108894617133</v>
      </c>
      <c r="J143" s="2">
        <f t="shared" si="27"/>
        <v>0</v>
      </c>
      <c r="K143" s="2">
        <f t="shared" si="20"/>
        <v>0.61701505381163568</v>
      </c>
      <c r="L143">
        <f t="shared" si="21"/>
        <v>99</v>
      </c>
      <c r="M143" s="2">
        <f t="shared" si="23"/>
        <v>0.23503236534110974</v>
      </c>
      <c r="N143" s="2">
        <f t="shared" si="22"/>
        <v>0</v>
      </c>
      <c r="O143" s="2">
        <f t="shared" si="28"/>
        <v>1.0631944166680487</v>
      </c>
      <c r="P143">
        <f t="shared" si="29"/>
        <v>1</v>
      </c>
      <c r="Q143">
        <f t="shared" si="30"/>
        <v>0</v>
      </c>
      <c r="R143">
        <f t="shared" si="31"/>
        <v>1</v>
      </c>
    </row>
    <row r="144" spans="1:18" x14ac:dyDescent="0.3">
      <c r="A144" s="1">
        <v>45511</v>
      </c>
      <c r="B144">
        <v>21295.279999999999</v>
      </c>
      <c r="C144" s="2">
        <f t="shared" si="32"/>
        <v>3.8010810911042463E-2</v>
      </c>
      <c r="D144">
        <f t="shared" si="33"/>
        <v>1</v>
      </c>
      <c r="E144" s="2">
        <f t="shared" si="34"/>
        <v>3.8010810911042463E-2</v>
      </c>
      <c r="F144" s="2">
        <f t="shared" si="35"/>
        <v>3.8010810911042463E-2</v>
      </c>
      <c r="G144" s="2">
        <f t="shared" si="24"/>
        <v>0.89252011189078828</v>
      </c>
      <c r="H144">
        <f t="shared" si="25"/>
        <v>89</v>
      </c>
      <c r="I144" s="2">
        <f t="shared" si="26"/>
        <v>0.28809526545151598</v>
      </c>
      <c r="J144" s="2">
        <f t="shared" si="27"/>
        <v>0</v>
      </c>
      <c r="K144" s="2">
        <f t="shared" si="20"/>
        <v>0.61701505381163568</v>
      </c>
      <c r="L144">
        <f t="shared" si="21"/>
        <v>99</v>
      </c>
      <c r="M144" s="2">
        <f t="shared" si="23"/>
        <v>0.24356935703086796</v>
      </c>
      <c r="N144" s="2">
        <f t="shared" si="22"/>
        <v>0</v>
      </c>
      <c r="O144" s="2">
        <f t="shared" si="28"/>
        <v>1.0343724055283612</v>
      </c>
      <c r="P144">
        <f t="shared" si="29"/>
        <v>1</v>
      </c>
      <c r="Q144">
        <f t="shared" si="30"/>
        <v>0</v>
      </c>
      <c r="R144">
        <f t="shared" si="31"/>
        <v>1</v>
      </c>
    </row>
    <row r="145" spans="1:18" x14ac:dyDescent="0.3">
      <c r="A145" s="1">
        <v>45512</v>
      </c>
      <c r="B145">
        <v>20870.099999999999</v>
      </c>
      <c r="C145" s="2">
        <f t="shared" si="32"/>
        <v>-2.0167939270700281E-2</v>
      </c>
      <c r="D145">
        <f t="shared" si="33"/>
        <v>1</v>
      </c>
      <c r="E145" s="2">
        <f t="shared" si="34"/>
        <v>-2.0167939270700281E-2</v>
      </c>
      <c r="F145" s="2">
        <f t="shared" si="35"/>
        <v>-2.0167939270700281E-2</v>
      </c>
      <c r="G145" s="2">
        <f t="shared" si="24"/>
        <v>0.72083486514790984</v>
      </c>
      <c r="H145">
        <f t="shared" si="25"/>
        <v>87</v>
      </c>
      <c r="I145" s="2">
        <f t="shared" si="26"/>
        <v>0.29281815605281458</v>
      </c>
      <c r="J145" s="2">
        <f t="shared" si="27"/>
        <v>5.1975572252851737E-2</v>
      </c>
      <c r="K145" s="2">
        <f t="shared" si="20"/>
        <v>0.52896036525002266</v>
      </c>
      <c r="L145">
        <f t="shared" si="21"/>
        <v>101</v>
      </c>
      <c r="M145" s="2">
        <f t="shared" si="23"/>
        <v>0.24640387077574502</v>
      </c>
      <c r="N145" s="2">
        <f t="shared" si="22"/>
        <v>3.7476271754434104E-2</v>
      </c>
      <c r="O145" s="2">
        <f t="shared" si="28"/>
        <v>1.0491166788851036</v>
      </c>
      <c r="P145">
        <f t="shared" si="29"/>
        <v>1</v>
      </c>
      <c r="Q145">
        <f t="shared" si="30"/>
        <v>0</v>
      </c>
      <c r="R145">
        <f t="shared" si="31"/>
        <v>1</v>
      </c>
    </row>
    <row r="146" spans="1:18" x14ac:dyDescent="0.3">
      <c r="A146" s="1">
        <v>45513</v>
      </c>
      <c r="B146">
        <v>21469</v>
      </c>
      <c r="C146" s="2">
        <f t="shared" si="32"/>
        <v>2.8292521542955616E-2</v>
      </c>
      <c r="D146">
        <f t="shared" si="33"/>
        <v>1</v>
      </c>
      <c r="E146" s="2">
        <f t="shared" si="34"/>
        <v>2.8292521542955616E-2</v>
      </c>
      <c r="F146" s="2">
        <f t="shared" si="35"/>
        <v>2.8292521542955616E-2</v>
      </c>
      <c r="G146" s="2">
        <f t="shared" si="24"/>
        <v>0.72083486514790984</v>
      </c>
      <c r="H146">
        <f t="shared" si="25"/>
        <v>87</v>
      </c>
      <c r="I146" s="2">
        <f t="shared" si="26"/>
        <v>0.30027239120459587</v>
      </c>
      <c r="J146" s="2">
        <f t="shared" si="27"/>
        <v>0</v>
      </c>
      <c r="K146" s="2">
        <f t="shared" si="20"/>
        <v>0.61701505381163568</v>
      </c>
      <c r="L146">
        <f t="shared" si="21"/>
        <v>99</v>
      </c>
      <c r="M146" s="2">
        <f t="shared" si="23"/>
        <v>0.25085328389711936</v>
      </c>
      <c r="N146" s="2">
        <f t="shared" si="22"/>
        <v>0</v>
      </c>
      <c r="O146" s="2">
        <f t="shared" si="28"/>
        <v>1.0410047044575901</v>
      </c>
      <c r="P146">
        <f t="shared" si="29"/>
        <v>1</v>
      </c>
      <c r="Q146">
        <f t="shared" si="30"/>
        <v>0</v>
      </c>
      <c r="R146">
        <f t="shared" si="31"/>
        <v>1</v>
      </c>
    </row>
    <row r="147" spans="1:18" x14ac:dyDescent="0.3">
      <c r="A147" s="1">
        <v>45516</v>
      </c>
      <c r="B147">
        <v>21773.26</v>
      </c>
      <c r="C147" s="2">
        <f t="shared" si="32"/>
        <v>1.4072577206762213E-2</v>
      </c>
      <c r="D147">
        <f t="shared" si="33"/>
        <v>3</v>
      </c>
      <c r="E147" s="2">
        <f t="shared" si="34"/>
        <v>4.6908590689207375E-3</v>
      </c>
      <c r="F147" s="2">
        <f t="shared" si="35"/>
        <v>8.1248062385159553E-3</v>
      </c>
      <c r="G147" s="2">
        <f t="shared" si="24"/>
        <v>0.72083486514790984</v>
      </c>
      <c r="H147">
        <f t="shared" si="25"/>
        <v>89</v>
      </c>
      <c r="I147" s="2">
        <f t="shared" si="26"/>
        <v>0.3003357762694932</v>
      </c>
      <c r="J147" s="2">
        <f t="shared" si="27"/>
        <v>0</v>
      </c>
      <c r="K147" s="2">
        <f t="shared" si="20"/>
        <v>0.61701505381163568</v>
      </c>
      <c r="L147">
        <f t="shared" si="21"/>
        <v>90</v>
      </c>
      <c r="M147" s="2">
        <f t="shared" si="23"/>
        <v>0.25073655377702414</v>
      </c>
      <c r="N147" s="2">
        <f t="shared" si="22"/>
        <v>0</v>
      </c>
      <c r="O147" s="2">
        <f t="shared" si="28"/>
        <v>1.0292271345678141</v>
      </c>
      <c r="P147">
        <f t="shared" si="29"/>
        <v>1</v>
      </c>
      <c r="Q147">
        <f t="shared" si="30"/>
        <v>0</v>
      </c>
      <c r="R147">
        <f t="shared" si="31"/>
        <v>1</v>
      </c>
    </row>
    <row r="148" spans="1:18" x14ac:dyDescent="0.3">
      <c r="A148" s="1">
        <v>45517</v>
      </c>
      <c r="B148">
        <v>21796.57</v>
      </c>
      <c r="C148" s="2">
        <f t="shared" si="32"/>
        <v>1.0700065721622224E-3</v>
      </c>
      <c r="D148">
        <f t="shared" si="33"/>
        <v>1</v>
      </c>
      <c r="E148" s="2">
        <f t="shared" si="34"/>
        <v>1.0700065721622224E-3</v>
      </c>
      <c r="F148" s="2">
        <f t="shared" si="35"/>
        <v>1.0700065721622224E-3</v>
      </c>
      <c r="G148" s="2">
        <f t="shared" si="24"/>
        <v>0.45934022969350802</v>
      </c>
      <c r="H148">
        <f t="shared" si="25"/>
        <v>89</v>
      </c>
      <c r="I148" s="2">
        <f t="shared" si="26"/>
        <v>0.29994377543009321</v>
      </c>
      <c r="J148" s="2">
        <f t="shared" si="27"/>
        <v>2.636348327432273E-4</v>
      </c>
      <c r="K148" s="2">
        <f t="shared" si="20"/>
        <v>0.61701505381163568</v>
      </c>
      <c r="L148">
        <f t="shared" si="21"/>
        <v>90</v>
      </c>
      <c r="M148" s="2">
        <f t="shared" si="23"/>
        <v>0.25066077531945197</v>
      </c>
      <c r="N148" s="2">
        <f t="shared" si="22"/>
        <v>8.5643655826821694E-4</v>
      </c>
      <c r="O148" s="2">
        <f t="shared" si="28"/>
        <v>1.0290197035588626</v>
      </c>
      <c r="P148">
        <f t="shared" si="29"/>
        <v>1</v>
      </c>
      <c r="Q148">
        <f t="shared" si="30"/>
        <v>0</v>
      </c>
      <c r="R148">
        <f t="shared" si="31"/>
        <v>1</v>
      </c>
    </row>
    <row r="149" spans="1:18" x14ac:dyDescent="0.3">
      <c r="A149" s="1">
        <v>45518</v>
      </c>
      <c r="B149">
        <v>22027.25</v>
      </c>
      <c r="C149" s="2">
        <f t="shared" si="32"/>
        <v>1.0527705278438226E-2</v>
      </c>
      <c r="D149">
        <f t="shared" si="33"/>
        <v>1</v>
      </c>
      <c r="E149" s="2">
        <f t="shared" si="34"/>
        <v>1.0527705278438226E-2</v>
      </c>
      <c r="F149" s="2">
        <f t="shared" si="35"/>
        <v>1.0527705278438226E-2</v>
      </c>
      <c r="G149" s="2">
        <f t="shared" si="24"/>
        <v>0.72083486514790984</v>
      </c>
      <c r="H149">
        <f t="shared" si="25"/>
        <v>89</v>
      </c>
      <c r="I149" s="2">
        <f t="shared" si="26"/>
        <v>0.30070264255408902</v>
      </c>
      <c r="J149" s="2">
        <f t="shared" si="27"/>
        <v>0</v>
      </c>
      <c r="K149" s="2">
        <f t="shared" si="20"/>
        <v>0.76677487762724683</v>
      </c>
      <c r="L149">
        <f t="shared" si="21"/>
        <v>88</v>
      </c>
      <c r="M149" s="2">
        <f t="shared" si="23"/>
        <v>0.25114468566168219</v>
      </c>
      <c r="N149" s="2">
        <f t="shared" si="22"/>
        <v>0</v>
      </c>
      <c r="O149" s="2">
        <f t="shared" si="28"/>
        <v>1.0095627007456673</v>
      </c>
      <c r="P149">
        <f t="shared" si="29"/>
        <v>0</v>
      </c>
      <c r="Q149">
        <f t="shared" si="30"/>
        <v>0</v>
      </c>
      <c r="R149">
        <f t="shared" si="31"/>
        <v>0</v>
      </c>
    </row>
    <row r="150" spans="1:18" x14ac:dyDescent="0.3">
      <c r="A150" s="1">
        <v>45519</v>
      </c>
      <c r="B150">
        <v>21895.17</v>
      </c>
      <c r="C150" s="2">
        <f t="shared" si="32"/>
        <v>-6.0142586918155881E-3</v>
      </c>
      <c r="D150">
        <f t="shared" si="33"/>
        <v>1</v>
      </c>
      <c r="E150" s="2">
        <f t="shared" si="34"/>
        <v>-6.0142586918155881E-3</v>
      </c>
      <c r="F150" s="2">
        <f t="shared" si="35"/>
        <v>-6.0142586918155881E-3</v>
      </c>
      <c r="G150" s="2">
        <f t="shared" si="24"/>
        <v>0.72083486514790984</v>
      </c>
      <c r="H150">
        <f t="shared" si="25"/>
        <v>87</v>
      </c>
      <c r="I150" s="2">
        <f t="shared" si="26"/>
        <v>0.30124792905683812</v>
      </c>
      <c r="J150" s="2">
        <f t="shared" si="27"/>
        <v>1.7995857116249143E-2</v>
      </c>
      <c r="K150" s="2">
        <f t="shared" si="20"/>
        <v>0.61701505381163568</v>
      </c>
      <c r="L150">
        <f t="shared" si="21"/>
        <v>90</v>
      </c>
      <c r="M150" s="2">
        <f t="shared" si="23"/>
        <v>0.25136353462015903</v>
      </c>
      <c r="N150" s="2">
        <f t="shared" si="22"/>
        <v>1.3173153083988351E-2</v>
      </c>
      <c r="O150" s="2">
        <f t="shared" si="28"/>
        <v>1.0115852034946522</v>
      </c>
      <c r="P150">
        <f t="shared" si="29"/>
        <v>0</v>
      </c>
      <c r="Q150">
        <f t="shared" si="30"/>
        <v>0</v>
      </c>
      <c r="R150">
        <f t="shared" si="31"/>
        <v>0</v>
      </c>
    </row>
    <row r="151" spans="1:18" x14ac:dyDescent="0.3">
      <c r="A151" s="1">
        <v>45520</v>
      </c>
      <c r="B151">
        <v>22349.33</v>
      </c>
      <c r="C151" s="2">
        <f t="shared" si="32"/>
        <v>2.0530278428629572E-2</v>
      </c>
      <c r="D151">
        <f t="shared" si="33"/>
        <v>1</v>
      </c>
      <c r="E151" s="2">
        <f t="shared" si="34"/>
        <v>2.0530278428629572E-2</v>
      </c>
      <c r="F151" s="2">
        <f t="shared" si="35"/>
        <v>2.0530278428629572E-2</v>
      </c>
      <c r="G151" s="2">
        <f t="shared" si="24"/>
        <v>0.92698304950892541</v>
      </c>
      <c r="H151">
        <f t="shared" si="25"/>
        <v>87</v>
      </c>
      <c r="I151" s="2">
        <f t="shared" si="26"/>
        <v>0.30485868297342861</v>
      </c>
      <c r="J151" s="2">
        <f t="shared" si="27"/>
        <v>0</v>
      </c>
      <c r="K151" s="2">
        <f t="shared" si="20"/>
        <v>0.76677487762724683</v>
      </c>
      <c r="L151">
        <f t="shared" si="21"/>
        <v>90</v>
      </c>
      <c r="M151" s="2">
        <f t="shared" si="23"/>
        <v>0.25333103255317929</v>
      </c>
      <c r="N151" s="2">
        <f t="shared" si="22"/>
        <v>0</v>
      </c>
      <c r="O151" s="2">
        <f t="shared" si="28"/>
        <v>0.99144135417034862</v>
      </c>
      <c r="P151">
        <f t="shared" si="29"/>
        <v>0</v>
      </c>
      <c r="Q151">
        <f t="shared" si="30"/>
        <v>0</v>
      </c>
      <c r="R151">
        <f t="shared" si="31"/>
        <v>0</v>
      </c>
    </row>
    <row r="152" spans="1:18" x14ac:dyDescent="0.3">
      <c r="A152" s="1">
        <v>45523</v>
      </c>
      <c r="B152">
        <v>22409.63</v>
      </c>
      <c r="C152" s="2">
        <f t="shared" si="32"/>
        <v>2.6944342085416071E-3</v>
      </c>
      <c r="D152">
        <f t="shared" si="33"/>
        <v>3</v>
      </c>
      <c r="E152" s="2">
        <f t="shared" si="34"/>
        <v>8.9814473618053572E-4</v>
      </c>
      <c r="F152" s="2">
        <f t="shared" si="35"/>
        <v>1.5556323156152331E-3</v>
      </c>
      <c r="G152" s="2">
        <f t="shared" si="24"/>
        <v>0.72083486514790984</v>
      </c>
      <c r="H152">
        <f t="shared" si="25"/>
        <v>89</v>
      </c>
      <c r="I152" s="2">
        <f t="shared" si="26"/>
        <v>0.30308944854981101</v>
      </c>
      <c r="J152" s="2">
        <f t="shared" si="27"/>
        <v>0</v>
      </c>
      <c r="K152" s="2">
        <f t="shared" si="20"/>
        <v>0.61701505381163568</v>
      </c>
      <c r="L152">
        <f t="shared" si="21"/>
        <v>90</v>
      </c>
      <c r="M152" s="2">
        <f t="shared" si="23"/>
        <v>0.25297265739872626</v>
      </c>
      <c r="N152" s="2">
        <f t="shared" si="22"/>
        <v>2.1496751055340865E-4</v>
      </c>
      <c r="O152" s="2">
        <f t="shared" si="28"/>
        <v>0.99243584119862749</v>
      </c>
      <c r="P152">
        <f t="shared" si="29"/>
        <v>0</v>
      </c>
      <c r="Q152">
        <f t="shared" si="30"/>
        <v>0</v>
      </c>
      <c r="R152">
        <f t="shared" si="31"/>
        <v>0</v>
      </c>
    </row>
    <row r="153" spans="1:18" x14ac:dyDescent="0.3">
      <c r="A153" s="1">
        <v>45524</v>
      </c>
      <c r="B153">
        <v>22429.1</v>
      </c>
      <c r="C153" s="2">
        <f t="shared" si="32"/>
        <v>8.6844570413485277E-4</v>
      </c>
      <c r="D153">
        <f t="shared" si="33"/>
        <v>1</v>
      </c>
      <c r="E153" s="2">
        <f t="shared" si="34"/>
        <v>8.6844570413485277E-4</v>
      </c>
      <c r="F153" s="2">
        <f t="shared" si="35"/>
        <v>8.6844570413485277E-4</v>
      </c>
      <c r="G153" s="2">
        <f t="shared" si="24"/>
        <v>0.45934022969350802</v>
      </c>
      <c r="H153">
        <f t="shared" si="25"/>
        <v>89</v>
      </c>
      <c r="I153" s="2">
        <f t="shared" si="26"/>
        <v>0.30307882563544353</v>
      </c>
      <c r="J153" s="2">
        <f t="shared" si="27"/>
        <v>1.3197991753900002E-3</v>
      </c>
      <c r="K153" s="2">
        <f t="shared" si="20"/>
        <v>0.52896036525002266</v>
      </c>
      <c r="L153">
        <f t="shared" si="21"/>
        <v>90</v>
      </c>
      <c r="M153" s="2">
        <f t="shared" si="23"/>
        <v>0.25297620190225018</v>
      </c>
      <c r="N153" s="2">
        <f t="shared" si="22"/>
        <v>1.3980269139515912E-3</v>
      </c>
      <c r="O153" s="2">
        <f t="shared" si="28"/>
        <v>0.9891168169922111</v>
      </c>
      <c r="P153">
        <f t="shared" si="29"/>
        <v>0</v>
      </c>
      <c r="Q153">
        <f t="shared" si="30"/>
        <v>0</v>
      </c>
      <c r="R153">
        <f t="shared" si="31"/>
        <v>0</v>
      </c>
    </row>
    <row r="154" spans="1:18" x14ac:dyDescent="0.3">
      <c r="A154" s="1">
        <v>45525</v>
      </c>
      <c r="B154">
        <v>22237.89</v>
      </c>
      <c r="C154" s="2">
        <f t="shared" si="32"/>
        <v>-8.5616321134510676E-3</v>
      </c>
      <c r="D154">
        <f t="shared" si="33"/>
        <v>1</v>
      </c>
      <c r="E154" s="2">
        <f t="shared" si="34"/>
        <v>-8.5616321134510676E-3</v>
      </c>
      <c r="F154" s="2">
        <f t="shared" si="35"/>
        <v>-8.5616321134510676E-3</v>
      </c>
      <c r="G154" s="2">
        <f t="shared" si="24"/>
        <v>0.45934022969350802</v>
      </c>
      <c r="H154">
        <f t="shared" si="25"/>
        <v>89</v>
      </c>
      <c r="I154" s="2">
        <f t="shared" si="26"/>
        <v>0.30396881852540353</v>
      </c>
      <c r="J154" s="2">
        <f t="shared" si="27"/>
        <v>2.4306740534925656E-2</v>
      </c>
      <c r="K154" s="2">
        <f t="shared" si="20"/>
        <v>0.52896036525002266</v>
      </c>
      <c r="L154">
        <f t="shared" si="21"/>
        <v>88</v>
      </c>
      <c r="M154" s="2">
        <f t="shared" si="23"/>
        <v>0.25360454912019742</v>
      </c>
      <c r="N154" s="2">
        <f t="shared" si="22"/>
        <v>1.7693897879431673E-2</v>
      </c>
      <c r="O154" s="2">
        <f t="shared" si="28"/>
        <v>1.0059704405408967</v>
      </c>
      <c r="P154">
        <f t="shared" si="29"/>
        <v>0</v>
      </c>
      <c r="Q154">
        <f t="shared" si="30"/>
        <v>0</v>
      </c>
      <c r="R154">
        <f t="shared" si="31"/>
        <v>0</v>
      </c>
    </row>
    <row r="155" spans="1:18" x14ac:dyDescent="0.3">
      <c r="A155" s="1">
        <v>45526</v>
      </c>
      <c r="B155">
        <v>22148.83</v>
      </c>
      <c r="C155" s="2">
        <f t="shared" si="32"/>
        <v>-4.0129173552277426E-3</v>
      </c>
      <c r="D155">
        <f t="shared" si="33"/>
        <v>1</v>
      </c>
      <c r="E155" s="2">
        <f t="shared" si="34"/>
        <v>-4.0129173552277426E-3</v>
      </c>
      <c r="F155" s="2">
        <f t="shared" si="35"/>
        <v>-4.0129173552277426E-3</v>
      </c>
      <c r="G155" s="2">
        <f t="shared" si="24"/>
        <v>0.36280962546152595</v>
      </c>
      <c r="H155">
        <f t="shared" si="25"/>
        <v>87</v>
      </c>
      <c r="I155" s="2">
        <f t="shared" si="26"/>
        <v>0.30397711447538861</v>
      </c>
      <c r="J155" s="2">
        <f t="shared" si="27"/>
        <v>1.2661681722447063E-2</v>
      </c>
      <c r="K155" s="2">
        <f t="shared" si="20"/>
        <v>0.52896036525002266</v>
      </c>
      <c r="L155">
        <f t="shared" si="21"/>
        <v>90</v>
      </c>
      <c r="M155" s="2">
        <f t="shared" si="23"/>
        <v>0.25353542394519513</v>
      </c>
      <c r="N155" s="2">
        <f t="shared" si="22"/>
        <v>9.7744489913367174E-3</v>
      </c>
      <c r="O155" s="2">
        <f t="shared" si="28"/>
        <v>1.0023938059030657</v>
      </c>
      <c r="P155">
        <f t="shared" si="29"/>
        <v>0</v>
      </c>
      <c r="Q155">
        <f t="shared" si="30"/>
        <v>0</v>
      </c>
      <c r="R155">
        <f t="shared" si="31"/>
        <v>0</v>
      </c>
    </row>
    <row r="156" spans="1:18" x14ac:dyDescent="0.3">
      <c r="A156" s="1">
        <v>45527</v>
      </c>
      <c r="B156">
        <v>22158.05</v>
      </c>
      <c r="C156" s="2">
        <f t="shared" si="32"/>
        <v>4.1618819167963398E-4</v>
      </c>
      <c r="D156">
        <f t="shared" si="33"/>
        <v>1</v>
      </c>
      <c r="E156" s="2">
        <f t="shared" si="34"/>
        <v>4.1618819167963398E-4</v>
      </c>
      <c r="F156" s="2">
        <f t="shared" si="35"/>
        <v>4.1618819167963398E-4</v>
      </c>
      <c r="G156" s="2">
        <f t="shared" si="24"/>
        <v>0.3314448403948681</v>
      </c>
      <c r="H156">
        <f t="shared" si="25"/>
        <v>87</v>
      </c>
      <c r="I156" s="2">
        <f t="shared" si="26"/>
        <v>0.30396198542796615</v>
      </c>
      <c r="J156" s="2">
        <f t="shared" si="27"/>
        <v>1.6517749864053727E-3</v>
      </c>
      <c r="K156" s="2">
        <f t="shared" si="20"/>
        <v>0.45934022969350802</v>
      </c>
      <c r="L156">
        <f t="shared" si="21"/>
        <v>89</v>
      </c>
      <c r="M156" s="2">
        <f t="shared" si="23"/>
        <v>0.25350185645737372</v>
      </c>
      <c r="N156" s="2">
        <f t="shared" si="22"/>
        <v>1.9949102251498978E-3</v>
      </c>
      <c r="O156" s="2">
        <f t="shared" si="28"/>
        <v>1.0049661409735966</v>
      </c>
      <c r="P156">
        <f t="shared" si="29"/>
        <v>0</v>
      </c>
      <c r="Q156">
        <f t="shared" si="30"/>
        <v>0</v>
      </c>
      <c r="R156">
        <f t="shared" si="31"/>
        <v>0</v>
      </c>
    </row>
    <row r="157" spans="1:18" x14ac:dyDescent="0.3">
      <c r="A157" s="1">
        <v>45530</v>
      </c>
      <c r="B157">
        <v>22240.12</v>
      </c>
      <c r="C157" s="2">
        <f t="shared" si="32"/>
        <v>3.6970034339963149E-3</v>
      </c>
      <c r="D157">
        <f t="shared" si="33"/>
        <v>3</v>
      </c>
      <c r="E157" s="2">
        <f t="shared" si="34"/>
        <v>1.2323344779987717E-3</v>
      </c>
      <c r="F157" s="2">
        <f t="shared" si="35"/>
        <v>2.1344659278127432E-3</v>
      </c>
      <c r="G157" s="2">
        <f t="shared" si="24"/>
        <v>0.36280962546152595</v>
      </c>
      <c r="H157">
        <f t="shared" si="25"/>
        <v>89</v>
      </c>
      <c r="I157" s="2">
        <f t="shared" si="26"/>
        <v>0.3029145070915944</v>
      </c>
      <c r="J157" s="2">
        <f t="shared" si="27"/>
        <v>0</v>
      </c>
      <c r="K157" s="2">
        <f t="shared" si="20"/>
        <v>0.48896507250867827</v>
      </c>
      <c r="L157">
        <f t="shared" si="21"/>
        <v>89</v>
      </c>
      <c r="M157" s="2">
        <f t="shared" si="23"/>
        <v>0.25344167153299541</v>
      </c>
      <c r="N157" s="2">
        <f t="shared" si="22"/>
        <v>0</v>
      </c>
      <c r="O157" s="2">
        <f t="shared" si="28"/>
        <v>0.99977428179344352</v>
      </c>
      <c r="P157">
        <f t="shared" si="29"/>
        <v>0</v>
      </c>
      <c r="Q157">
        <f t="shared" si="30"/>
        <v>0</v>
      </c>
      <c r="R157">
        <f t="shared" si="31"/>
        <v>0</v>
      </c>
    </row>
    <row r="158" spans="1:18" x14ac:dyDescent="0.3">
      <c r="A158" s="1">
        <v>45531</v>
      </c>
      <c r="B158">
        <v>22185</v>
      </c>
      <c r="C158" s="2">
        <f t="shared" si="32"/>
        <v>-2.4814802204054095E-3</v>
      </c>
      <c r="D158">
        <f t="shared" si="33"/>
        <v>1</v>
      </c>
      <c r="E158" s="2">
        <f t="shared" si="34"/>
        <v>-2.4814802204054095E-3</v>
      </c>
      <c r="F158" s="2">
        <f t="shared" si="35"/>
        <v>-2.4814802204054095E-3</v>
      </c>
      <c r="G158" s="2">
        <f t="shared" si="24"/>
        <v>0.36280962546152595</v>
      </c>
      <c r="H158">
        <f t="shared" si="25"/>
        <v>89</v>
      </c>
      <c r="I158" s="2">
        <f t="shared" si="26"/>
        <v>0.30069230394310204</v>
      </c>
      <c r="J158" s="2">
        <f t="shared" si="27"/>
        <v>9.7239899266535167E-3</v>
      </c>
      <c r="K158" s="2">
        <f t="shared" si="20"/>
        <v>0.42017724165438142</v>
      </c>
      <c r="L158">
        <f t="shared" si="21"/>
        <v>87</v>
      </c>
      <c r="M158" s="2">
        <f t="shared" si="23"/>
        <v>0.25297893114659814</v>
      </c>
      <c r="N158" s="2">
        <f t="shared" si="22"/>
        <v>6.9050541589748436E-3</v>
      </c>
      <c r="O158" s="2">
        <f t="shared" si="28"/>
        <v>0.99581744421906693</v>
      </c>
      <c r="P158">
        <f t="shared" si="29"/>
        <v>0</v>
      </c>
      <c r="Q158">
        <f t="shared" si="30"/>
        <v>0</v>
      </c>
      <c r="R158">
        <f t="shared" si="31"/>
        <v>0</v>
      </c>
    </row>
    <row r="159" spans="1:18" x14ac:dyDescent="0.3">
      <c r="A159" s="1">
        <v>45532</v>
      </c>
      <c r="B159">
        <v>22370.66</v>
      </c>
      <c r="C159" s="2">
        <f t="shared" si="32"/>
        <v>8.3338940356686726E-3</v>
      </c>
      <c r="D159">
        <f t="shared" si="33"/>
        <v>1</v>
      </c>
      <c r="E159" s="2">
        <f t="shared" si="34"/>
        <v>8.3338940356686726E-3</v>
      </c>
      <c r="F159" s="2">
        <f t="shared" si="35"/>
        <v>8.3338940356686726E-3</v>
      </c>
      <c r="G159" s="2">
        <f t="shared" si="24"/>
        <v>0.42017724165438142</v>
      </c>
      <c r="H159">
        <f t="shared" si="25"/>
        <v>89</v>
      </c>
      <c r="I159" s="2">
        <f t="shared" si="26"/>
        <v>0.30001225947848892</v>
      </c>
      <c r="J159" s="2">
        <f t="shared" si="27"/>
        <v>0</v>
      </c>
      <c r="K159" s="2">
        <f t="shared" si="20"/>
        <v>0.42017724165438142</v>
      </c>
      <c r="L159">
        <f t="shared" si="21"/>
        <v>87</v>
      </c>
      <c r="M159" s="2">
        <f t="shared" si="23"/>
        <v>0.25321739270498284</v>
      </c>
      <c r="N159" s="2">
        <f t="shared" si="22"/>
        <v>0</v>
      </c>
      <c r="O159" s="2">
        <f t="shared" si="28"/>
        <v>0.94287562369639522</v>
      </c>
      <c r="P159">
        <f t="shared" si="29"/>
        <v>0</v>
      </c>
      <c r="Q159">
        <f t="shared" si="30"/>
        <v>1</v>
      </c>
      <c r="R159">
        <f t="shared" si="31"/>
        <v>1</v>
      </c>
    </row>
    <row r="160" spans="1:18" x14ac:dyDescent="0.3">
      <c r="A160" s="1">
        <v>45533</v>
      </c>
      <c r="B160">
        <v>22201.85</v>
      </c>
      <c r="C160" s="2">
        <f t="shared" si="32"/>
        <v>-7.5746601270038376E-3</v>
      </c>
      <c r="D160">
        <f t="shared" si="33"/>
        <v>1</v>
      </c>
      <c r="E160" s="2">
        <f t="shared" si="34"/>
        <v>-7.5746601270038376E-3</v>
      </c>
      <c r="F160" s="2">
        <f t="shared" si="35"/>
        <v>-7.5746601270038376E-3</v>
      </c>
      <c r="G160" s="2">
        <f t="shared" si="24"/>
        <v>0.36280962546152595</v>
      </c>
      <c r="H160">
        <f t="shared" si="25"/>
        <v>87</v>
      </c>
      <c r="I160" s="2">
        <f t="shared" si="26"/>
        <v>0.30018805231945389</v>
      </c>
      <c r="J160" s="2">
        <f t="shared" si="27"/>
        <v>2.2282031526957617E-2</v>
      </c>
      <c r="K160" s="2">
        <f t="shared" si="20"/>
        <v>0.36280962546152595</v>
      </c>
      <c r="L160">
        <f t="shared" si="21"/>
        <v>89</v>
      </c>
      <c r="M160" s="2">
        <f t="shared" si="23"/>
        <v>0.25359745409525553</v>
      </c>
      <c r="N160" s="2">
        <f t="shared" si="22"/>
        <v>1.5653360440264823E-2</v>
      </c>
      <c r="O160" s="2">
        <f t="shared" si="28"/>
        <v>0.95432182453264036</v>
      </c>
      <c r="P160">
        <f t="shared" si="29"/>
        <v>0</v>
      </c>
      <c r="Q160">
        <f t="shared" si="30"/>
        <v>1</v>
      </c>
      <c r="R160">
        <f t="shared" si="31"/>
        <v>1</v>
      </c>
    </row>
    <row r="161" spans="1:18" x14ac:dyDescent="0.3">
      <c r="A161" s="1">
        <v>45534</v>
      </c>
      <c r="B161">
        <v>22268.09</v>
      </c>
      <c r="C161" s="2">
        <f t="shared" si="32"/>
        <v>2.9790932477074027E-3</v>
      </c>
      <c r="D161">
        <f t="shared" si="33"/>
        <v>1</v>
      </c>
      <c r="E161" s="2">
        <f t="shared" si="34"/>
        <v>2.9790932477074027E-3</v>
      </c>
      <c r="F161" s="2">
        <f t="shared" si="35"/>
        <v>2.9790932477074027E-3</v>
      </c>
      <c r="G161" s="2">
        <f t="shared" si="24"/>
        <v>0.42017724165438142</v>
      </c>
      <c r="H161">
        <f t="shared" si="25"/>
        <v>87</v>
      </c>
      <c r="I161" s="2">
        <f t="shared" si="26"/>
        <v>0.29918638831576</v>
      </c>
      <c r="J161" s="2">
        <f t="shared" si="27"/>
        <v>0</v>
      </c>
      <c r="K161" s="2">
        <f t="shared" si="20"/>
        <v>0.36280962546152595</v>
      </c>
      <c r="L161">
        <f t="shared" si="21"/>
        <v>89</v>
      </c>
      <c r="M161" s="2">
        <f t="shared" si="23"/>
        <v>0.2531725444826019</v>
      </c>
      <c r="N161" s="2">
        <f t="shared" si="22"/>
        <v>0</v>
      </c>
      <c r="O161" s="2">
        <f t="shared" si="28"/>
        <v>0.96259670227666583</v>
      </c>
      <c r="P161">
        <f t="shared" si="29"/>
        <v>0</v>
      </c>
      <c r="Q161">
        <f t="shared" si="30"/>
        <v>1</v>
      </c>
      <c r="R161">
        <f t="shared" si="31"/>
        <v>1</v>
      </c>
    </row>
    <row r="162" spans="1:18" x14ac:dyDescent="0.3">
      <c r="A162" s="1">
        <v>45537</v>
      </c>
      <c r="B162">
        <v>22235.1</v>
      </c>
      <c r="C162" s="2">
        <f t="shared" si="32"/>
        <v>-1.482590620711668E-3</v>
      </c>
      <c r="D162">
        <f t="shared" si="33"/>
        <v>3</v>
      </c>
      <c r="E162" s="2">
        <f t="shared" si="34"/>
        <v>-4.9419687357055598E-4</v>
      </c>
      <c r="F162" s="2">
        <f t="shared" si="35"/>
        <v>-8.5597409396589595E-4</v>
      </c>
      <c r="G162" s="2">
        <f t="shared" si="24"/>
        <v>0.36280962546152595</v>
      </c>
      <c r="H162">
        <f t="shared" si="25"/>
        <v>89</v>
      </c>
      <c r="I162" s="2">
        <f t="shared" si="26"/>
        <v>0.29904855227561028</v>
      </c>
      <c r="J162" s="2">
        <f t="shared" si="27"/>
        <v>5.8972049121148624E-3</v>
      </c>
      <c r="K162" s="2">
        <f t="shared" si="20"/>
        <v>0.3314448403948681</v>
      </c>
      <c r="L162">
        <f t="shared" si="21"/>
        <v>89</v>
      </c>
      <c r="M162" s="2">
        <f t="shared" si="23"/>
        <v>0.25313403062873213</v>
      </c>
      <c r="N162" s="2">
        <f t="shared" si="22"/>
        <v>3.7550544585121964E-3</v>
      </c>
      <c r="O162" s="2">
        <f t="shared" si="28"/>
        <v>0.95094872521373863</v>
      </c>
      <c r="P162">
        <f t="shared" si="29"/>
        <v>0</v>
      </c>
      <c r="Q162">
        <f t="shared" si="30"/>
        <v>1</v>
      </c>
      <c r="R162">
        <f t="shared" si="31"/>
        <v>1</v>
      </c>
    </row>
    <row r="163" spans="1:18" x14ac:dyDescent="0.3">
      <c r="A163" s="1">
        <v>45538</v>
      </c>
      <c r="B163">
        <v>22092.21</v>
      </c>
      <c r="C163" s="2">
        <f t="shared" si="32"/>
        <v>-6.4470636693491597E-3</v>
      </c>
      <c r="D163">
        <f t="shared" si="33"/>
        <v>1</v>
      </c>
      <c r="E163" s="2">
        <f t="shared" si="34"/>
        <v>-6.4470636693491597E-3</v>
      </c>
      <c r="F163" s="2">
        <f t="shared" si="35"/>
        <v>-6.4470636693491597E-3</v>
      </c>
      <c r="G163" s="2">
        <f t="shared" si="24"/>
        <v>0.3314448403948681</v>
      </c>
      <c r="H163">
        <f t="shared" si="25"/>
        <v>89</v>
      </c>
      <c r="I163" s="2">
        <f t="shared" si="26"/>
        <v>0.29633143565481074</v>
      </c>
      <c r="J163" s="2">
        <f t="shared" si="27"/>
        <v>1.8630530501653753E-2</v>
      </c>
      <c r="K163" s="2">
        <f t="shared" si="20"/>
        <v>0.3314448403948681</v>
      </c>
      <c r="L163">
        <f t="shared" si="21"/>
        <v>87</v>
      </c>
      <c r="M163" s="2">
        <f t="shared" si="23"/>
        <v>0.25344050142073082</v>
      </c>
      <c r="N163" s="2">
        <f t="shared" si="22"/>
        <v>1.343758631079219E-2</v>
      </c>
      <c r="O163" s="2">
        <f t="shared" si="28"/>
        <v>0.95346187638086011</v>
      </c>
      <c r="P163">
        <f t="shared" si="29"/>
        <v>0</v>
      </c>
      <c r="Q163">
        <f t="shared" si="30"/>
        <v>1</v>
      </c>
      <c r="R163">
        <f t="shared" si="31"/>
        <v>1</v>
      </c>
    </row>
    <row r="164" spans="1:18" x14ac:dyDescent="0.3">
      <c r="A164" s="1">
        <v>45539</v>
      </c>
      <c r="B164">
        <v>21092.75</v>
      </c>
      <c r="C164" s="2">
        <f t="shared" si="32"/>
        <v>-4.6295678155555041E-2</v>
      </c>
      <c r="D164">
        <f t="shared" si="33"/>
        <v>1</v>
      </c>
      <c r="E164" s="2">
        <f t="shared" si="34"/>
        <v>-4.6295678155555041E-2</v>
      </c>
      <c r="F164" s="2">
        <f t="shared" si="35"/>
        <v>-4.6295678155555041E-2</v>
      </c>
      <c r="G164" s="2">
        <f t="shared" si="24"/>
        <v>0.3314448403948681</v>
      </c>
      <c r="H164">
        <f t="shared" si="25"/>
        <v>89</v>
      </c>
      <c r="I164" s="2">
        <f t="shared" si="26"/>
        <v>0.31851264833017912</v>
      </c>
      <c r="J164" s="2">
        <f t="shared" si="27"/>
        <v>0.11509497606229467</v>
      </c>
      <c r="K164" s="2">
        <f t="shared" si="20"/>
        <v>0.32240275535755841</v>
      </c>
      <c r="L164">
        <f t="shared" si="21"/>
        <v>87</v>
      </c>
      <c r="M164" s="2">
        <f t="shared" si="23"/>
        <v>0.26623239919723946</v>
      </c>
      <c r="N164" s="2">
        <f t="shared" si="22"/>
        <v>8.2124017315436684E-2</v>
      </c>
      <c r="O164" s="2">
        <f t="shared" si="28"/>
        <v>0.99707245380521747</v>
      </c>
      <c r="P164">
        <f t="shared" si="29"/>
        <v>0</v>
      </c>
      <c r="Q164">
        <f t="shared" si="30"/>
        <v>0</v>
      </c>
      <c r="R164">
        <f t="shared" si="31"/>
        <v>0</v>
      </c>
    </row>
    <row r="165" spans="1:18" x14ac:dyDescent="0.3">
      <c r="A165" s="1">
        <v>45540</v>
      </c>
      <c r="B165">
        <v>21187.71</v>
      </c>
      <c r="C165" s="2">
        <f t="shared" si="32"/>
        <v>4.4919170543459754E-3</v>
      </c>
      <c r="D165">
        <f t="shared" si="33"/>
        <v>1</v>
      </c>
      <c r="E165" s="2">
        <f t="shared" si="34"/>
        <v>4.4919170543459754E-3</v>
      </c>
      <c r="F165" s="2">
        <f t="shared" si="35"/>
        <v>4.4919170543459754E-3</v>
      </c>
      <c r="G165" s="2">
        <f t="shared" si="24"/>
        <v>0.36280962546152595</v>
      </c>
      <c r="H165">
        <f t="shared" si="25"/>
        <v>86</v>
      </c>
      <c r="I165" s="2">
        <f t="shared" si="26"/>
        <v>0.3186373124298702</v>
      </c>
      <c r="J165" s="2">
        <f t="shared" si="27"/>
        <v>0</v>
      </c>
      <c r="K165" s="2">
        <f t="shared" si="20"/>
        <v>0.3314448403948681</v>
      </c>
      <c r="L165">
        <f t="shared" si="21"/>
        <v>90</v>
      </c>
      <c r="M165" s="2">
        <f t="shared" si="23"/>
        <v>0.26631047297470511</v>
      </c>
      <c r="N165" s="2">
        <f t="shared" si="22"/>
        <v>0</v>
      </c>
      <c r="O165" s="2">
        <f t="shared" si="28"/>
        <v>1.021972171603255</v>
      </c>
      <c r="P165">
        <f t="shared" si="29"/>
        <v>1</v>
      </c>
      <c r="Q165">
        <f t="shared" si="30"/>
        <v>0</v>
      </c>
      <c r="R165">
        <f t="shared" si="31"/>
        <v>1</v>
      </c>
    </row>
    <row r="166" spans="1:18" x14ac:dyDescent="0.3">
      <c r="A166" s="1">
        <v>45541</v>
      </c>
      <c r="B166">
        <v>21435.19</v>
      </c>
      <c r="C166" s="2">
        <f t="shared" si="32"/>
        <v>1.1612667422144521E-2</v>
      </c>
      <c r="D166">
        <f t="shared" si="33"/>
        <v>1</v>
      </c>
      <c r="E166" s="2">
        <f t="shared" si="34"/>
        <v>1.1612667422144521E-2</v>
      </c>
      <c r="F166" s="2">
        <f t="shared" si="35"/>
        <v>1.1612667422144521E-2</v>
      </c>
      <c r="G166" s="2">
        <f t="shared" si="24"/>
        <v>0.36280962546152595</v>
      </c>
      <c r="H166">
        <f t="shared" si="25"/>
        <v>86</v>
      </c>
      <c r="I166" s="2">
        <f t="shared" si="26"/>
        <v>0.31861463106322901</v>
      </c>
      <c r="J166" s="2">
        <f t="shared" si="27"/>
        <v>0</v>
      </c>
      <c r="K166" s="2">
        <f t="shared" si="20"/>
        <v>0.36280962546152595</v>
      </c>
      <c r="L166">
        <f t="shared" si="21"/>
        <v>90</v>
      </c>
      <c r="M166" s="2">
        <f t="shared" si="23"/>
        <v>0.2669732232239207</v>
      </c>
      <c r="N166" s="2">
        <f t="shared" si="22"/>
        <v>0</v>
      </c>
      <c r="O166" s="2">
        <f t="shared" si="28"/>
        <v>1.015136791416358</v>
      </c>
      <c r="P166">
        <f t="shared" si="29"/>
        <v>1</v>
      </c>
      <c r="Q166">
        <f t="shared" si="30"/>
        <v>0</v>
      </c>
      <c r="R166">
        <f t="shared" si="31"/>
        <v>1</v>
      </c>
    </row>
    <row r="167" spans="1:18" x14ac:dyDescent="0.3">
      <c r="A167" s="1">
        <v>45544</v>
      </c>
      <c r="B167">
        <v>21144.44</v>
      </c>
      <c r="C167" s="2">
        <f t="shared" si="32"/>
        <v>-1.365697724668726E-2</v>
      </c>
      <c r="D167">
        <f t="shared" si="33"/>
        <v>3</v>
      </c>
      <c r="E167" s="2">
        <f t="shared" si="34"/>
        <v>-4.552325748895753E-3</v>
      </c>
      <c r="F167" s="2">
        <f t="shared" si="35"/>
        <v>-7.8848594896914845E-3</v>
      </c>
      <c r="G167" s="2">
        <f t="shared" si="24"/>
        <v>0.3314448403948681</v>
      </c>
      <c r="H167">
        <f t="shared" si="25"/>
        <v>88</v>
      </c>
      <c r="I167" s="2">
        <f t="shared" si="26"/>
        <v>0.31796775908569153</v>
      </c>
      <c r="J167" s="2">
        <f t="shared" si="27"/>
        <v>1.9788002777458485E-2</v>
      </c>
      <c r="K167" s="2">
        <f t="shared" si="20"/>
        <v>0.36280962546152595</v>
      </c>
      <c r="L167">
        <f t="shared" si="21"/>
        <v>90</v>
      </c>
      <c r="M167" s="2">
        <f t="shared" si="23"/>
        <v>0.26632060847455258</v>
      </c>
      <c r="N167" s="2">
        <f t="shared" si="22"/>
        <v>1.542391777037321E-2</v>
      </c>
      <c r="O167" s="2">
        <f t="shared" si="28"/>
        <v>1.0333723664471608</v>
      </c>
      <c r="P167">
        <f t="shared" si="29"/>
        <v>1</v>
      </c>
      <c r="Q167">
        <f t="shared" si="30"/>
        <v>0</v>
      </c>
      <c r="R167">
        <f t="shared" si="31"/>
        <v>1</v>
      </c>
    </row>
    <row r="168" spans="1:18" x14ac:dyDescent="0.3">
      <c r="A168" s="1">
        <v>45545</v>
      </c>
      <c r="B168">
        <v>21064.080000000002</v>
      </c>
      <c r="C168" s="2">
        <f t="shared" si="32"/>
        <v>-3.8077666355287292E-3</v>
      </c>
      <c r="D168">
        <f t="shared" si="33"/>
        <v>1</v>
      </c>
      <c r="E168" s="2">
        <f t="shared" si="34"/>
        <v>-3.8077666355287292E-3</v>
      </c>
      <c r="F168" s="2">
        <f t="shared" si="35"/>
        <v>-3.8077666355287292E-3</v>
      </c>
      <c r="G168" s="2">
        <f t="shared" si="24"/>
        <v>0.32240275535755841</v>
      </c>
      <c r="H168">
        <f t="shared" si="25"/>
        <v>88</v>
      </c>
      <c r="I168" s="2">
        <f t="shared" si="26"/>
        <v>0.31739740054756443</v>
      </c>
      <c r="J168" s="2">
        <f t="shared" si="27"/>
        <v>9.2220981980658968E-3</v>
      </c>
      <c r="K168" s="2">
        <f t="shared" si="20"/>
        <v>0.3314448403948681</v>
      </c>
      <c r="L168">
        <f t="shared" si="21"/>
        <v>88</v>
      </c>
      <c r="M168" s="2">
        <f t="shared" si="23"/>
        <v>0.26631431864489252</v>
      </c>
      <c r="N168" s="2">
        <f t="shared" si="22"/>
        <v>8.1742595032692055E-3</v>
      </c>
      <c r="O168" s="2">
        <f t="shared" si="28"/>
        <v>1.0291852290724304</v>
      </c>
      <c r="P168">
        <f t="shared" si="29"/>
        <v>1</v>
      </c>
      <c r="Q168">
        <f t="shared" si="30"/>
        <v>0</v>
      </c>
      <c r="R168">
        <f t="shared" si="31"/>
        <v>1</v>
      </c>
    </row>
    <row r="169" spans="1:18" x14ac:dyDescent="0.3">
      <c r="A169" s="1">
        <v>45546</v>
      </c>
      <c r="B169">
        <v>21031</v>
      </c>
      <c r="C169" s="2">
        <f t="shared" si="32"/>
        <v>-1.5716804343625422E-3</v>
      </c>
      <c r="D169">
        <f t="shared" si="33"/>
        <v>1</v>
      </c>
      <c r="E169" s="2">
        <f t="shared" si="34"/>
        <v>-1.5716804343625422E-3</v>
      </c>
      <c r="F169" s="2">
        <f t="shared" si="35"/>
        <v>-1.5716804343625422E-3</v>
      </c>
      <c r="G169" s="2">
        <f t="shared" si="24"/>
        <v>0.32240275535755841</v>
      </c>
      <c r="H169">
        <f t="shared" si="25"/>
        <v>86</v>
      </c>
      <c r="I169" s="2">
        <f t="shared" si="26"/>
        <v>0.31741891752252632</v>
      </c>
      <c r="J169" s="2">
        <f t="shared" si="27"/>
        <v>3.6509536161229302E-3</v>
      </c>
      <c r="K169" s="2">
        <f t="shared" si="20"/>
        <v>0.3314448403948681</v>
      </c>
      <c r="L169">
        <f t="shared" si="21"/>
        <v>90</v>
      </c>
      <c r="M169" s="2">
        <f t="shared" si="23"/>
        <v>0.26632542182215779</v>
      </c>
      <c r="N169" s="2">
        <f t="shared" si="22"/>
        <v>4.2681674262852014E-3</v>
      </c>
      <c r="O169" s="2">
        <f t="shared" si="28"/>
        <v>1.0481047025819028</v>
      </c>
      <c r="P169">
        <f t="shared" si="29"/>
        <v>1</v>
      </c>
      <c r="Q169">
        <f t="shared" si="30"/>
        <v>0</v>
      </c>
      <c r="R169">
        <f t="shared" si="31"/>
        <v>1</v>
      </c>
    </row>
    <row r="170" spans="1:18" x14ac:dyDescent="0.3">
      <c r="A170" s="1">
        <v>45547</v>
      </c>
      <c r="B170">
        <v>21653.25</v>
      </c>
      <c r="C170" s="2">
        <f t="shared" si="32"/>
        <v>2.915801895419871E-2</v>
      </c>
      <c r="D170">
        <f t="shared" si="33"/>
        <v>1</v>
      </c>
      <c r="E170" s="2">
        <f t="shared" si="34"/>
        <v>2.915801895419871E-2</v>
      </c>
      <c r="F170" s="2">
        <f t="shared" si="35"/>
        <v>2.915801895419871E-2</v>
      </c>
      <c r="G170" s="2">
        <f t="shared" si="24"/>
        <v>0.32240275535755841</v>
      </c>
      <c r="H170">
        <f t="shared" si="25"/>
        <v>86</v>
      </c>
      <c r="I170" s="2">
        <f t="shared" si="26"/>
        <v>0.32431436029479083</v>
      </c>
      <c r="J170" s="2">
        <f t="shared" si="27"/>
        <v>0</v>
      </c>
      <c r="K170" s="2">
        <f t="shared" si="20"/>
        <v>0.36280962546152595</v>
      </c>
      <c r="L170">
        <f t="shared" si="21"/>
        <v>90</v>
      </c>
      <c r="M170" s="2">
        <f t="shared" si="23"/>
        <v>0.27072449953089767</v>
      </c>
      <c r="N170" s="2">
        <f t="shared" si="22"/>
        <v>0</v>
      </c>
      <c r="O170" s="2">
        <f t="shared" si="28"/>
        <v>1.0233761675499058</v>
      </c>
      <c r="P170">
        <f t="shared" si="29"/>
        <v>1</v>
      </c>
      <c r="Q170">
        <f t="shared" si="30"/>
        <v>0</v>
      </c>
      <c r="R170">
        <f t="shared" si="31"/>
        <v>1</v>
      </c>
    </row>
    <row r="171" spans="1:18" x14ac:dyDescent="0.3">
      <c r="A171" s="1">
        <v>45548</v>
      </c>
      <c r="B171">
        <v>21759.65</v>
      </c>
      <c r="C171" s="2">
        <f t="shared" si="32"/>
        <v>4.9017786438207596E-3</v>
      </c>
      <c r="D171">
        <f t="shared" si="33"/>
        <v>1</v>
      </c>
      <c r="E171" s="2">
        <f t="shared" si="34"/>
        <v>4.9017786438207596E-3</v>
      </c>
      <c r="F171" s="2">
        <f t="shared" si="35"/>
        <v>4.9017786438207596E-3</v>
      </c>
      <c r="G171" s="2">
        <f t="shared" si="24"/>
        <v>0.32240275535755841</v>
      </c>
      <c r="H171">
        <f t="shared" si="25"/>
        <v>86</v>
      </c>
      <c r="I171" s="2">
        <f t="shared" si="26"/>
        <v>0.32085655665874108</v>
      </c>
      <c r="J171" s="2">
        <f t="shared" si="27"/>
        <v>0</v>
      </c>
      <c r="K171" s="2">
        <f t="shared" si="20"/>
        <v>0.36280962546152595</v>
      </c>
      <c r="L171">
        <f t="shared" si="21"/>
        <v>90</v>
      </c>
      <c r="M171" s="2">
        <f t="shared" si="23"/>
        <v>0.26860971425434976</v>
      </c>
      <c r="N171" s="2">
        <f t="shared" si="22"/>
        <v>0</v>
      </c>
      <c r="O171" s="2">
        <f t="shared" si="28"/>
        <v>1.0241676681380443</v>
      </c>
      <c r="P171">
        <f t="shared" si="29"/>
        <v>1</v>
      </c>
      <c r="Q171">
        <f t="shared" si="30"/>
        <v>0</v>
      </c>
      <c r="R171">
        <f t="shared" si="31"/>
        <v>1</v>
      </c>
    </row>
    <row r="172" spans="1:18" x14ac:dyDescent="0.3">
      <c r="A172" s="1">
        <v>45551</v>
      </c>
      <c r="B172">
        <v>21850.080000000002</v>
      </c>
      <c r="C172" s="2">
        <f t="shared" si="32"/>
        <v>4.1472455625671438E-3</v>
      </c>
      <c r="D172">
        <f t="shared" si="33"/>
        <v>3</v>
      </c>
      <c r="E172" s="2">
        <f t="shared" si="34"/>
        <v>1.3824151875223812E-3</v>
      </c>
      <c r="F172" s="2">
        <f t="shared" si="35"/>
        <v>2.3944133419436216E-3</v>
      </c>
      <c r="G172" s="2">
        <f t="shared" si="24"/>
        <v>0.32240275535755841</v>
      </c>
      <c r="H172">
        <f t="shared" si="25"/>
        <v>88</v>
      </c>
      <c r="I172" s="2">
        <f t="shared" si="26"/>
        <v>0.32021459214989539</v>
      </c>
      <c r="J172" s="2">
        <f t="shared" si="27"/>
        <v>0</v>
      </c>
      <c r="K172" s="2">
        <f t="shared" si="20"/>
        <v>0.36280962546152595</v>
      </c>
      <c r="L172">
        <f t="shared" si="21"/>
        <v>90</v>
      </c>
      <c r="M172" s="2">
        <f t="shared" si="23"/>
        <v>0.26861942431438657</v>
      </c>
      <c r="N172" s="2">
        <f t="shared" si="22"/>
        <v>0</v>
      </c>
      <c r="O172" s="2">
        <f t="shared" si="28"/>
        <v>1.0266223281562354</v>
      </c>
      <c r="P172">
        <f t="shared" si="29"/>
        <v>1</v>
      </c>
      <c r="Q172">
        <f t="shared" si="30"/>
        <v>0</v>
      </c>
      <c r="R172">
        <f t="shared" si="31"/>
        <v>1</v>
      </c>
    </row>
    <row r="173" spans="1:18" x14ac:dyDescent="0.3">
      <c r="A173" s="1">
        <v>45553</v>
      </c>
      <c r="B173">
        <v>21678.84</v>
      </c>
      <c r="C173" s="2">
        <f t="shared" si="32"/>
        <v>-7.8679132572097854E-3</v>
      </c>
      <c r="D173">
        <f t="shared" si="33"/>
        <v>2</v>
      </c>
      <c r="E173" s="2">
        <f t="shared" si="34"/>
        <v>-3.9339566286048927E-3</v>
      </c>
      <c r="F173" s="2">
        <f t="shared" si="35"/>
        <v>-5.5634548179605758E-3</v>
      </c>
      <c r="G173" s="2">
        <f t="shared" si="24"/>
        <v>0.32240275535755841</v>
      </c>
      <c r="H173">
        <f t="shared" si="25"/>
        <v>89</v>
      </c>
      <c r="I173" s="2">
        <f t="shared" si="26"/>
        <v>0.32010225721780039</v>
      </c>
      <c r="J173" s="2">
        <f t="shared" si="27"/>
        <v>1.3406032288615704E-2</v>
      </c>
      <c r="K173" s="2">
        <f t="shared" si="20"/>
        <v>0.36280962546152595</v>
      </c>
      <c r="L173">
        <f t="shared" si="21"/>
        <v>88</v>
      </c>
      <c r="M173" s="2">
        <f t="shared" si="23"/>
        <v>0.268841989524231</v>
      </c>
      <c r="N173" s="2">
        <f t="shared" si="22"/>
        <v>1.1424750449941252E-2</v>
      </c>
      <c r="O173" s="2">
        <f t="shared" si="28"/>
        <v>1.0499454767875034</v>
      </c>
      <c r="P173">
        <f t="shared" si="29"/>
        <v>1</v>
      </c>
      <c r="Q173">
        <f t="shared" si="30"/>
        <v>0</v>
      </c>
      <c r="R173">
        <f t="shared" si="31"/>
        <v>1</v>
      </c>
    </row>
    <row r="174" spans="1:18" x14ac:dyDescent="0.3">
      <c r="A174" s="1">
        <v>45554</v>
      </c>
      <c r="B174">
        <v>22042.69</v>
      </c>
      <c r="C174" s="2">
        <f t="shared" si="32"/>
        <v>1.6644358048897728E-2</v>
      </c>
      <c r="D174">
        <f t="shared" si="33"/>
        <v>1</v>
      </c>
      <c r="E174" s="2">
        <f t="shared" si="34"/>
        <v>1.6644358048897728E-2</v>
      </c>
      <c r="F174" s="2">
        <f t="shared" si="35"/>
        <v>1.6644358048897728E-2</v>
      </c>
      <c r="G174" s="2">
        <f t="shared" si="24"/>
        <v>0.3314448403948681</v>
      </c>
      <c r="H174">
        <f t="shared" si="25"/>
        <v>87</v>
      </c>
      <c r="I174" s="2">
        <f t="shared" si="26"/>
        <v>0.3215474427886767</v>
      </c>
      <c r="J174" s="2">
        <f t="shared" si="27"/>
        <v>0</v>
      </c>
      <c r="K174" s="2">
        <f t="shared" si="20"/>
        <v>0.42017724165438142</v>
      </c>
      <c r="L174">
        <f t="shared" si="21"/>
        <v>90</v>
      </c>
      <c r="M174" s="2">
        <f t="shared" si="23"/>
        <v>0.27011555747334581</v>
      </c>
      <c r="N174" s="2">
        <f t="shared" si="22"/>
        <v>0</v>
      </c>
      <c r="O174" s="2">
        <f t="shared" si="28"/>
        <v>1.0370245192397118</v>
      </c>
      <c r="P174">
        <f t="shared" si="29"/>
        <v>1</v>
      </c>
      <c r="Q174">
        <f t="shared" si="30"/>
        <v>0</v>
      </c>
      <c r="R174">
        <f t="shared" si="31"/>
        <v>1</v>
      </c>
    </row>
    <row r="175" spans="1:18" x14ac:dyDescent="0.3">
      <c r="A175" s="1">
        <v>45555</v>
      </c>
      <c r="B175">
        <v>22159.42</v>
      </c>
      <c r="C175" s="2">
        <f t="shared" si="32"/>
        <v>5.2816605975423408E-3</v>
      </c>
      <c r="D175">
        <f t="shared" si="33"/>
        <v>1</v>
      </c>
      <c r="E175" s="2">
        <f t="shared" si="34"/>
        <v>5.2816605975423408E-3</v>
      </c>
      <c r="F175" s="2">
        <f t="shared" si="35"/>
        <v>5.2816605975423408E-3</v>
      </c>
      <c r="G175" s="2">
        <f t="shared" si="24"/>
        <v>0.3314448403948681</v>
      </c>
      <c r="H175">
        <f t="shared" si="25"/>
        <v>87</v>
      </c>
      <c r="I175" s="2">
        <f t="shared" si="26"/>
        <v>0.32172684884058889</v>
      </c>
      <c r="J175" s="2">
        <f t="shared" si="27"/>
        <v>0</v>
      </c>
      <c r="K175" s="2">
        <f t="shared" si="20"/>
        <v>0.42017724165438142</v>
      </c>
      <c r="L175">
        <f t="shared" si="21"/>
        <v>90</v>
      </c>
      <c r="M175" s="2">
        <f t="shared" si="23"/>
        <v>0.27017675343383585</v>
      </c>
      <c r="N175" s="2">
        <f t="shared" si="22"/>
        <v>0</v>
      </c>
      <c r="O175" s="2">
        <f t="shared" si="28"/>
        <v>1.0299362528441629</v>
      </c>
      <c r="P175">
        <f t="shared" si="29"/>
        <v>1</v>
      </c>
      <c r="Q175">
        <f t="shared" si="30"/>
        <v>0</v>
      </c>
      <c r="R175">
        <f t="shared" si="31"/>
        <v>1</v>
      </c>
    </row>
    <row r="176" spans="1:18" x14ac:dyDescent="0.3">
      <c r="A176" s="1">
        <v>45558</v>
      </c>
      <c r="B176">
        <v>22285.53</v>
      </c>
      <c r="C176" s="2">
        <f t="shared" si="32"/>
        <v>5.6749006779062538E-3</v>
      </c>
      <c r="D176">
        <f t="shared" si="33"/>
        <v>3</v>
      </c>
      <c r="E176" s="2">
        <f t="shared" si="34"/>
        <v>1.8916335593020847E-3</v>
      </c>
      <c r="F176" s="2">
        <f t="shared" si="35"/>
        <v>3.2764054340135656E-3</v>
      </c>
      <c r="G176" s="2">
        <f t="shared" si="24"/>
        <v>0.3314448403948681</v>
      </c>
      <c r="H176">
        <f t="shared" si="25"/>
        <v>89</v>
      </c>
      <c r="I176" s="2">
        <f t="shared" si="26"/>
        <v>0.32161672262812607</v>
      </c>
      <c r="J176" s="2">
        <f t="shared" si="27"/>
        <v>0</v>
      </c>
      <c r="K176" s="2">
        <f t="shared" si="20"/>
        <v>0.4771918139576104</v>
      </c>
      <c r="L176">
        <f t="shared" si="21"/>
        <v>90</v>
      </c>
      <c r="M176" s="2">
        <f t="shared" si="23"/>
        <v>0.27011741655551885</v>
      </c>
      <c r="N176" s="2">
        <f t="shared" si="22"/>
        <v>0</v>
      </c>
      <c r="O176" s="2">
        <f t="shared" si="28"/>
        <v>0.99726324659992394</v>
      </c>
      <c r="P176">
        <f t="shared" si="29"/>
        <v>0</v>
      </c>
      <c r="Q176">
        <f t="shared" si="30"/>
        <v>0</v>
      </c>
      <c r="R176">
        <f t="shared" si="31"/>
        <v>0</v>
      </c>
    </row>
    <row r="177" spans="1:18" x14ac:dyDescent="0.3">
      <c r="A177" s="1">
        <v>45559</v>
      </c>
      <c r="B177">
        <v>22431.78</v>
      </c>
      <c r="C177" s="2">
        <f t="shared" si="32"/>
        <v>6.5411144568479091E-3</v>
      </c>
      <c r="D177">
        <f t="shared" si="33"/>
        <v>1</v>
      </c>
      <c r="E177" s="2">
        <f t="shared" si="34"/>
        <v>6.5411144568479091E-3</v>
      </c>
      <c r="F177" s="2">
        <f t="shared" si="35"/>
        <v>6.5411144568479091E-3</v>
      </c>
      <c r="G177" s="2">
        <f t="shared" si="24"/>
        <v>0.36280962546152595</v>
      </c>
      <c r="H177">
        <f t="shared" si="25"/>
        <v>89</v>
      </c>
      <c r="I177" s="2">
        <f t="shared" si="26"/>
        <v>0.32182528669898175</v>
      </c>
      <c r="J177" s="2">
        <f t="shared" si="27"/>
        <v>0</v>
      </c>
      <c r="K177" s="2">
        <f t="shared" si="20"/>
        <v>0.4771918139576104</v>
      </c>
      <c r="L177">
        <f t="shared" si="21"/>
        <v>90</v>
      </c>
      <c r="M177" s="2">
        <f t="shared" si="23"/>
        <v>0.27006723218995221</v>
      </c>
      <c r="N177" s="2">
        <f t="shared" si="22"/>
        <v>0</v>
      </c>
      <c r="O177" s="2">
        <f t="shared" si="28"/>
        <v>0.99815484994949133</v>
      </c>
      <c r="P177">
        <f t="shared" si="29"/>
        <v>0</v>
      </c>
      <c r="Q177">
        <f t="shared" si="30"/>
        <v>0</v>
      </c>
      <c r="R177">
        <f t="shared" si="31"/>
        <v>0</v>
      </c>
    </row>
    <row r="178" spans="1:18" x14ac:dyDescent="0.3">
      <c r="A178" s="1">
        <v>45560</v>
      </c>
      <c r="B178">
        <v>22761.599999999999</v>
      </c>
      <c r="C178" s="2">
        <f t="shared" si="32"/>
        <v>1.4596202170946784E-2</v>
      </c>
      <c r="D178">
        <f t="shared" si="33"/>
        <v>1</v>
      </c>
      <c r="E178" s="2">
        <f t="shared" si="34"/>
        <v>1.4596202170946784E-2</v>
      </c>
      <c r="F178" s="2">
        <f t="shared" si="35"/>
        <v>1.4596202170946784E-2</v>
      </c>
      <c r="G178" s="2">
        <f t="shared" si="24"/>
        <v>0.36280962546152595</v>
      </c>
      <c r="H178">
        <f t="shared" si="25"/>
        <v>89</v>
      </c>
      <c r="I178" s="2">
        <f t="shared" si="26"/>
        <v>0.32347455115697626</v>
      </c>
      <c r="J178" s="2">
        <f t="shared" si="27"/>
        <v>0</v>
      </c>
      <c r="K178" s="2">
        <f t="shared" si="20"/>
        <v>0.516354801996737</v>
      </c>
      <c r="L178">
        <f t="shared" si="21"/>
        <v>88</v>
      </c>
      <c r="M178" s="2">
        <f t="shared" si="23"/>
        <v>0.27100952183070948</v>
      </c>
      <c r="N178" s="2">
        <f t="shared" si="22"/>
        <v>0</v>
      </c>
      <c r="O178" s="2">
        <f t="shared" si="28"/>
        <v>0.97983929073527343</v>
      </c>
      <c r="P178">
        <f t="shared" si="29"/>
        <v>0</v>
      </c>
      <c r="Q178">
        <f t="shared" si="30"/>
        <v>1</v>
      </c>
      <c r="R178">
        <f t="shared" si="31"/>
        <v>1</v>
      </c>
    </row>
    <row r="179" spans="1:18" x14ac:dyDescent="0.3">
      <c r="A179" s="1">
        <v>45561</v>
      </c>
      <c r="B179">
        <v>22858.81</v>
      </c>
      <c r="C179" s="2">
        <f t="shared" si="32"/>
        <v>4.2616954616445284E-3</v>
      </c>
      <c r="D179">
        <f t="shared" si="33"/>
        <v>1</v>
      </c>
      <c r="E179" s="2">
        <f t="shared" si="34"/>
        <v>4.2616954616445284E-3</v>
      </c>
      <c r="F179" s="2">
        <f t="shared" si="35"/>
        <v>4.2616954616445284E-3</v>
      </c>
      <c r="G179" s="2">
        <f t="shared" si="24"/>
        <v>0.42017724165438142</v>
      </c>
      <c r="H179">
        <f t="shared" si="25"/>
        <v>87</v>
      </c>
      <c r="I179" s="2">
        <f t="shared" si="26"/>
        <v>0.32359588426773767</v>
      </c>
      <c r="J179" s="2">
        <f t="shared" si="27"/>
        <v>0</v>
      </c>
      <c r="K179" s="2">
        <f t="shared" si="20"/>
        <v>0.516354801996737</v>
      </c>
      <c r="L179">
        <f t="shared" si="21"/>
        <v>90</v>
      </c>
      <c r="M179" s="2">
        <f t="shared" si="23"/>
        <v>0.27041138499243789</v>
      </c>
      <c r="N179" s="2">
        <f t="shared" si="22"/>
        <v>0</v>
      </c>
      <c r="O179" s="2">
        <f t="shared" si="28"/>
        <v>0.99316456105982764</v>
      </c>
      <c r="P179">
        <f t="shared" si="29"/>
        <v>0</v>
      </c>
      <c r="Q179">
        <f t="shared" si="30"/>
        <v>0</v>
      </c>
      <c r="R179">
        <f t="shared" si="31"/>
        <v>0</v>
      </c>
    </row>
    <row r="180" spans="1:18" x14ac:dyDescent="0.3">
      <c r="A180" s="1">
        <v>45562</v>
      </c>
      <c r="B180">
        <v>22822.79</v>
      </c>
      <c r="C180" s="2">
        <f t="shared" si="32"/>
        <v>-1.5770028836538102E-3</v>
      </c>
      <c r="D180">
        <f t="shared" si="33"/>
        <v>1</v>
      </c>
      <c r="E180" s="2">
        <f t="shared" si="34"/>
        <v>-1.5770028836538102E-3</v>
      </c>
      <c r="F180" s="2">
        <f t="shared" si="35"/>
        <v>-1.5770028836538102E-3</v>
      </c>
      <c r="G180" s="2">
        <f t="shared" si="24"/>
        <v>0.42017724165438142</v>
      </c>
      <c r="H180">
        <f t="shared" si="25"/>
        <v>87</v>
      </c>
      <c r="I180" s="2">
        <f t="shared" si="26"/>
        <v>0.32294422089050367</v>
      </c>
      <c r="J180" s="2">
        <f t="shared" si="27"/>
        <v>5.9436930771316881E-3</v>
      </c>
      <c r="K180" s="2">
        <f t="shared" si="20"/>
        <v>0.516354801996737</v>
      </c>
      <c r="L180">
        <f t="shared" si="21"/>
        <v>90</v>
      </c>
      <c r="M180" s="2">
        <f t="shared" si="23"/>
        <v>0.27012854734521008</v>
      </c>
      <c r="N180" s="2">
        <f t="shared" si="22"/>
        <v>5.0586219129497107E-3</v>
      </c>
      <c r="O180" s="2">
        <f t="shared" si="28"/>
        <v>0.99073732878407939</v>
      </c>
      <c r="P180">
        <f t="shared" si="29"/>
        <v>0</v>
      </c>
      <c r="Q180">
        <f t="shared" si="30"/>
        <v>0</v>
      </c>
      <c r="R180">
        <f t="shared" si="31"/>
        <v>0</v>
      </c>
    </row>
    <row r="181" spans="1:18" x14ac:dyDescent="0.3">
      <c r="A181" s="1">
        <v>45565</v>
      </c>
      <c r="B181">
        <v>22224.54</v>
      </c>
      <c r="C181" s="2">
        <f t="shared" si="32"/>
        <v>-2.656251436209927E-2</v>
      </c>
      <c r="D181">
        <f t="shared" si="33"/>
        <v>3</v>
      </c>
      <c r="E181" s="2">
        <f t="shared" si="34"/>
        <v>-8.8541714540330899E-3</v>
      </c>
      <c r="F181" s="2">
        <f t="shared" si="35"/>
        <v>-1.5335874817311315E-2</v>
      </c>
      <c r="G181" s="2">
        <f t="shared" si="24"/>
        <v>0.36280962546152595</v>
      </c>
      <c r="H181">
        <f t="shared" si="25"/>
        <v>89</v>
      </c>
      <c r="I181" s="2">
        <f t="shared" si="26"/>
        <v>0.32396570512728423</v>
      </c>
      <c r="J181" s="2">
        <f t="shared" si="27"/>
        <v>3.8725530449664668E-2</v>
      </c>
      <c r="K181" s="2">
        <f t="shared" si="20"/>
        <v>0.516354801996737</v>
      </c>
      <c r="L181">
        <f t="shared" si="21"/>
        <v>86</v>
      </c>
      <c r="M181" s="2">
        <f t="shared" si="23"/>
        <v>0.2716848338773068</v>
      </c>
      <c r="N181" s="2">
        <f t="shared" si="22"/>
        <v>2.8806175139089635E-2</v>
      </c>
      <c r="O181" s="2">
        <f t="shared" si="28"/>
        <v>1.0195522606992091</v>
      </c>
      <c r="P181">
        <f t="shared" si="29"/>
        <v>1</v>
      </c>
      <c r="Q181">
        <f t="shared" si="30"/>
        <v>0</v>
      </c>
      <c r="R181">
        <f t="shared" si="31"/>
        <v>1</v>
      </c>
    </row>
    <row r="182" spans="1:18" x14ac:dyDescent="0.3">
      <c r="A182" s="1">
        <v>45566</v>
      </c>
      <c r="B182">
        <v>22390.39</v>
      </c>
      <c r="C182" s="2">
        <f t="shared" si="32"/>
        <v>7.434765176410247E-3</v>
      </c>
      <c r="D182">
        <f t="shared" si="33"/>
        <v>1</v>
      </c>
      <c r="E182" s="2">
        <f t="shared" si="34"/>
        <v>7.434765176410247E-3</v>
      </c>
      <c r="F182" s="2">
        <f t="shared" si="35"/>
        <v>7.434765176410247E-3</v>
      </c>
      <c r="G182" s="2">
        <f t="shared" si="24"/>
        <v>0.36280962546152595</v>
      </c>
      <c r="H182">
        <f t="shared" si="25"/>
        <v>89</v>
      </c>
      <c r="I182" s="2">
        <f t="shared" si="26"/>
        <v>0.32238624144718314</v>
      </c>
      <c r="J182" s="2">
        <f t="shared" si="27"/>
        <v>0</v>
      </c>
      <c r="K182" s="2">
        <f t="shared" si="20"/>
        <v>0.516354801996737</v>
      </c>
      <c r="L182">
        <f t="shared" si="21"/>
        <v>86</v>
      </c>
      <c r="M182" s="2">
        <f t="shared" si="23"/>
        <v>0.2702286216055223</v>
      </c>
      <c r="N182" s="2">
        <f t="shared" si="22"/>
        <v>0</v>
      </c>
      <c r="O182" s="2">
        <f t="shared" si="28"/>
        <v>1.0228334566749395</v>
      </c>
      <c r="P182">
        <f t="shared" si="29"/>
        <v>1</v>
      </c>
      <c r="Q182">
        <f t="shared" si="30"/>
        <v>0</v>
      </c>
      <c r="R182">
        <f t="shared" si="31"/>
        <v>1</v>
      </c>
    </row>
    <row r="183" spans="1:18" x14ac:dyDescent="0.3">
      <c r="A183" s="1">
        <v>45569</v>
      </c>
      <c r="B183">
        <v>22302.71</v>
      </c>
      <c r="C183" s="2">
        <f t="shared" si="32"/>
        <v>-3.9236532031344026E-3</v>
      </c>
      <c r="D183">
        <f t="shared" si="33"/>
        <v>3</v>
      </c>
      <c r="E183" s="2">
        <f t="shared" si="34"/>
        <v>-1.3078844010448009E-3</v>
      </c>
      <c r="F183" s="2">
        <f t="shared" si="35"/>
        <v>-2.2653222330363846E-3</v>
      </c>
      <c r="G183" s="2">
        <f t="shared" si="24"/>
        <v>0.3314448403948681</v>
      </c>
      <c r="H183">
        <f t="shared" si="25"/>
        <v>91</v>
      </c>
      <c r="I183" s="2">
        <f t="shared" si="26"/>
        <v>0.3224302161109891</v>
      </c>
      <c r="J183" s="2">
        <f t="shared" si="27"/>
        <v>6.0243764927328716E-3</v>
      </c>
      <c r="K183" s="2">
        <f t="shared" si="20"/>
        <v>0.516354801996737</v>
      </c>
      <c r="L183">
        <f t="shared" si="21"/>
        <v>86</v>
      </c>
      <c r="M183" s="2">
        <f t="shared" si="23"/>
        <v>0.27025226844201988</v>
      </c>
      <c r="N183" s="2">
        <f t="shared" si="22"/>
        <v>5.8416668309819609E-3</v>
      </c>
      <c r="O183" s="2">
        <f t="shared" si="28"/>
        <v>1.0301568733127051</v>
      </c>
      <c r="P183">
        <f t="shared" si="29"/>
        <v>1</v>
      </c>
      <c r="Q183">
        <f t="shared" si="30"/>
        <v>0</v>
      </c>
      <c r="R183">
        <f t="shared" si="31"/>
        <v>1</v>
      </c>
    </row>
    <row r="184" spans="1:18" x14ac:dyDescent="0.3">
      <c r="A184" s="1">
        <v>45572</v>
      </c>
      <c r="B184">
        <v>22702.560000000001</v>
      </c>
      <c r="C184" s="2">
        <f t="shared" si="32"/>
        <v>1.7769497712867559E-2</v>
      </c>
      <c r="D184">
        <f t="shared" si="33"/>
        <v>3</v>
      </c>
      <c r="E184" s="2">
        <f t="shared" si="34"/>
        <v>5.9231659042891863E-3</v>
      </c>
      <c r="F184" s="2">
        <f t="shared" si="35"/>
        <v>1.0259224287888525E-2</v>
      </c>
      <c r="G184" s="2">
        <f t="shared" si="24"/>
        <v>0.3314448403948681</v>
      </c>
      <c r="H184">
        <f t="shared" si="25"/>
        <v>91</v>
      </c>
      <c r="I184" s="2">
        <f t="shared" si="26"/>
        <v>0.32284262866267982</v>
      </c>
      <c r="J184" s="2">
        <f t="shared" si="27"/>
        <v>0</v>
      </c>
      <c r="K184" s="2">
        <f t="shared" si="20"/>
        <v>0.60928715484653295</v>
      </c>
      <c r="L184">
        <f t="shared" si="21"/>
        <v>88</v>
      </c>
      <c r="M184" s="2">
        <f t="shared" si="23"/>
        <v>0.27070993615056693</v>
      </c>
      <c r="N184" s="2">
        <f t="shared" si="22"/>
        <v>0</v>
      </c>
      <c r="O184" s="2">
        <f t="shared" si="28"/>
        <v>1.025965353686985</v>
      </c>
      <c r="P184">
        <f t="shared" si="29"/>
        <v>1</v>
      </c>
      <c r="Q184">
        <f t="shared" si="30"/>
        <v>0</v>
      </c>
      <c r="R184">
        <f t="shared" si="31"/>
        <v>1</v>
      </c>
    </row>
    <row r="185" spans="1:18" x14ac:dyDescent="0.3">
      <c r="A185" s="1">
        <v>45573</v>
      </c>
      <c r="B185">
        <v>22611.39</v>
      </c>
      <c r="C185" s="2">
        <f t="shared" si="32"/>
        <v>-4.023931836394593E-3</v>
      </c>
      <c r="D185">
        <f t="shared" si="33"/>
        <v>1</v>
      </c>
      <c r="E185" s="2">
        <f t="shared" si="34"/>
        <v>-4.023931836394593E-3</v>
      </c>
      <c r="F185" s="2">
        <f t="shared" si="35"/>
        <v>-4.023931836394593E-3</v>
      </c>
      <c r="G185" s="2">
        <f t="shared" si="24"/>
        <v>0.32240275535755841</v>
      </c>
      <c r="H185">
        <f t="shared" si="25"/>
        <v>91</v>
      </c>
      <c r="I185" s="2">
        <f t="shared" si="26"/>
        <v>0.32300637176996627</v>
      </c>
      <c r="J185" s="2">
        <f t="shared" si="27"/>
        <v>1.0258682773227713E-2</v>
      </c>
      <c r="K185" s="2">
        <f t="shared" si="20"/>
        <v>0.60928715484653295</v>
      </c>
      <c r="L185">
        <f t="shared" si="21"/>
        <v>88</v>
      </c>
      <c r="M185" s="2">
        <f t="shared" si="23"/>
        <v>0.27084033851849437</v>
      </c>
      <c r="N185" s="2">
        <f t="shared" si="22"/>
        <v>9.0182525793860505E-3</v>
      </c>
      <c r="O185" s="2">
        <f t="shared" si="28"/>
        <v>1.0176720670423181</v>
      </c>
      <c r="P185">
        <f t="shared" si="29"/>
        <v>1</v>
      </c>
      <c r="Q185">
        <f t="shared" si="30"/>
        <v>0</v>
      </c>
      <c r="R185">
        <f t="shared" si="31"/>
        <v>1</v>
      </c>
    </row>
    <row r="186" spans="1:18" x14ac:dyDescent="0.3">
      <c r="A186" s="1">
        <v>45574</v>
      </c>
      <c r="B186">
        <v>22659.08</v>
      </c>
      <c r="C186" s="2">
        <f t="shared" si="32"/>
        <v>2.1068929764290704E-3</v>
      </c>
      <c r="D186">
        <f t="shared" si="33"/>
        <v>1</v>
      </c>
      <c r="E186" s="2">
        <f t="shared" si="34"/>
        <v>2.1068929764290704E-3</v>
      </c>
      <c r="F186" s="2">
        <f t="shared" si="35"/>
        <v>2.1068929764290704E-3</v>
      </c>
      <c r="G186" s="2">
        <f t="shared" si="24"/>
        <v>0.32240275535755841</v>
      </c>
      <c r="H186">
        <f t="shared" si="25"/>
        <v>91</v>
      </c>
      <c r="I186" s="2">
        <f t="shared" si="26"/>
        <v>0.32286299389276935</v>
      </c>
      <c r="J186" s="2">
        <f t="shared" si="27"/>
        <v>0</v>
      </c>
      <c r="K186" s="2">
        <f t="shared" si="20"/>
        <v>0.72973109277093584</v>
      </c>
      <c r="L186">
        <f t="shared" si="21"/>
        <v>86</v>
      </c>
      <c r="M186" s="2">
        <f t="shared" si="23"/>
        <v>0.27036227439669097</v>
      </c>
      <c r="N186" s="2">
        <f t="shared" si="22"/>
        <v>0</v>
      </c>
      <c r="O186" s="2">
        <f t="shared" si="28"/>
        <v>1.0174217135029313</v>
      </c>
      <c r="P186">
        <f t="shared" si="29"/>
        <v>1</v>
      </c>
      <c r="Q186">
        <f t="shared" si="30"/>
        <v>0</v>
      </c>
      <c r="R186">
        <f t="shared" si="31"/>
        <v>1</v>
      </c>
    </row>
    <row r="187" spans="1:18" x14ac:dyDescent="0.3">
      <c r="A187" s="1">
        <v>45576</v>
      </c>
      <c r="B187">
        <v>22901.64</v>
      </c>
      <c r="C187" s="2">
        <f t="shared" si="32"/>
        <v>1.064786911730623E-2</v>
      </c>
      <c r="D187">
        <f t="shared" si="33"/>
        <v>2</v>
      </c>
      <c r="E187" s="2">
        <f t="shared" si="34"/>
        <v>5.3239345586531149E-3</v>
      </c>
      <c r="F187" s="2">
        <f t="shared" si="35"/>
        <v>7.5291804580340524E-3</v>
      </c>
      <c r="G187" s="2">
        <f t="shared" si="24"/>
        <v>0.32240275535755841</v>
      </c>
      <c r="H187">
        <f t="shared" si="25"/>
        <v>92</v>
      </c>
      <c r="I187" s="2">
        <f t="shared" si="26"/>
        <v>0.32100556404712621</v>
      </c>
      <c r="J187" s="2">
        <f t="shared" si="27"/>
        <v>0</v>
      </c>
      <c r="K187" s="2">
        <f t="shared" ref="K187:K243" si="36">MEDIAN(E68:E187)*365</f>
        <v>0.79916412699003658</v>
      </c>
      <c r="L187">
        <f t="shared" ref="L187:L243" si="37">SUM(D68:D127)</f>
        <v>86</v>
      </c>
      <c r="M187" s="2">
        <f t="shared" si="23"/>
        <v>0.26592363311571565</v>
      </c>
      <c r="N187" s="2">
        <f t="shared" ref="N187:N243" si="38">SQRT(SUM(IF(F68:F187&lt;AVERAGE(F68:F187),(F68:F187-AVERAGE(F68:F187))^2,0))/COUNT(F68:F187))*SQRT(365)</f>
        <v>0</v>
      </c>
      <c r="O187" s="2">
        <f t="shared" si="28"/>
        <v>1.0255715311217888</v>
      </c>
      <c r="P187">
        <f t="shared" si="29"/>
        <v>1</v>
      </c>
      <c r="Q187">
        <f t="shared" si="30"/>
        <v>0</v>
      </c>
      <c r="R187">
        <f t="shared" si="31"/>
        <v>1</v>
      </c>
    </row>
    <row r="188" spans="1:18" x14ac:dyDescent="0.3">
      <c r="A188" s="1">
        <v>45579</v>
      </c>
      <c r="B188">
        <v>22975.29</v>
      </c>
      <c r="C188" s="2">
        <f t="shared" si="32"/>
        <v>3.2107668613233506E-3</v>
      </c>
      <c r="D188">
        <f t="shared" si="33"/>
        <v>3</v>
      </c>
      <c r="E188" s="2">
        <f t="shared" si="34"/>
        <v>1.0702556204411169E-3</v>
      </c>
      <c r="F188" s="2">
        <f t="shared" si="35"/>
        <v>1.8537371116901665E-3</v>
      </c>
      <c r="G188" s="2">
        <f t="shared" si="24"/>
        <v>0.35918761377255332</v>
      </c>
      <c r="H188">
        <f t="shared" si="25"/>
        <v>94</v>
      </c>
      <c r="I188" s="2">
        <f t="shared" si="26"/>
        <v>0.3172632845008922</v>
      </c>
      <c r="J188" s="2">
        <f t="shared" si="27"/>
        <v>0</v>
      </c>
      <c r="K188" s="2">
        <f t="shared" si="36"/>
        <v>0.72973109277093584</v>
      </c>
      <c r="L188">
        <f t="shared" si="37"/>
        <v>86</v>
      </c>
      <c r="M188" s="2">
        <f t="shared" ref="M188:M241" si="39">_xlfn.STDEV.S(F69:F188)*SQRT(365)</f>
        <v>0.26478191903167964</v>
      </c>
      <c r="N188" s="2">
        <f t="shared" si="38"/>
        <v>0</v>
      </c>
      <c r="O188" s="2">
        <f t="shared" si="28"/>
        <v>1.0246891334124617</v>
      </c>
      <c r="P188">
        <f t="shared" si="29"/>
        <v>1</v>
      </c>
      <c r="Q188">
        <f t="shared" si="30"/>
        <v>0</v>
      </c>
      <c r="R188">
        <f t="shared" si="31"/>
        <v>1</v>
      </c>
    </row>
    <row r="189" spans="1:18" x14ac:dyDescent="0.3">
      <c r="A189" s="1">
        <v>45580</v>
      </c>
      <c r="B189">
        <v>23292.04</v>
      </c>
      <c r="C189" s="2">
        <f t="shared" si="32"/>
        <v>1.3692380723478786E-2</v>
      </c>
      <c r="D189">
        <f t="shared" si="33"/>
        <v>1</v>
      </c>
      <c r="E189" s="2">
        <f t="shared" si="34"/>
        <v>1.3692380723478786E-2</v>
      </c>
      <c r="F189" s="2">
        <f t="shared" si="35"/>
        <v>1.3692380723478786E-2</v>
      </c>
      <c r="G189" s="2">
        <f t="shared" si="24"/>
        <v>0.39059785015010939</v>
      </c>
      <c r="H189">
        <f t="shared" si="25"/>
        <v>92</v>
      </c>
      <c r="I189" s="2">
        <f t="shared" si="26"/>
        <v>0.318954280749705</v>
      </c>
      <c r="J189" s="2">
        <f t="shared" si="27"/>
        <v>0</v>
      </c>
      <c r="K189" s="2">
        <f t="shared" si="36"/>
        <v>0.72973109277093584</v>
      </c>
      <c r="L189">
        <f t="shared" si="37"/>
        <v>88</v>
      </c>
      <c r="M189" s="2">
        <f t="shared" si="39"/>
        <v>0.26560090785485241</v>
      </c>
      <c r="N189" s="2">
        <f t="shared" si="38"/>
        <v>0</v>
      </c>
      <c r="O189" s="2">
        <f t="shared" si="28"/>
        <v>1.0104494926163616</v>
      </c>
      <c r="P189">
        <f t="shared" si="29"/>
        <v>0</v>
      </c>
      <c r="Q189">
        <f t="shared" si="30"/>
        <v>0</v>
      </c>
      <c r="R189">
        <f t="shared" si="31"/>
        <v>0</v>
      </c>
    </row>
    <row r="190" spans="1:18" x14ac:dyDescent="0.3">
      <c r="A190" s="1">
        <v>45581</v>
      </c>
      <c r="B190">
        <v>23010.98</v>
      </c>
      <c r="C190" s="2">
        <f t="shared" si="32"/>
        <v>-1.2140177982714781E-2</v>
      </c>
      <c r="D190">
        <f t="shared" si="33"/>
        <v>1</v>
      </c>
      <c r="E190" s="2">
        <f t="shared" si="34"/>
        <v>-1.2140177982714781E-2</v>
      </c>
      <c r="F190" s="2">
        <f t="shared" si="35"/>
        <v>-1.2140177982714781E-2</v>
      </c>
      <c r="G190" s="2">
        <f t="shared" si="24"/>
        <v>0.35918761377255332</v>
      </c>
      <c r="H190">
        <f t="shared" si="25"/>
        <v>92</v>
      </c>
      <c r="I190" s="2">
        <f t="shared" si="26"/>
        <v>0.32028340917789383</v>
      </c>
      <c r="J190" s="2">
        <f t="shared" si="27"/>
        <v>3.0618947341001554E-2</v>
      </c>
      <c r="K190" s="2">
        <f t="shared" si="36"/>
        <v>0.72973109277093584</v>
      </c>
      <c r="L190">
        <f t="shared" si="37"/>
        <v>88</v>
      </c>
      <c r="M190" s="2">
        <f t="shared" si="39"/>
        <v>0.25709643710694424</v>
      </c>
      <c r="N190" s="2">
        <f t="shared" si="38"/>
        <v>2.4150681011145383E-2</v>
      </c>
      <c r="O190" s="2">
        <f t="shared" si="28"/>
        <v>1.0140706740868923</v>
      </c>
      <c r="P190">
        <f t="shared" si="29"/>
        <v>0</v>
      </c>
      <c r="Q190">
        <f t="shared" si="30"/>
        <v>0</v>
      </c>
      <c r="R190">
        <f t="shared" si="31"/>
        <v>0</v>
      </c>
    </row>
    <row r="191" spans="1:18" x14ac:dyDescent="0.3">
      <c r="A191" s="1">
        <v>45582</v>
      </c>
      <c r="B191">
        <v>23053.84</v>
      </c>
      <c r="C191" s="2">
        <f t="shared" si="32"/>
        <v>1.8608566089229953E-3</v>
      </c>
      <c r="D191">
        <f t="shared" si="33"/>
        <v>1</v>
      </c>
      <c r="E191" s="2">
        <f t="shared" si="34"/>
        <v>1.8608566089229953E-3</v>
      </c>
      <c r="F191" s="2">
        <f t="shared" si="35"/>
        <v>1.8608566089229953E-3</v>
      </c>
      <c r="G191" s="2">
        <f t="shared" ref="G191:G243" si="40">MEDIAN(E132:E191)*365</f>
        <v>0.39059785015010939</v>
      </c>
      <c r="H191">
        <f t="shared" ref="H191:H243" si="41">SUM(D132:D191)</f>
        <v>92</v>
      </c>
      <c r="I191" s="2">
        <f t="shared" ref="I191:I243" si="42">_xlfn.STDEV.S(F132:F191)*SQRT(365)</f>
        <v>0.31935865151553577</v>
      </c>
      <c r="J191" s="2">
        <f t="shared" ref="J191:J243" si="43">SQRT(SUM(IF(F132:F191&lt;AVERAGE(F132:F191),(F132:F191-AVERAGE(F132:F191))^2,0))/COUNT(F132:F191))*SQRT(365)</f>
        <v>0</v>
      </c>
      <c r="K191" s="2">
        <f t="shared" si="36"/>
        <v>0.72973109277093584</v>
      </c>
      <c r="L191">
        <f t="shared" si="37"/>
        <v>86</v>
      </c>
      <c r="M191" s="2">
        <f t="shared" si="39"/>
        <v>0.25693726875292405</v>
      </c>
      <c r="N191" s="2">
        <f t="shared" si="38"/>
        <v>0</v>
      </c>
      <c r="O191" s="2">
        <f t="shared" si="28"/>
        <v>1.0060154837545503</v>
      </c>
      <c r="P191">
        <f t="shared" si="29"/>
        <v>0</v>
      </c>
      <c r="Q191">
        <f t="shared" si="30"/>
        <v>0</v>
      </c>
      <c r="R191">
        <f t="shared" si="31"/>
        <v>0</v>
      </c>
    </row>
    <row r="192" spans="1:18" x14ac:dyDescent="0.3">
      <c r="A192" s="1">
        <v>45583</v>
      </c>
      <c r="B192">
        <v>23487.27</v>
      </c>
      <c r="C192" s="2">
        <f t="shared" si="32"/>
        <v>1.8626222321403815E-2</v>
      </c>
      <c r="D192">
        <f t="shared" si="33"/>
        <v>1</v>
      </c>
      <c r="E192" s="2">
        <f t="shared" si="34"/>
        <v>1.8626222321403815E-2</v>
      </c>
      <c r="F192" s="2">
        <f t="shared" si="35"/>
        <v>1.8626222321403815E-2</v>
      </c>
      <c r="G192" s="2">
        <f t="shared" si="40"/>
        <v>0.42022269296527964</v>
      </c>
      <c r="H192">
        <f t="shared" si="41"/>
        <v>92</v>
      </c>
      <c r="I192" s="2">
        <f t="shared" si="42"/>
        <v>0.319817667752889</v>
      </c>
      <c r="J192" s="2">
        <f t="shared" si="43"/>
        <v>0</v>
      </c>
      <c r="K192" s="2">
        <f t="shared" si="36"/>
        <v>0.72973109277093584</v>
      </c>
      <c r="L192">
        <f t="shared" si="37"/>
        <v>86</v>
      </c>
      <c r="M192" s="2">
        <f t="shared" si="39"/>
        <v>0.2582579355819441</v>
      </c>
      <c r="N192" s="2">
        <f t="shared" si="38"/>
        <v>0</v>
      </c>
      <c r="O192" s="2">
        <f t="shared" si="28"/>
        <v>0.99408956426183204</v>
      </c>
      <c r="P192">
        <f t="shared" si="29"/>
        <v>0</v>
      </c>
      <c r="Q192">
        <f t="shared" si="30"/>
        <v>0</v>
      </c>
      <c r="R192">
        <f t="shared" si="31"/>
        <v>0</v>
      </c>
    </row>
    <row r="193" spans="1:18" x14ac:dyDescent="0.3">
      <c r="A193" s="1">
        <v>45586</v>
      </c>
      <c r="B193">
        <v>23542.53</v>
      </c>
      <c r="C193" s="2">
        <f t="shared" si="32"/>
        <v>2.350000443596081E-3</v>
      </c>
      <c r="D193">
        <f t="shared" si="33"/>
        <v>3</v>
      </c>
      <c r="E193" s="2">
        <f t="shared" si="34"/>
        <v>7.8333348119869362E-4</v>
      </c>
      <c r="F193" s="2">
        <f t="shared" si="35"/>
        <v>1.3567733887059374E-3</v>
      </c>
      <c r="G193" s="2">
        <f t="shared" si="40"/>
        <v>0.42022269296527964</v>
      </c>
      <c r="H193">
        <f t="shared" si="41"/>
        <v>94</v>
      </c>
      <c r="I193" s="2">
        <f t="shared" si="42"/>
        <v>0.3141427003176232</v>
      </c>
      <c r="J193" s="2">
        <f t="shared" si="43"/>
        <v>2.0658827806939206E-4</v>
      </c>
      <c r="K193" s="2">
        <f t="shared" si="36"/>
        <v>0.68482945570107712</v>
      </c>
      <c r="L193">
        <f t="shared" si="37"/>
        <v>86</v>
      </c>
      <c r="M193" s="2">
        <f t="shared" si="39"/>
        <v>0.25449474374264952</v>
      </c>
      <c r="N193" s="2">
        <f t="shared" si="38"/>
        <v>4.4921540363771764E-4</v>
      </c>
      <c r="O193" s="2">
        <f t="shared" si="28"/>
        <v>0.98536860736717768</v>
      </c>
      <c r="P193">
        <f t="shared" si="29"/>
        <v>0</v>
      </c>
      <c r="Q193">
        <f t="shared" si="30"/>
        <v>0</v>
      </c>
      <c r="R193">
        <f t="shared" si="31"/>
        <v>0</v>
      </c>
    </row>
    <row r="194" spans="1:18" x14ac:dyDescent="0.3">
      <c r="A194" s="1">
        <v>45587</v>
      </c>
      <c r="B194">
        <v>23535.43</v>
      </c>
      <c r="C194" s="2">
        <f t="shared" si="32"/>
        <v>-3.0162734552766486E-4</v>
      </c>
      <c r="D194">
        <f t="shared" si="33"/>
        <v>1</v>
      </c>
      <c r="E194" s="2">
        <f t="shared" si="34"/>
        <v>-3.0162734552766486E-4</v>
      </c>
      <c r="F194" s="2">
        <f t="shared" si="35"/>
        <v>-3.0162734552766486E-4</v>
      </c>
      <c r="G194" s="2">
        <f t="shared" si="40"/>
        <v>0.42022269296527964</v>
      </c>
      <c r="H194">
        <f t="shared" si="41"/>
        <v>92</v>
      </c>
      <c r="I194" s="2">
        <f t="shared" si="42"/>
        <v>0.31123835409602224</v>
      </c>
      <c r="J194" s="2">
        <f t="shared" si="43"/>
        <v>4.9286018811777101E-3</v>
      </c>
      <c r="K194" s="2">
        <f t="shared" si="36"/>
        <v>0.68482945570107712</v>
      </c>
      <c r="L194">
        <f t="shared" si="37"/>
        <v>88</v>
      </c>
      <c r="M194" s="2">
        <f t="shared" si="39"/>
        <v>0.25308694956533473</v>
      </c>
      <c r="N194" s="2">
        <f t="shared" si="38"/>
        <v>3.5365453115682945E-3</v>
      </c>
      <c r="O194" s="2">
        <f t="shared" si="28"/>
        <v>0.97413091666479001</v>
      </c>
      <c r="P194">
        <f t="shared" si="29"/>
        <v>0</v>
      </c>
      <c r="Q194">
        <f t="shared" si="30"/>
        <v>1</v>
      </c>
      <c r="R194">
        <f t="shared" si="31"/>
        <v>1</v>
      </c>
    </row>
    <row r="195" spans="1:18" x14ac:dyDescent="0.3">
      <c r="A195" s="1">
        <v>45588</v>
      </c>
      <c r="B195">
        <v>23334.76</v>
      </c>
      <c r="C195" s="2">
        <f t="shared" si="32"/>
        <v>-8.5628509776734269E-3</v>
      </c>
      <c r="D195">
        <f t="shared" si="33"/>
        <v>1</v>
      </c>
      <c r="E195" s="2">
        <f t="shared" si="34"/>
        <v>-8.5628509776734269E-3</v>
      </c>
      <c r="F195" s="2">
        <f t="shared" si="35"/>
        <v>-8.5628509776734269E-3</v>
      </c>
      <c r="G195" s="2">
        <f t="shared" si="40"/>
        <v>0.39059785015010939</v>
      </c>
      <c r="H195">
        <f t="shared" si="41"/>
        <v>92</v>
      </c>
      <c r="I195" s="2">
        <f t="shared" si="42"/>
        <v>0.3055299335723502</v>
      </c>
      <c r="J195" s="2">
        <f t="shared" si="43"/>
        <v>2.3832240364232246E-2</v>
      </c>
      <c r="K195" s="2">
        <f t="shared" si="36"/>
        <v>0.60367036140234909</v>
      </c>
      <c r="L195">
        <f t="shared" si="37"/>
        <v>88</v>
      </c>
      <c r="M195" s="2">
        <f t="shared" si="39"/>
        <v>0.2529120903494419</v>
      </c>
      <c r="N195" s="2">
        <f t="shared" si="38"/>
        <v>1.7628688217364148E-2</v>
      </c>
      <c r="O195" s="2">
        <f t="shared" ref="O195:O243" si="44">B200/B195</f>
        <v>0.97795863338641587</v>
      </c>
      <c r="P195">
        <f t="shared" ref="P195:P243" si="45">IF(O195&gt;=1.015,1,0)</f>
        <v>0</v>
      </c>
      <c r="Q195">
        <f t="shared" ref="Q195:Q243" si="46">IF(O195&lt;=0.985,1,0)</f>
        <v>1</v>
      </c>
      <c r="R195">
        <f t="shared" ref="R195:R243" si="47">MAX(P195,Q195)</f>
        <v>1</v>
      </c>
    </row>
    <row r="196" spans="1:18" x14ac:dyDescent="0.3">
      <c r="A196" s="1">
        <v>45589</v>
      </c>
      <c r="B196">
        <v>23192.52</v>
      </c>
      <c r="C196" s="2">
        <f t="shared" ref="C196:C243" si="48">LN(B196/B195)</f>
        <v>-6.1142814765843233E-3</v>
      </c>
      <c r="D196">
        <f t="shared" ref="D196:D243" si="49">DATEDIF(A195,A196,"d")</f>
        <v>1</v>
      </c>
      <c r="E196" s="2">
        <f t="shared" ref="E196:E243" si="50">C196/D196</f>
        <v>-6.1142814765843233E-3</v>
      </c>
      <c r="F196" s="2">
        <f t="shared" ref="F196:F243" si="51">C196/SQRT(D196)</f>
        <v>-6.1142814765843233E-3</v>
      </c>
      <c r="G196" s="2">
        <f t="shared" si="40"/>
        <v>0.39059785015010939</v>
      </c>
      <c r="H196">
        <f t="shared" si="41"/>
        <v>90</v>
      </c>
      <c r="I196" s="2">
        <f t="shared" si="42"/>
        <v>0.30178378723803961</v>
      </c>
      <c r="J196" s="2">
        <f t="shared" si="43"/>
        <v>1.8335762776592147E-2</v>
      </c>
      <c r="K196" s="2">
        <f t="shared" si="36"/>
        <v>0.516354801996737</v>
      </c>
      <c r="L196">
        <f t="shared" si="37"/>
        <v>88</v>
      </c>
      <c r="M196" s="2">
        <f t="shared" si="39"/>
        <v>0.25274958228226102</v>
      </c>
      <c r="N196" s="2">
        <f t="shared" si="38"/>
        <v>1.3114474888275468E-2</v>
      </c>
      <c r="O196" s="2">
        <f t="shared" si="44"/>
        <v>0.98221668020551456</v>
      </c>
      <c r="P196">
        <f t="shared" si="45"/>
        <v>0</v>
      </c>
      <c r="Q196">
        <f t="shared" si="46"/>
        <v>1</v>
      </c>
      <c r="R196">
        <f t="shared" si="47"/>
        <v>1</v>
      </c>
    </row>
    <row r="197" spans="1:18" x14ac:dyDescent="0.3">
      <c r="A197" s="1">
        <v>45590</v>
      </c>
      <c r="B197">
        <v>23348.45</v>
      </c>
      <c r="C197" s="2">
        <f t="shared" si="48"/>
        <v>6.7007878626034623E-3</v>
      </c>
      <c r="D197">
        <f t="shared" si="49"/>
        <v>1</v>
      </c>
      <c r="E197" s="2">
        <f t="shared" si="50"/>
        <v>6.7007878626034623E-3</v>
      </c>
      <c r="F197" s="2">
        <f t="shared" si="51"/>
        <v>6.7007878626034623E-3</v>
      </c>
      <c r="G197" s="2">
        <f t="shared" si="40"/>
        <v>0.42022269296527964</v>
      </c>
      <c r="H197">
        <f t="shared" si="41"/>
        <v>88</v>
      </c>
      <c r="I197" s="2">
        <f t="shared" si="42"/>
        <v>0.30207502418055682</v>
      </c>
      <c r="J197" s="2">
        <f t="shared" si="43"/>
        <v>0</v>
      </c>
      <c r="K197" s="2">
        <f t="shared" si="36"/>
        <v>0.60367036140234909</v>
      </c>
      <c r="L197">
        <f t="shared" si="37"/>
        <v>90</v>
      </c>
      <c r="M197" s="2">
        <f t="shared" si="39"/>
        <v>0.25267646758654044</v>
      </c>
      <c r="N197" s="2">
        <f t="shared" si="38"/>
        <v>0</v>
      </c>
      <c r="O197" s="2">
        <f t="shared" si="44"/>
        <v>0.9835937717493024</v>
      </c>
      <c r="P197">
        <f t="shared" si="45"/>
        <v>0</v>
      </c>
      <c r="Q197">
        <f t="shared" si="46"/>
        <v>1</v>
      </c>
      <c r="R197">
        <f t="shared" si="47"/>
        <v>1</v>
      </c>
    </row>
    <row r="198" spans="1:18" x14ac:dyDescent="0.3">
      <c r="A198" s="1">
        <v>45593</v>
      </c>
      <c r="B198">
        <v>23198.07</v>
      </c>
      <c r="C198" s="2">
        <f t="shared" si="48"/>
        <v>-6.4615151986224294E-3</v>
      </c>
      <c r="D198">
        <f t="shared" si="49"/>
        <v>3</v>
      </c>
      <c r="E198" s="2">
        <f t="shared" si="50"/>
        <v>-2.1538383995408097E-3</v>
      </c>
      <c r="F198" s="2">
        <f t="shared" si="51"/>
        <v>-3.7305575392975179E-3</v>
      </c>
      <c r="G198" s="2">
        <f t="shared" si="40"/>
        <v>0.39059785015010939</v>
      </c>
      <c r="H198">
        <f t="shared" si="41"/>
        <v>90</v>
      </c>
      <c r="I198" s="2">
        <f t="shared" si="42"/>
        <v>0.30232272868996307</v>
      </c>
      <c r="J198" s="2">
        <f t="shared" si="43"/>
        <v>1.2420584091628382E-2</v>
      </c>
      <c r="K198" s="2">
        <f t="shared" si="36"/>
        <v>0.60367036140234909</v>
      </c>
      <c r="L198">
        <f t="shared" si="37"/>
        <v>89</v>
      </c>
      <c r="M198" s="2">
        <f t="shared" si="39"/>
        <v>0.25249490787139584</v>
      </c>
      <c r="N198" s="2">
        <f t="shared" si="38"/>
        <v>9.158782032545932E-3</v>
      </c>
      <c r="O198" s="2">
        <f t="shared" si="44"/>
        <v>0.99606518990588444</v>
      </c>
      <c r="P198">
        <f t="shared" si="45"/>
        <v>0</v>
      </c>
      <c r="Q198">
        <f t="shared" si="46"/>
        <v>0</v>
      </c>
      <c r="R198">
        <f t="shared" si="47"/>
        <v>0</v>
      </c>
    </row>
    <row r="199" spans="1:18" x14ac:dyDescent="0.3">
      <c r="A199" s="1">
        <v>45594</v>
      </c>
      <c r="B199">
        <v>22926.59</v>
      </c>
      <c r="C199" s="2">
        <f t="shared" si="48"/>
        <v>-1.1771713221568749E-2</v>
      </c>
      <c r="D199">
        <f t="shared" si="49"/>
        <v>1</v>
      </c>
      <c r="E199" s="2">
        <f t="shared" si="50"/>
        <v>-1.1771713221568749E-2</v>
      </c>
      <c r="F199" s="2">
        <f t="shared" si="51"/>
        <v>-1.1771713221568749E-2</v>
      </c>
      <c r="G199" s="2">
        <f t="shared" si="40"/>
        <v>0.39059785015010939</v>
      </c>
      <c r="H199">
        <f t="shared" si="41"/>
        <v>90</v>
      </c>
      <c r="I199" s="2">
        <f t="shared" si="42"/>
        <v>0.30398962278507169</v>
      </c>
      <c r="J199" s="2">
        <f t="shared" si="43"/>
        <v>3.1814544222285475E-2</v>
      </c>
      <c r="K199" s="2">
        <f t="shared" si="36"/>
        <v>0.516354801996737</v>
      </c>
      <c r="L199">
        <f t="shared" si="37"/>
        <v>89</v>
      </c>
      <c r="M199" s="2">
        <f t="shared" si="39"/>
        <v>0.2534637882261665</v>
      </c>
      <c r="N199" s="2">
        <f t="shared" si="38"/>
        <v>2.2934446768671447E-2</v>
      </c>
      <c r="O199" s="2">
        <f t="shared" si="44"/>
        <v>1.0126835259844573</v>
      </c>
      <c r="P199">
        <f t="shared" si="45"/>
        <v>0</v>
      </c>
      <c r="Q199">
        <f t="shared" si="46"/>
        <v>0</v>
      </c>
      <c r="R199">
        <f t="shared" si="47"/>
        <v>0</v>
      </c>
    </row>
    <row r="200" spans="1:18" x14ac:dyDescent="0.3">
      <c r="A200" s="1">
        <v>45595</v>
      </c>
      <c r="B200">
        <v>22820.43</v>
      </c>
      <c r="C200" s="2">
        <f t="shared" si="48"/>
        <v>-4.6411849586014148E-3</v>
      </c>
      <c r="D200">
        <f t="shared" si="49"/>
        <v>1</v>
      </c>
      <c r="E200" s="2">
        <f t="shared" si="50"/>
        <v>-4.6411849586014148E-3</v>
      </c>
      <c r="F200" s="2">
        <f t="shared" si="51"/>
        <v>-4.6411849586014148E-3</v>
      </c>
      <c r="G200" s="2">
        <f t="shared" si="40"/>
        <v>0.35918761377255332</v>
      </c>
      <c r="H200">
        <f t="shared" si="41"/>
        <v>90</v>
      </c>
      <c r="I200" s="2">
        <f t="shared" si="42"/>
        <v>0.30068118463799431</v>
      </c>
      <c r="J200" s="2">
        <f t="shared" si="43"/>
        <v>1.3224939113395322E-2</v>
      </c>
      <c r="K200" s="2">
        <f t="shared" si="36"/>
        <v>0.4771918139576104</v>
      </c>
      <c r="L200">
        <f t="shared" si="37"/>
        <v>87</v>
      </c>
      <c r="M200" s="2">
        <f t="shared" si="39"/>
        <v>0.25357733894543022</v>
      </c>
      <c r="N200" s="2">
        <f t="shared" si="38"/>
        <v>1.0351807271567445E-2</v>
      </c>
      <c r="O200" s="2">
        <f t="shared" si="44"/>
        <v>1.0257834755962092</v>
      </c>
      <c r="P200">
        <f t="shared" si="45"/>
        <v>1</v>
      </c>
      <c r="Q200">
        <f t="shared" si="46"/>
        <v>0</v>
      </c>
      <c r="R200">
        <f t="shared" si="47"/>
        <v>1</v>
      </c>
    </row>
    <row r="201" spans="1:18" x14ac:dyDescent="0.3">
      <c r="A201" s="1">
        <v>45597</v>
      </c>
      <c r="B201">
        <v>22780.080000000002</v>
      </c>
      <c r="C201" s="2">
        <f t="shared" si="48"/>
        <v>-1.769717511098562E-3</v>
      </c>
      <c r="D201">
        <f t="shared" si="49"/>
        <v>2</v>
      </c>
      <c r="E201" s="2">
        <f t="shared" si="50"/>
        <v>-8.8485875554928099E-4</v>
      </c>
      <c r="F201" s="2">
        <f t="shared" si="51"/>
        <v>-1.2513792528823723E-3</v>
      </c>
      <c r="G201" s="2">
        <f t="shared" si="40"/>
        <v>0.35918761377255332</v>
      </c>
      <c r="H201">
        <f t="shared" si="41"/>
        <v>91</v>
      </c>
      <c r="I201" s="2">
        <f t="shared" si="42"/>
        <v>0.27766623624207121</v>
      </c>
      <c r="J201" s="2">
        <f t="shared" si="43"/>
        <v>6.6771987783120577E-3</v>
      </c>
      <c r="K201" s="2">
        <f t="shared" si="36"/>
        <v>0.42022269296527964</v>
      </c>
      <c r="L201">
        <f t="shared" si="37"/>
        <v>87</v>
      </c>
      <c r="M201" s="2">
        <f t="shared" si="39"/>
        <v>0.25346056140889844</v>
      </c>
      <c r="N201" s="2">
        <f t="shared" si="38"/>
        <v>4.3297476571885233E-3</v>
      </c>
      <c r="O201" s="2">
        <f t="shared" si="44"/>
        <v>1.0339687130159332</v>
      </c>
      <c r="P201">
        <f t="shared" si="45"/>
        <v>1</v>
      </c>
      <c r="Q201">
        <f t="shared" si="46"/>
        <v>0</v>
      </c>
      <c r="R201">
        <f t="shared" si="47"/>
        <v>1</v>
      </c>
    </row>
    <row r="202" spans="1:18" x14ac:dyDescent="0.3">
      <c r="A202" s="1">
        <v>45600</v>
      </c>
      <c r="B202">
        <v>22965.39</v>
      </c>
      <c r="C202" s="2">
        <f t="shared" si="48"/>
        <v>8.1018301326539182E-3</v>
      </c>
      <c r="D202">
        <f t="shared" si="49"/>
        <v>3</v>
      </c>
      <c r="E202" s="2">
        <f t="shared" si="50"/>
        <v>2.7006100442179726E-3</v>
      </c>
      <c r="F202" s="2">
        <f t="shared" si="51"/>
        <v>4.6775938080163611E-3</v>
      </c>
      <c r="G202" s="2">
        <f t="shared" si="40"/>
        <v>0.39059785015010939</v>
      </c>
      <c r="H202">
        <f t="shared" si="41"/>
        <v>91</v>
      </c>
      <c r="I202" s="2">
        <f t="shared" si="42"/>
        <v>0.24544813977622637</v>
      </c>
      <c r="J202" s="2">
        <f t="shared" si="43"/>
        <v>0</v>
      </c>
      <c r="K202" s="2">
        <f t="shared" si="36"/>
        <v>0.42022269296527964</v>
      </c>
      <c r="L202">
        <f t="shared" si="37"/>
        <v>89</v>
      </c>
      <c r="M202" s="2">
        <f t="shared" si="39"/>
        <v>0.25352557303261941</v>
      </c>
      <c r="N202" s="2">
        <f t="shared" si="38"/>
        <v>0</v>
      </c>
      <c r="O202" s="2">
        <f t="shared" si="44"/>
        <v>1.0245695805732016</v>
      </c>
      <c r="P202">
        <f t="shared" si="45"/>
        <v>1</v>
      </c>
      <c r="Q202">
        <f t="shared" si="46"/>
        <v>0</v>
      </c>
      <c r="R202">
        <f t="shared" si="47"/>
        <v>1</v>
      </c>
    </row>
    <row r="203" spans="1:18" x14ac:dyDescent="0.3">
      <c r="A203" s="1">
        <v>45601</v>
      </c>
      <c r="B203">
        <v>23106.79</v>
      </c>
      <c r="C203" s="2">
        <f t="shared" si="48"/>
        <v>6.1382137319415178E-3</v>
      </c>
      <c r="D203">
        <f t="shared" si="49"/>
        <v>1</v>
      </c>
      <c r="E203" s="2">
        <f t="shared" si="50"/>
        <v>6.1382137319415178E-3</v>
      </c>
      <c r="F203" s="2">
        <f t="shared" si="51"/>
        <v>6.1382137319415178E-3</v>
      </c>
      <c r="G203" s="2">
        <f t="shared" si="40"/>
        <v>0.39059785015010939</v>
      </c>
      <c r="H203">
        <f t="shared" si="41"/>
        <v>91</v>
      </c>
      <c r="I203" s="2">
        <f t="shared" si="42"/>
        <v>0.2331623972018686</v>
      </c>
      <c r="J203" s="2">
        <f t="shared" si="43"/>
        <v>0</v>
      </c>
      <c r="K203" s="2">
        <f t="shared" si="36"/>
        <v>0.4771918139576104</v>
      </c>
      <c r="L203">
        <f t="shared" si="37"/>
        <v>89</v>
      </c>
      <c r="M203" s="2">
        <f t="shared" si="39"/>
        <v>0.25327196861139029</v>
      </c>
      <c r="N203" s="2">
        <f t="shared" si="38"/>
        <v>0</v>
      </c>
      <c r="O203" s="2">
        <f t="shared" si="44"/>
        <v>0.99458946915603597</v>
      </c>
      <c r="P203">
        <f t="shared" si="45"/>
        <v>0</v>
      </c>
      <c r="Q203">
        <f t="shared" si="46"/>
        <v>0</v>
      </c>
      <c r="R203">
        <f t="shared" si="47"/>
        <v>0</v>
      </c>
    </row>
    <row r="204" spans="1:18" x14ac:dyDescent="0.3">
      <c r="A204" s="1">
        <v>45602</v>
      </c>
      <c r="B204">
        <v>23217.38</v>
      </c>
      <c r="C204" s="2">
        <f t="shared" si="48"/>
        <v>4.7746224095735696E-3</v>
      </c>
      <c r="D204">
        <f t="shared" si="49"/>
        <v>1</v>
      </c>
      <c r="E204" s="2">
        <f t="shared" si="50"/>
        <v>4.7746224095735696E-3</v>
      </c>
      <c r="F204" s="2">
        <f t="shared" si="51"/>
        <v>4.7746224095735696E-3</v>
      </c>
      <c r="G204" s="2">
        <f t="shared" si="40"/>
        <v>0.39059785015010939</v>
      </c>
      <c r="H204">
        <f t="shared" si="41"/>
        <v>91</v>
      </c>
      <c r="I204" s="2">
        <f t="shared" si="42"/>
        <v>0.21504343082424729</v>
      </c>
      <c r="J204" s="2">
        <f t="shared" si="43"/>
        <v>0</v>
      </c>
      <c r="K204" s="2">
        <f t="shared" si="36"/>
        <v>0.4771918139576104</v>
      </c>
      <c r="L204">
        <f t="shared" si="37"/>
        <v>89</v>
      </c>
      <c r="M204" s="2">
        <f t="shared" si="39"/>
        <v>0.25313740410654617</v>
      </c>
      <c r="N204" s="2">
        <f t="shared" si="38"/>
        <v>0</v>
      </c>
      <c r="O204" s="2">
        <f t="shared" si="44"/>
        <v>0.98461712734167239</v>
      </c>
      <c r="P204">
        <f t="shared" si="45"/>
        <v>0</v>
      </c>
      <c r="Q204">
        <f t="shared" si="46"/>
        <v>1</v>
      </c>
      <c r="R204">
        <f t="shared" si="47"/>
        <v>1</v>
      </c>
    </row>
    <row r="205" spans="1:18" x14ac:dyDescent="0.3">
      <c r="A205" s="1">
        <v>45603</v>
      </c>
      <c r="B205">
        <v>23408.82</v>
      </c>
      <c r="C205" s="2">
        <f t="shared" si="48"/>
        <v>8.2117382833799251E-3</v>
      </c>
      <c r="D205">
        <f t="shared" si="49"/>
        <v>1</v>
      </c>
      <c r="E205" s="2">
        <f t="shared" si="50"/>
        <v>8.2117382833799251E-3</v>
      </c>
      <c r="F205" s="2">
        <f t="shared" si="51"/>
        <v>8.2117382833799251E-3</v>
      </c>
      <c r="G205" s="2">
        <f t="shared" si="40"/>
        <v>0.42022269296527964</v>
      </c>
      <c r="H205">
        <f t="shared" si="41"/>
        <v>91</v>
      </c>
      <c r="I205" s="2">
        <f t="shared" si="42"/>
        <v>0.20876138522755514</v>
      </c>
      <c r="J205" s="2">
        <f t="shared" si="43"/>
        <v>0</v>
      </c>
      <c r="K205" s="2">
        <f t="shared" si="36"/>
        <v>0.4771918139576104</v>
      </c>
      <c r="L205">
        <f t="shared" si="37"/>
        <v>87</v>
      </c>
      <c r="M205" s="2">
        <f t="shared" si="39"/>
        <v>0.25337524604856054</v>
      </c>
      <c r="N205" s="2">
        <f t="shared" si="38"/>
        <v>0</v>
      </c>
      <c r="O205" s="2">
        <f t="shared" si="44"/>
        <v>0.97037697756657537</v>
      </c>
      <c r="P205">
        <f t="shared" si="45"/>
        <v>0</v>
      </c>
      <c r="Q205">
        <f t="shared" si="46"/>
        <v>1</v>
      </c>
      <c r="R205">
        <f t="shared" si="47"/>
        <v>1</v>
      </c>
    </row>
    <row r="206" spans="1:18" x14ac:dyDescent="0.3">
      <c r="A206" s="1">
        <v>45604</v>
      </c>
      <c r="B206">
        <v>23553.89</v>
      </c>
      <c r="C206" s="2">
        <f t="shared" si="48"/>
        <v>6.1781128658060539E-3</v>
      </c>
      <c r="D206">
        <f t="shared" si="49"/>
        <v>1</v>
      </c>
      <c r="E206" s="2">
        <f t="shared" si="50"/>
        <v>6.1781128658060539E-3</v>
      </c>
      <c r="F206" s="2">
        <f t="shared" si="51"/>
        <v>6.1781128658060539E-3</v>
      </c>
      <c r="G206" s="2">
        <f t="shared" si="40"/>
        <v>0.42022269296527964</v>
      </c>
      <c r="H206">
        <f t="shared" si="41"/>
        <v>91</v>
      </c>
      <c r="I206" s="2">
        <f t="shared" si="42"/>
        <v>0.19828911451454784</v>
      </c>
      <c r="J206" s="2">
        <f t="shared" si="43"/>
        <v>0</v>
      </c>
      <c r="K206" s="2">
        <f t="shared" si="36"/>
        <v>0.4771918139576104</v>
      </c>
      <c r="L206">
        <f t="shared" si="37"/>
        <v>87</v>
      </c>
      <c r="M206" s="2">
        <f t="shared" si="39"/>
        <v>0.25337833353102646</v>
      </c>
      <c r="N206" s="2">
        <f t="shared" si="38"/>
        <v>0</v>
      </c>
      <c r="O206" s="2">
        <f t="shared" si="44"/>
        <v>0.96556322543749673</v>
      </c>
      <c r="P206">
        <f t="shared" si="45"/>
        <v>0</v>
      </c>
      <c r="Q206">
        <f t="shared" si="46"/>
        <v>1</v>
      </c>
      <c r="R206">
        <f t="shared" si="47"/>
        <v>1</v>
      </c>
    </row>
    <row r="207" spans="1:18" x14ac:dyDescent="0.3">
      <c r="A207" s="1">
        <v>45607</v>
      </c>
      <c r="B207">
        <v>23529.64</v>
      </c>
      <c r="C207" s="2">
        <f t="shared" si="48"/>
        <v>-1.0300842840055807E-3</v>
      </c>
      <c r="D207">
        <f t="shared" si="49"/>
        <v>3</v>
      </c>
      <c r="E207" s="2">
        <f t="shared" si="50"/>
        <v>-3.4336142800186023E-4</v>
      </c>
      <c r="F207" s="2">
        <f t="shared" si="51"/>
        <v>-5.94719438658625E-4</v>
      </c>
      <c r="G207" s="2">
        <f t="shared" si="40"/>
        <v>0.39059785015010939</v>
      </c>
      <c r="H207">
        <f t="shared" si="41"/>
        <v>91</v>
      </c>
      <c r="I207" s="2">
        <f t="shared" si="42"/>
        <v>0.19764447202583138</v>
      </c>
      <c r="J207" s="2">
        <f t="shared" si="43"/>
        <v>4.7387804928503263E-3</v>
      </c>
      <c r="K207" s="2">
        <f t="shared" si="36"/>
        <v>0.42022269296527964</v>
      </c>
      <c r="L207">
        <f t="shared" si="37"/>
        <v>89</v>
      </c>
      <c r="M207" s="2">
        <f t="shared" si="39"/>
        <v>0.25315905635123603</v>
      </c>
      <c r="N207" s="2">
        <f t="shared" si="38"/>
        <v>3.3122775386251494E-3</v>
      </c>
      <c r="O207" s="2">
        <f t="shared" si="44"/>
        <v>0.95821865527904382</v>
      </c>
      <c r="P207">
        <f t="shared" si="45"/>
        <v>0</v>
      </c>
      <c r="Q207">
        <f t="shared" si="46"/>
        <v>1</v>
      </c>
      <c r="R207">
        <f t="shared" si="47"/>
        <v>1</v>
      </c>
    </row>
    <row r="208" spans="1:18" x14ac:dyDescent="0.3">
      <c r="A208" s="1">
        <v>45608</v>
      </c>
      <c r="B208">
        <v>22981.77</v>
      </c>
      <c r="C208" s="2">
        <f t="shared" si="48"/>
        <v>-2.3559610051574385E-2</v>
      </c>
      <c r="D208">
        <f t="shared" si="49"/>
        <v>1</v>
      </c>
      <c r="E208" s="2">
        <f t="shared" si="50"/>
        <v>-2.3559610051574385E-2</v>
      </c>
      <c r="F208" s="2">
        <f t="shared" si="51"/>
        <v>-2.3559610051574385E-2</v>
      </c>
      <c r="G208" s="2">
        <f t="shared" si="40"/>
        <v>0.3592330650834516</v>
      </c>
      <c r="H208">
        <f t="shared" si="41"/>
        <v>91</v>
      </c>
      <c r="I208" s="2">
        <f t="shared" si="42"/>
        <v>0.20695841589511116</v>
      </c>
      <c r="J208" s="2">
        <f t="shared" si="43"/>
        <v>6.0367879714654619E-2</v>
      </c>
      <c r="K208" s="2">
        <f t="shared" si="36"/>
        <v>0.39059785015010939</v>
      </c>
      <c r="L208">
        <f t="shared" si="37"/>
        <v>89</v>
      </c>
      <c r="M208" s="2">
        <f t="shared" si="39"/>
        <v>0.25660730912058577</v>
      </c>
      <c r="N208" s="2">
        <f t="shared" si="38"/>
        <v>4.291396457054366E-2</v>
      </c>
      <c r="O208" s="2">
        <f t="shared" si="44"/>
        <v>0.99421410970521418</v>
      </c>
      <c r="P208">
        <f t="shared" si="45"/>
        <v>0</v>
      </c>
      <c r="Q208">
        <f t="shared" si="46"/>
        <v>0</v>
      </c>
      <c r="R208">
        <f t="shared" si="47"/>
        <v>0</v>
      </c>
    </row>
    <row r="209" spans="1:18" x14ac:dyDescent="0.3">
      <c r="A209" s="1">
        <v>45609</v>
      </c>
      <c r="B209">
        <v>22860.23</v>
      </c>
      <c r="C209" s="2">
        <f t="shared" si="48"/>
        <v>-5.302573394751515E-3</v>
      </c>
      <c r="D209">
        <f t="shared" si="49"/>
        <v>1</v>
      </c>
      <c r="E209" s="2">
        <f t="shared" si="50"/>
        <v>-5.302573394751515E-3</v>
      </c>
      <c r="F209" s="2">
        <f t="shared" si="51"/>
        <v>-5.302573394751515E-3</v>
      </c>
      <c r="G209" s="2">
        <f t="shared" si="40"/>
        <v>0.32240275535755841</v>
      </c>
      <c r="H209">
        <f t="shared" si="41"/>
        <v>91</v>
      </c>
      <c r="I209" s="2">
        <f t="shared" si="42"/>
        <v>0.20609139996770523</v>
      </c>
      <c r="J209" s="2">
        <f t="shared" si="43"/>
        <v>1.4687227174321861E-2</v>
      </c>
      <c r="K209" s="2">
        <f t="shared" si="36"/>
        <v>0.39059785015010939</v>
      </c>
      <c r="L209">
        <f t="shared" si="37"/>
        <v>89</v>
      </c>
      <c r="M209" s="2">
        <f t="shared" si="39"/>
        <v>0.25678654028857556</v>
      </c>
      <c r="N209" s="2">
        <f t="shared" si="38"/>
        <v>1.1027214282360828E-2</v>
      </c>
      <c r="O209" s="2">
        <f t="shared" si="44"/>
        <v>0.99248170293999671</v>
      </c>
      <c r="P209">
        <f t="shared" si="45"/>
        <v>0</v>
      </c>
      <c r="Q209">
        <f t="shared" si="46"/>
        <v>0</v>
      </c>
      <c r="R209">
        <f t="shared" si="47"/>
        <v>0</v>
      </c>
    </row>
    <row r="210" spans="1:18" x14ac:dyDescent="0.3">
      <c r="A210" s="1">
        <v>45610</v>
      </c>
      <c r="B210">
        <v>22715.38</v>
      </c>
      <c r="C210" s="2">
        <f t="shared" si="48"/>
        <v>-6.3564914532791639E-3</v>
      </c>
      <c r="D210">
        <f t="shared" si="49"/>
        <v>1</v>
      </c>
      <c r="E210" s="2">
        <f t="shared" si="50"/>
        <v>-6.3564914532791639E-3</v>
      </c>
      <c r="F210" s="2">
        <f t="shared" si="51"/>
        <v>-6.3564914532791639E-3</v>
      </c>
      <c r="G210" s="2">
        <f t="shared" si="40"/>
        <v>0.32240275535755841</v>
      </c>
      <c r="H210">
        <f t="shared" si="41"/>
        <v>91</v>
      </c>
      <c r="I210" s="2">
        <f t="shared" si="42"/>
        <v>0.20616160250523557</v>
      </c>
      <c r="J210" s="2">
        <f t="shared" si="43"/>
        <v>1.7272586054553962E-2</v>
      </c>
      <c r="K210" s="2">
        <f t="shared" si="36"/>
        <v>0.39059785015010939</v>
      </c>
      <c r="L210">
        <f t="shared" si="37"/>
        <v>87</v>
      </c>
      <c r="M210" s="2">
        <f t="shared" si="39"/>
        <v>0.25710646361871764</v>
      </c>
      <c r="N210" s="2">
        <f t="shared" si="38"/>
        <v>1.2767711042234153E-2</v>
      </c>
      <c r="O210" s="2">
        <f t="shared" si="44"/>
        <v>0.99296864063026891</v>
      </c>
      <c r="P210">
        <f t="shared" si="45"/>
        <v>0</v>
      </c>
      <c r="Q210">
        <f t="shared" si="46"/>
        <v>0</v>
      </c>
      <c r="R210">
        <f t="shared" si="47"/>
        <v>0</v>
      </c>
    </row>
    <row r="211" spans="1:18" x14ac:dyDescent="0.3">
      <c r="A211" s="1">
        <v>45611</v>
      </c>
      <c r="B211">
        <v>22742.77</v>
      </c>
      <c r="C211" s="2">
        <f t="shared" si="48"/>
        <v>1.2050645842209317E-3</v>
      </c>
      <c r="D211">
        <f t="shared" si="49"/>
        <v>1</v>
      </c>
      <c r="E211" s="2">
        <f t="shared" si="50"/>
        <v>1.2050645842209317E-3</v>
      </c>
      <c r="F211" s="2">
        <f t="shared" si="51"/>
        <v>1.2050645842209317E-3</v>
      </c>
      <c r="G211" s="2">
        <f t="shared" si="40"/>
        <v>0.32240275535755841</v>
      </c>
      <c r="H211">
        <f t="shared" si="41"/>
        <v>91</v>
      </c>
      <c r="I211" s="2">
        <f t="shared" si="42"/>
        <v>0.20005034644226222</v>
      </c>
      <c r="J211" s="2">
        <f t="shared" si="43"/>
        <v>0</v>
      </c>
      <c r="K211" s="2">
        <f t="shared" si="36"/>
        <v>0.41524593735082388</v>
      </c>
      <c r="L211">
        <f t="shared" si="37"/>
        <v>87</v>
      </c>
      <c r="M211" s="2">
        <f t="shared" si="39"/>
        <v>0.25706591397681916</v>
      </c>
      <c r="N211" s="2">
        <f t="shared" si="38"/>
        <v>0</v>
      </c>
      <c r="O211" s="2">
        <f t="shared" si="44"/>
        <v>1.0071033563633629</v>
      </c>
      <c r="P211">
        <f t="shared" si="45"/>
        <v>0</v>
      </c>
      <c r="Q211">
        <f t="shared" si="46"/>
        <v>0</v>
      </c>
      <c r="R211">
        <f t="shared" si="47"/>
        <v>0</v>
      </c>
    </row>
    <row r="212" spans="1:18" x14ac:dyDescent="0.3">
      <c r="A212" s="1">
        <v>45614</v>
      </c>
      <c r="B212">
        <v>22546.54</v>
      </c>
      <c r="C212" s="2">
        <f t="shared" si="48"/>
        <v>-8.6656753203761434E-3</v>
      </c>
      <c r="D212">
        <f t="shared" si="49"/>
        <v>3</v>
      </c>
      <c r="E212" s="2">
        <f t="shared" si="50"/>
        <v>-2.8885584401253813E-3</v>
      </c>
      <c r="F212" s="2">
        <f t="shared" si="51"/>
        <v>-5.0031299789290631E-3</v>
      </c>
      <c r="G212" s="2">
        <f t="shared" si="40"/>
        <v>0.30144970132337223</v>
      </c>
      <c r="H212">
        <f t="shared" si="41"/>
        <v>91</v>
      </c>
      <c r="I212" s="2">
        <f t="shared" si="42"/>
        <v>0.20045428290643769</v>
      </c>
      <c r="J212" s="2">
        <f t="shared" si="43"/>
        <v>1.2870577390346602E-2</v>
      </c>
      <c r="K212" s="2">
        <f t="shared" si="36"/>
        <v>0.39059785015010939</v>
      </c>
      <c r="L212">
        <f t="shared" si="37"/>
        <v>89</v>
      </c>
      <c r="M212" s="2">
        <f t="shared" si="39"/>
        <v>0.25613279888548368</v>
      </c>
      <c r="N212" s="2">
        <f t="shared" si="38"/>
        <v>1.0162004055352261E-2</v>
      </c>
      <c r="O212" s="2">
        <f t="shared" si="44"/>
        <v>1.0178222467837637</v>
      </c>
      <c r="P212">
        <f t="shared" si="45"/>
        <v>1</v>
      </c>
      <c r="Q212">
        <f t="shared" si="46"/>
        <v>0</v>
      </c>
      <c r="R212">
        <f t="shared" si="47"/>
        <v>1</v>
      </c>
    </row>
    <row r="213" spans="1:18" x14ac:dyDescent="0.3">
      <c r="A213" s="1">
        <v>45615</v>
      </c>
      <c r="B213">
        <v>22848.799999999999</v>
      </c>
      <c r="C213" s="2">
        <f t="shared" si="48"/>
        <v>1.331698218083917E-2</v>
      </c>
      <c r="D213">
        <f t="shared" si="49"/>
        <v>1</v>
      </c>
      <c r="E213" s="2">
        <f t="shared" si="50"/>
        <v>1.331698218083917E-2</v>
      </c>
      <c r="F213" s="2">
        <f t="shared" si="51"/>
        <v>1.331698218083917E-2</v>
      </c>
      <c r="G213" s="2">
        <f t="shared" si="40"/>
        <v>0.33828001104926542</v>
      </c>
      <c r="H213">
        <f t="shared" si="41"/>
        <v>91</v>
      </c>
      <c r="I213" s="2">
        <f t="shared" si="42"/>
        <v>0.20304002908547933</v>
      </c>
      <c r="J213" s="2">
        <f t="shared" si="43"/>
        <v>0</v>
      </c>
      <c r="K213" s="2">
        <f t="shared" si="36"/>
        <v>0.39059785015010939</v>
      </c>
      <c r="L213">
        <f t="shared" si="37"/>
        <v>89</v>
      </c>
      <c r="M213" s="2">
        <f t="shared" si="39"/>
        <v>0.25704160277099358</v>
      </c>
      <c r="N213" s="2">
        <f t="shared" si="38"/>
        <v>0</v>
      </c>
      <c r="O213" s="2">
        <f t="shared" si="44"/>
        <v>0.99255803368229401</v>
      </c>
      <c r="P213">
        <f t="shared" si="45"/>
        <v>0</v>
      </c>
      <c r="Q213">
        <f t="shared" si="46"/>
        <v>0</v>
      </c>
      <c r="R213">
        <f t="shared" si="47"/>
        <v>0</v>
      </c>
    </row>
    <row r="214" spans="1:18" x14ac:dyDescent="0.3">
      <c r="A214" s="1">
        <v>45616</v>
      </c>
      <c r="B214">
        <v>22688.36</v>
      </c>
      <c r="C214" s="2">
        <f t="shared" si="48"/>
        <v>-7.0465819070693993E-3</v>
      </c>
      <c r="D214">
        <f t="shared" si="49"/>
        <v>1</v>
      </c>
      <c r="E214" s="2">
        <f t="shared" si="50"/>
        <v>-7.0465819070693993E-3</v>
      </c>
      <c r="F214" s="2">
        <f t="shared" si="51"/>
        <v>-7.0465819070693993E-3</v>
      </c>
      <c r="G214" s="2">
        <f t="shared" si="40"/>
        <v>0.33828001104926542</v>
      </c>
      <c r="H214">
        <f t="shared" si="41"/>
        <v>91</v>
      </c>
      <c r="I214" s="2">
        <f t="shared" si="42"/>
        <v>0.20265932561614719</v>
      </c>
      <c r="J214" s="2">
        <f t="shared" si="43"/>
        <v>1.848463803387073E-2</v>
      </c>
      <c r="K214" s="2">
        <f t="shared" si="36"/>
        <v>0.39059785015010939</v>
      </c>
      <c r="L214">
        <f t="shared" si="37"/>
        <v>89</v>
      </c>
      <c r="M214" s="2">
        <f t="shared" si="39"/>
        <v>0.25736920893394871</v>
      </c>
      <c r="N214" s="2">
        <f t="shared" si="38"/>
        <v>1.3807884823264288E-2</v>
      </c>
      <c r="O214" s="2">
        <f t="shared" si="44"/>
        <v>0.98441579735159346</v>
      </c>
      <c r="P214">
        <f t="shared" si="45"/>
        <v>0</v>
      </c>
      <c r="Q214">
        <f t="shared" si="46"/>
        <v>1</v>
      </c>
      <c r="R214">
        <f t="shared" si="47"/>
        <v>1</v>
      </c>
    </row>
    <row r="215" spans="1:18" x14ac:dyDescent="0.3">
      <c r="A215" s="1">
        <v>45617</v>
      </c>
      <c r="B215">
        <v>22555.66</v>
      </c>
      <c r="C215" s="2">
        <f t="shared" si="48"/>
        <v>-5.8659854060118168E-3</v>
      </c>
      <c r="D215">
        <f t="shared" si="49"/>
        <v>1</v>
      </c>
      <c r="E215" s="2">
        <f t="shared" si="50"/>
        <v>-5.8659854060118168E-3</v>
      </c>
      <c r="F215" s="2">
        <f t="shared" si="51"/>
        <v>-5.8659854060118168E-3</v>
      </c>
      <c r="G215" s="2">
        <f t="shared" si="40"/>
        <v>0.33828001104926542</v>
      </c>
      <c r="H215">
        <f t="shared" si="41"/>
        <v>91</v>
      </c>
      <c r="I215" s="2">
        <f t="shared" si="42"/>
        <v>0.20296297122322229</v>
      </c>
      <c r="J215" s="2">
        <f t="shared" si="43"/>
        <v>1.5496591179928507E-2</v>
      </c>
      <c r="K215" s="2">
        <f t="shared" si="36"/>
        <v>0.36280962546152595</v>
      </c>
      <c r="L215">
        <f t="shared" si="37"/>
        <v>87</v>
      </c>
      <c r="M215" s="2">
        <f t="shared" si="39"/>
        <v>0.25745341698204804</v>
      </c>
      <c r="N215" s="2">
        <f t="shared" si="38"/>
        <v>1.1571362907404504E-2</v>
      </c>
      <c r="O215" s="2">
        <f t="shared" si="44"/>
        <v>0.98861660443542776</v>
      </c>
      <c r="P215">
        <f t="shared" si="45"/>
        <v>0</v>
      </c>
      <c r="Q215">
        <f t="shared" si="46"/>
        <v>0</v>
      </c>
      <c r="R215">
        <f t="shared" si="47"/>
        <v>0</v>
      </c>
    </row>
    <row r="216" spans="1:18" x14ac:dyDescent="0.3">
      <c r="A216" s="1">
        <v>45618</v>
      </c>
      <c r="B216">
        <v>22904.32</v>
      </c>
      <c r="C216" s="2">
        <f t="shared" si="48"/>
        <v>1.5339506820210982E-2</v>
      </c>
      <c r="D216">
        <f t="shared" si="49"/>
        <v>1</v>
      </c>
      <c r="E216" s="2">
        <f t="shared" si="50"/>
        <v>1.5339506820210982E-2</v>
      </c>
      <c r="F216" s="2">
        <f t="shared" si="51"/>
        <v>1.5339506820210982E-2</v>
      </c>
      <c r="G216" s="2">
        <f t="shared" si="40"/>
        <v>0.41524593735082388</v>
      </c>
      <c r="H216">
        <f t="shared" si="41"/>
        <v>91</v>
      </c>
      <c r="I216" s="2">
        <f t="shared" si="42"/>
        <v>0.20627314666161259</v>
      </c>
      <c r="J216" s="2">
        <f t="shared" si="43"/>
        <v>0</v>
      </c>
      <c r="K216" s="2">
        <f t="shared" si="36"/>
        <v>0.36280962546152595</v>
      </c>
      <c r="L216">
        <f t="shared" si="37"/>
        <v>87</v>
      </c>
      <c r="M216" s="2">
        <f t="shared" si="39"/>
        <v>0.25868902966682661</v>
      </c>
      <c r="N216" s="2">
        <f t="shared" si="38"/>
        <v>0</v>
      </c>
      <c r="O216" s="2">
        <f t="shared" si="44"/>
        <v>0.97197821197049294</v>
      </c>
      <c r="P216">
        <f t="shared" si="45"/>
        <v>0</v>
      </c>
      <c r="Q216">
        <f t="shared" si="46"/>
        <v>1</v>
      </c>
      <c r="R216">
        <f t="shared" si="47"/>
        <v>1</v>
      </c>
    </row>
    <row r="217" spans="1:18" x14ac:dyDescent="0.3">
      <c r="A217" s="1">
        <v>45621</v>
      </c>
      <c r="B217">
        <v>22948.37</v>
      </c>
      <c r="C217" s="2">
        <f t="shared" si="48"/>
        <v>1.9213709621613013E-3</v>
      </c>
      <c r="D217">
        <f t="shared" si="49"/>
        <v>3</v>
      </c>
      <c r="E217" s="2">
        <f t="shared" si="50"/>
        <v>6.4045698738710044E-4</v>
      </c>
      <c r="F217" s="2">
        <f t="shared" si="51"/>
        <v>1.1093040422169576E-3</v>
      </c>
      <c r="G217" s="2">
        <f t="shared" si="40"/>
        <v>0.33828001104926542</v>
      </c>
      <c r="H217">
        <f t="shared" si="41"/>
        <v>91</v>
      </c>
      <c r="I217" s="2">
        <f t="shared" si="42"/>
        <v>0.20624348323819966</v>
      </c>
      <c r="J217" s="2">
        <f t="shared" si="43"/>
        <v>0</v>
      </c>
      <c r="K217" s="2">
        <f t="shared" si="36"/>
        <v>0.36280962546152595</v>
      </c>
      <c r="L217">
        <f t="shared" si="37"/>
        <v>89</v>
      </c>
      <c r="M217" s="2">
        <f t="shared" si="39"/>
        <v>0.25810507414365752</v>
      </c>
      <c r="N217" s="2">
        <f t="shared" si="38"/>
        <v>0</v>
      </c>
      <c r="O217" s="2">
        <f t="shared" si="44"/>
        <v>0.99078627370920036</v>
      </c>
      <c r="P217">
        <f t="shared" si="45"/>
        <v>0</v>
      </c>
      <c r="Q217">
        <f t="shared" si="46"/>
        <v>0</v>
      </c>
      <c r="R217">
        <f t="shared" si="47"/>
        <v>0</v>
      </c>
    </row>
    <row r="218" spans="1:18" x14ac:dyDescent="0.3">
      <c r="A218" s="1">
        <v>45622</v>
      </c>
      <c r="B218">
        <v>22678.76</v>
      </c>
      <c r="C218" s="2">
        <f t="shared" si="48"/>
        <v>-1.1818106375542758E-2</v>
      </c>
      <c r="D218">
        <f t="shared" si="49"/>
        <v>1</v>
      </c>
      <c r="E218" s="2">
        <f t="shared" si="50"/>
        <v>-1.1818106375542758E-2</v>
      </c>
      <c r="F218" s="2">
        <f t="shared" si="51"/>
        <v>-1.1818106375542758E-2</v>
      </c>
      <c r="G218" s="2">
        <f t="shared" si="40"/>
        <v>0.33828001104926542</v>
      </c>
      <c r="H218">
        <f t="shared" si="41"/>
        <v>91</v>
      </c>
      <c r="I218" s="2">
        <f t="shared" si="42"/>
        <v>0.20839449896031864</v>
      </c>
      <c r="J218" s="2">
        <f t="shared" si="43"/>
        <v>3.0364661409632024E-2</v>
      </c>
      <c r="K218" s="2">
        <f t="shared" si="36"/>
        <v>0.36280962546152595</v>
      </c>
      <c r="L218">
        <f t="shared" si="37"/>
        <v>89</v>
      </c>
      <c r="M218" s="2">
        <f t="shared" si="39"/>
        <v>0.25777106130833616</v>
      </c>
      <c r="N218" s="2">
        <f t="shared" si="38"/>
        <v>2.231519149294493E-2</v>
      </c>
      <c r="O218" s="2">
        <f t="shared" si="44"/>
        <v>1.0153756201838195</v>
      </c>
      <c r="P218">
        <f t="shared" si="45"/>
        <v>1</v>
      </c>
      <c r="Q218">
        <f t="shared" si="46"/>
        <v>0</v>
      </c>
      <c r="R218">
        <f t="shared" si="47"/>
        <v>1</v>
      </c>
    </row>
    <row r="219" spans="1:18" x14ac:dyDescent="0.3">
      <c r="A219" s="1">
        <v>45623</v>
      </c>
      <c r="B219">
        <v>22334.78</v>
      </c>
      <c r="C219" s="2">
        <f t="shared" si="48"/>
        <v>-1.5283698899171418E-2</v>
      </c>
      <c r="D219">
        <f t="shared" si="49"/>
        <v>1</v>
      </c>
      <c r="E219" s="2">
        <f t="shared" si="50"/>
        <v>-1.5283698899171418E-2</v>
      </c>
      <c r="F219" s="2">
        <f t="shared" si="51"/>
        <v>-1.5283698899171418E-2</v>
      </c>
      <c r="G219" s="2">
        <f t="shared" si="40"/>
        <v>0.25984176051690744</v>
      </c>
      <c r="H219">
        <f t="shared" si="41"/>
        <v>91</v>
      </c>
      <c r="I219" s="2">
        <f t="shared" si="42"/>
        <v>0.21102191989186325</v>
      </c>
      <c r="J219" s="2">
        <f t="shared" si="43"/>
        <v>3.7941485564776306E-2</v>
      </c>
      <c r="K219" s="2">
        <f t="shared" si="36"/>
        <v>0.36280962546152595</v>
      </c>
      <c r="L219">
        <f t="shared" si="37"/>
        <v>89</v>
      </c>
      <c r="M219" s="2">
        <f t="shared" si="39"/>
        <v>0.25875456394206864</v>
      </c>
      <c r="N219" s="2">
        <f t="shared" si="38"/>
        <v>2.826719501457782E-2</v>
      </c>
      <c r="O219" s="2">
        <f t="shared" si="44"/>
        <v>1.0412159869047291</v>
      </c>
      <c r="P219">
        <f t="shared" si="45"/>
        <v>1</v>
      </c>
      <c r="Q219">
        <f t="shared" si="46"/>
        <v>0</v>
      </c>
      <c r="R219">
        <f t="shared" si="47"/>
        <v>1</v>
      </c>
    </row>
    <row r="220" spans="1:18" x14ac:dyDescent="0.3">
      <c r="A220" s="1">
        <v>45624</v>
      </c>
      <c r="B220">
        <v>22298.9</v>
      </c>
      <c r="C220" s="2">
        <f t="shared" si="48"/>
        <v>-1.6077548491979436E-3</v>
      </c>
      <c r="D220">
        <f t="shared" si="49"/>
        <v>1</v>
      </c>
      <c r="E220" s="2">
        <f t="shared" si="50"/>
        <v>-1.6077548491979436E-3</v>
      </c>
      <c r="F220" s="2">
        <f t="shared" si="51"/>
        <v>-1.6077548491979436E-3</v>
      </c>
      <c r="G220" s="2">
        <f t="shared" si="40"/>
        <v>0.25984176051690744</v>
      </c>
      <c r="H220">
        <f t="shared" si="41"/>
        <v>91</v>
      </c>
      <c r="I220" s="2">
        <f t="shared" si="42"/>
        <v>0.21019106348034455</v>
      </c>
      <c r="J220" s="2">
        <f t="shared" si="43"/>
        <v>4.455854256270912E-3</v>
      </c>
      <c r="K220" s="2">
        <f t="shared" si="36"/>
        <v>0.3314448403948681</v>
      </c>
      <c r="L220">
        <f t="shared" si="37"/>
        <v>87</v>
      </c>
      <c r="M220" s="2">
        <f t="shared" si="39"/>
        <v>0.25831867760439692</v>
      </c>
      <c r="N220" s="2">
        <f t="shared" si="38"/>
        <v>4.2500170094821521E-3</v>
      </c>
      <c r="O220" s="2">
        <f t="shared" si="44"/>
        <v>1.0434568521317193</v>
      </c>
      <c r="P220">
        <f t="shared" si="45"/>
        <v>1</v>
      </c>
      <c r="Q220">
        <f t="shared" si="46"/>
        <v>0</v>
      </c>
      <c r="R220">
        <f t="shared" si="47"/>
        <v>1</v>
      </c>
    </row>
    <row r="221" spans="1:18" x14ac:dyDescent="0.3">
      <c r="A221" s="1">
        <v>45625</v>
      </c>
      <c r="B221">
        <v>22262.5</v>
      </c>
      <c r="C221" s="2">
        <f t="shared" si="48"/>
        <v>-1.6337012793990319E-3</v>
      </c>
      <c r="D221">
        <f t="shared" si="49"/>
        <v>1</v>
      </c>
      <c r="E221" s="2">
        <f t="shared" si="50"/>
        <v>-1.6337012793990319E-3</v>
      </c>
      <c r="F221" s="2">
        <f t="shared" si="51"/>
        <v>-1.6337012793990319E-3</v>
      </c>
      <c r="G221" s="2">
        <f t="shared" si="40"/>
        <v>6.1836409639347001E-2</v>
      </c>
      <c r="H221">
        <f t="shared" si="41"/>
        <v>91</v>
      </c>
      <c r="I221" s="2">
        <f t="shared" si="42"/>
        <v>0.21012149931049362</v>
      </c>
      <c r="J221" s="2">
        <f t="shared" si="43"/>
        <v>4.3302298144582826E-3</v>
      </c>
      <c r="K221" s="2">
        <f t="shared" si="36"/>
        <v>0.3314448403948681</v>
      </c>
      <c r="L221">
        <f t="shared" si="37"/>
        <v>87</v>
      </c>
      <c r="M221" s="2">
        <f t="shared" si="39"/>
        <v>0.25784636177166104</v>
      </c>
      <c r="N221" s="2">
        <f t="shared" si="38"/>
        <v>4.3935999956912402E-3</v>
      </c>
      <c r="O221" s="2">
        <f t="shared" si="44"/>
        <v>1.0418088714205502</v>
      </c>
      <c r="P221">
        <f t="shared" si="45"/>
        <v>1</v>
      </c>
      <c r="Q221">
        <f t="shared" si="46"/>
        <v>0</v>
      </c>
      <c r="R221">
        <f t="shared" si="47"/>
        <v>1</v>
      </c>
    </row>
    <row r="222" spans="1:18" x14ac:dyDescent="0.3">
      <c r="A222" s="1">
        <v>45628</v>
      </c>
      <c r="B222">
        <v>22736.93</v>
      </c>
      <c r="C222" s="2">
        <f t="shared" si="48"/>
        <v>2.1086826195158601E-2</v>
      </c>
      <c r="D222">
        <f t="shared" si="49"/>
        <v>3</v>
      </c>
      <c r="E222" s="2">
        <f t="shared" si="50"/>
        <v>7.0289420650528666E-3</v>
      </c>
      <c r="F222" s="2">
        <f t="shared" si="51"/>
        <v>1.217448478012967E-2</v>
      </c>
      <c r="G222" s="2">
        <f t="shared" si="40"/>
        <v>0.25984176051690744</v>
      </c>
      <c r="H222">
        <f t="shared" si="41"/>
        <v>91</v>
      </c>
      <c r="I222" s="2">
        <f t="shared" si="42"/>
        <v>0.21219397883348462</v>
      </c>
      <c r="J222" s="2">
        <f t="shared" si="43"/>
        <v>0</v>
      </c>
      <c r="K222" s="2">
        <f t="shared" si="36"/>
        <v>0.3314448403948681</v>
      </c>
      <c r="L222">
        <f t="shared" si="37"/>
        <v>89</v>
      </c>
      <c r="M222" s="2">
        <f t="shared" si="39"/>
        <v>0.25844692306676043</v>
      </c>
      <c r="N222" s="2">
        <f t="shared" si="38"/>
        <v>0</v>
      </c>
      <c r="O222" s="2">
        <f t="shared" si="44"/>
        <v>1.0235880569628353</v>
      </c>
      <c r="P222">
        <f t="shared" si="45"/>
        <v>1</v>
      </c>
      <c r="Q222">
        <f t="shared" si="46"/>
        <v>0</v>
      </c>
      <c r="R222">
        <f t="shared" si="47"/>
        <v>1</v>
      </c>
    </row>
    <row r="223" spans="1:18" x14ac:dyDescent="0.3">
      <c r="A223" s="1">
        <v>45629</v>
      </c>
      <c r="B223">
        <v>23027.46</v>
      </c>
      <c r="C223" s="2">
        <f t="shared" si="48"/>
        <v>1.2696942014283246E-2</v>
      </c>
      <c r="D223">
        <f t="shared" si="49"/>
        <v>1</v>
      </c>
      <c r="E223" s="2">
        <f t="shared" si="50"/>
        <v>1.2696942014283246E-2</v>
      </c>
      <c r="F223" s="2">
        <f t="shared" si="51"/>
        <v>1.2696942014283246E-2</v>
      </c>
      <c r="G223" s="2">
        <f t="shared" si="40"/>
        <v>0.33828001104926542</v>
      </c>
      <c r="H223">
        <f t="shared" si="41"/>
        <v>91</v>
      </c>
      <c r="I223" s="2">
        <f t="shared" si="42"/>
        <v>0.21365477055740842</v>
      </c>
      <c r="J223" s="2">
        <f t="shared" si="43"/>
        <v>0</v>
      </c>
      <c r="K223" s="2">
        <f t="shared" si="36"/>
        <v>0.3314448403948681</v>
      </c>
      <c r="L223">
        <f t="shared" si="37"/>
        <v>89</v>
      </c>
      <c r="M223" s="2">
        <f t="shared" si="39"/>
        <v>0.25727043711964737</v>
      </c>
      <c r="N223" s="2">
        <f t="shared" si="38"/>
        <v>0</v>
      </c>
      <c r="O223" s="2">
        <f t="shared" si="44"/>
        <v>1.0042392864866556</v>
      </c>
      <c r="P223">
        <f t="shared" si="45"/>
        <v>0</v>
      </c>
      <c r="Q223">
        <f t="shared" si="46"/>
        <v>0</v>
      </c>
      <c r="R223">
        <f t="shared" si="47"/>
        <v>0</v>
      </c>
    </row>
    <row r="224" spans="1:18" x14ac:dyDescent="0.3">
      <c r="A224" s="1">
        <v>45630</v>
      </c>
      <c r="B224">
        <v>23255.33</v>
      </c>
      <c r="C224" s="2">
        <f t="shared" si="48"/>
        <v>9.8469362468217407E-3</v>
      </c>
      <c r="D224">
        <f t="shared" si="49"/>
        <v>1</v>
      </c>
      <c r="E224" s="2">
        <f t="shared" si="50"/>
        <v>9.8469362468217407E-3</v>
      </c>
      <c r="F224" s="2">
        <f t="shared" si="51"/>
        <v>9.8469362468217407E-3</v>
      </c>
      <c r="G224" s="2">
        <f t="shared" si="40"/>
        <v>0.41524593735082388</v>
      </c>
      <c r="H224">
        <f t="shared" si="41"/>
        <v>91</v>
      </c>
      <c r="I224" s="2">
        <f t="shared" si="42"/>
        <v>0.17946216210064922</v>
      </c>
      <c r="J224" s="2">
        <f t="shared" si="43"/>
        <v>0</v>
      </c>
      <c r="K224" s="2">
        <f t="shared" si="36"/>
        <v>0.36280962546152595</v>
      </c>
      <c r="L224">
        <f t="shared" si="37"/>
        <v>89</v>
      </c>
      <c r="M224" s="2">
        <f t="shared" si="39"/>
        <v>0.25769173718989213</v>
      </c>
      <c r="N224" s="2">
        <f t="shared" si="38"/>
        <v>0</v>
      </c>
      <c r="O224" s="2">
        <f t="shared" si="44"/>
        <v>0.98487658528173971</v>
      </c>
      <c r="P224">
        <f t="shared" si="45"/>
        <v>0</v>
      </c>
      <c r="Q224">
        <f t="shared" si="46"/>
        <v>1</v>
      </c>
      <c r="R224">
        <f t="shared" si="47"/>
        <v>1</v>
      </c>
    </row>
    <row r="225" spans="1:18" x14ac:dyDescent="0.3">
      <c r="A225" s="1">
        <v>45631</v>
      </c>
      <c r="B225">
        <v>23267.94</v>
      </c>
      <c r="C225" s="2">
        <f t="shared" si="48"/>
        <v>5.4209432435862396E-4</v>
      </c>
      <c r="D225">
        <f t="shared" si="49"/>
        <v>1</v>
      </c>
      <c r="E225" s="2">
        <f t="shared" si="50"/>
        <v>5.4209432435862396E-4</v>
      </c>
      <c r="F225" s="2">
        <f t="shared" si="51"/>
        <v>5.4209432435862396E-4</v>
      </c>
      <c r="G225" s="2">
        <f t="shared" si="40"/>
        <v>0.33828001104926542</v>
      </c>
      <c r="H225">
        <f t="shared" si="41"/>
        <v>91</v>
      </c>
      <c r="I225" s="2">
        <f t="shared" si="42"/>
        <v>0.17933194546363546</v>
      </c>
      <c r="J225" s="2">
        <f t="shared" si="43"/>
        <v>2.4318723282702771E-3</v>
      </c>
      <c r="K225" s="2">
        <f t="shared" si="36"/>
        <v>0.36280962546152595</v>
      </c>
      <c r="L225">
        <f t="shared" si="37"/>
        <v>86</v>
      </c>
      <c r="M225" s="2">
        <f t="shared" si="39"/>
        <v>0.25765549783909081</v>
      </c>
      <c r="N225" s="2">
        <f t="shared" si="38"/>
        <v>7.9594636333162137E-4</v>
      </c>
      <c r="O225" s="2">
        <f t="shared" si="44"/>
        <v>0.99049593560925464</v>
      </c>
      <c r="P225">
        <f t="shared" si="45"/>
        <v>0</v>
      </c>
      <c r="Q225">
        <f t="shared" si="46"/>
        <v>0</v>
      </c>
      <c r="R225">
        <f t="shared" si="47"/>
        <v>0</v>
      </c>
    </row>
    <row r="226" spans="1:18" x14ac:dyDescent="0.3">
      <c r="A226" s="1">
        <v>45632</v>
      </c>
      <c r="B226">
        <v>23193.27</v>
      </c>
      <c r="C226" s="2">
        <f t="shared" si="48"/>
        <v>-3.2142970141769093E-3</v>
      </c>
      <c r="D226">
        <f t="shared" si="49"/>
        <v>1</v>
      </c>
      <c r="E226" s="2">
        <f t="shared" si="50"/>
        <v>-3.2142970141769093E-3</v>
      </c>
      <c r="F226" s="2">
        <f t="shared" si="51"/>
        <v>-3.2142970141769093E-3</v>
      </c>
      <c r="G226" s="2">
        <f t="shared" si="40"/>
        <v>0.25984176051690744</v>
      </c>
      <c r="H226">
        <f t="shared" si="41"/>
        <v>91</v>
      </c>
      <c r="I226" s="2">
        <f t="shared" si="42"/>
        <v>0.17789676522065884</v>
      </c>
      <c r="J226" s="2">
        <f t="shared" si="43"/>
        <v>1.1087294234210319E-2</v>
      </c>
      <c r="K226" s="2">
        <f t="shared" si="36"/>
        <v>0.3314448403948681</v>
      </c>
      <c r="L226">
        <f t="shared" si="37"/>
        <v>86</v>
      </c>
      <c r="M226" s="2">
        <f t="shared" si="39"/>
        <v>0.25706557309599315</v>
      </c>
      <c r="N226" s="2">
        <f t="shared" si="38"/>
        <v>7.1302274185500083E-3</v>
      </c>
      <c r="O226" s="2">
        <f t="shared" si="44"/>
        <v>0.99254999402844013</v>
      </c>
      <c r="P226">
        <f t="shared" si="45"/>
        <v>0</v>
      </c>
      <c r="Q226">
        <f t="shared" si="46"/>
        <v>0</v>
      </c>
      <c r="R226">
        <f t="shared" si="47"/>
        <v>0</v>
      </c>
    </row>
    <row r="227" spans="1:18" x14ac:dyDescent="0.3">
      <c r="A227" s="1">
        <v>45635</v>
      </c>
      <c r="B227">
        <v>23273.25</v>
      </c>
      <c r="C227" s="2">
        <f t="shared" si="48"/>
        <v>3.4424819842234205E-3</v>
      </c>
      <c r="D227">
        <f t="shared" si="49"/>
        <v>3</v>
      </c>
      <c r="E227" s="2">
        <f t="shared" si="50"/>
        <v>1.1474939947411402E-3</v>
      </c>
      <c r="F227" s="2">
        <f t="shared" si="51"/>
        <v>1.9875179002718292E-3</v>
      </c>
      <c r="G227" s="2">
        <f t="shared" si="40"/>
        <v>0.33828001104926542</v>
      </c>
      <c r="H227">
        <f t="shared" si="41"/>
        <v>91</v>
      </c>
      <c r="I227" s="2">
        <f t="shared" si="42"/>
        <v>0.17641020711786259</v>
      </c>
      <c r="J227" s="2">
        <f t="shared" si="43"/>
        <v>0</v>
      </c>
      <c r="K227" s="2">
        <f t="shared" si="36"/>
        <v>0.3314448403948681</v>
      </c>
      <c r="L227">
        <f t="shared" si="37"/>
        <v>88</v>
      </c>
      <c r="M227" s="2">
        <f t="shared" si="39"/>
        <v>0.25634696192490847</v>
      </c>
      <c r="N227" s="2">
        <f t="shared" si="38"/>
        <v>0</v>
      </c>
      <c r="O227" s="2">
        <f t="shared" si="44"/>
        <v>0.98997346739282233</v>
      </c>
      <c r="P227">
        <f t="shared" si="45"/>
        <v>0</v>
      </c>
      <c r="Q227">
        <f t="shared" si="46"/>
        <v>0</v>
      </c>
      <c r="R227">
        <f t="shared" si="47"/>
        <v>0</v>
      </c>
    </row>
    <row r="228" spans="1:18" x14ac:dyDescent="0.3">
      <c r="A228" s="1">
        <v>45636</v>
      </c>
      <c r="B228">
        <v>23125.08</v>
      </c>
      <c r="C228" s="2">
        <f t="shared" si="48"/>
        <v>-6.3868895144843238E-3</v>
      </c>
      <c r="D228">
        <f t="shared" si="49"/>
        <v>1</v>
      </c>
      <c r="E228" s="2">
        <f t="shared" si="50"/>
        <v>-6.3868895144843238E-3</v>
      </c>
      <c r="F228" s="2">
        <f t="shared" si="51"/>
        <v>-6.3868895144843238E-3</v>
      </c>
      <c r="G228" s="2">
        <f t="shared" si="40"/>
        <v>0.33828001104926542</v>
      </c>
      <c r="H228">
        <f t="shared" si="41"/>
        <v>91</v>
      </c>
      <c r="I228" s="2">
        <f t="shared" si="42"/>
        <v>0.17699905298746282</v>
      </c>
      <c r="J228" s="2">
        <f t="shared" si="43"/>
        <v>1.9212114239382235E-2</v>
      </c>
      <c r="K228" s="2">
        <f t="shared" si="36"/>
        <v>0.32240275535755841</v>
      </c>
      <c r="L228">
        <f t="shared" si="37"/>
        <v>88</v>
      </c>
      <c r="M228" s="2">
        <f t="shared" si="39"/>
        <v>0.25627943862107783</v>
      </c>
      <c r="N228" s="2">
        <f t="shared" si="38"/>
        <v>1.2302055675298481E-2</v>
      </c>
      <c r="O228" s="2">
        <f t="shared" si="44"/>
        <v>0.99536996196337468</v>
      </c>
      <c r="P228">
        <f t="shared" si="45"/>
        <v>0</v>
      </c>
      <c r="Q228">
        <f t="shared" si="46"/>
        <v>0</v>
      </c>
      <c r="R228">
        <f t="shared" si="47"/>
        <v>0</v>
      </c>
    </row>
    <row r="229" spans="1:18" x14ac:dyDescent="0.3">
      <c r="A229" s="1">
        <v>45637</v>
      </c>
      <c r="B229">
        <v>22903.63</v>
      </c>
      <c r="C229" s="2">
        <f t="shared" si="48"/>
        <v>-9.6223295701477769E-3</v>
      </c>
      <c r="D229">
        <f t="shared" si="49"/>
        <v>1</v>
      </c>
      <c r="E229" s="2">
        <f t="shared" si="50"/>
        <v>-9.6223295701477769E-3</v>
      </c>
      <c r="F229" s="2">
        <f t="shared" si="51"/>
        <v>-9.6223295701477769E-3</v>
      </c>
      <c r="G229" s="2">
        <f t="shared" si="40"/>
        <v>0.33828001104926542</v>
      </c>
      <c r="H229">
        <f t="shared" si="41"/>
        <v>91</v>
      </c>
      <c r="I229" s="2">
        <f t="shared" si="42"/>
        <v>0.17893910280124781</v>
      </c>
      <c r="J229" s="2">
        <f t="shared" si="43"/>
        <v>2.686119673109549E-2</v>
      </c>
      <c r="K229" s="2">
        <f t="shared" si="36"/>
        <v>0.32240275535755841</v>
      </c>
      <c r="L229">
        <f t="shared" si="37"/>
        <v>86</v>
      </c>
      <c r="M229" s="2">
        <f t="shared" si="39"/>
        <v>0.25690318855781685</v>
      </c>
      <c r="N229" s="2">
        <f t="shared" si="38"/>
        <v>1.7807991050134024E-2</v>
      </c>
      <c r="O229" s="2">
        <f t="shared" si="44"/>
        <v>1.0115719647933537</v>
      </c>
      <c r="P229">
        <f t="shared" si="45"/>
        <v>0</v>
      </c>
      <c r="Q229">
        <f t="shared" si="46"/>
        <v>0</v>
      </c>
      <c r="R229">
        <f t="shared" si="47"/>
        <v>0</v>
      </c>
    </row>
    <row r="230" spans="1:18" x14ac:dyDescent="0.3">
      <c r="A230" s="1">
        <v>45638</v>
      </c>
      <c r="B230">
        <v>23046.799999999999</v>
      </c>
      <c r="C230" s="2">
        <f t="shared" si="48"/>
        <v>6.2315178898485132E-3</v>
      </c>
      <c r="D230">
        <f t="shared" si="49"/>
        <v>1</v>
      </c>
      <c r="E230" s="2">
        <f t="shared" si="50"/>
        <v>6.2315178898485132E-3</v>
      </c>
      <c r="F230" s="2">
        <f t="shared" si="51"/>
        <v>6.2315178898485132E-3</v>
      </c>
      <c r="G230" s="2">
        <f t="shared" si="40"/>
        <v>0.33828001104926542</v>
      </c>
      <c r="H230">
        <f t="shared" si="41"/>
        <v>91</v>
      </c>
      <c r="I230" s="2">
        <f t="shared" si="42"/>
        <v>0.1652433747236203</v>
      </c>
      <c r="J230" s="2">
        <f t="shared" si="43"/>
        <v>0</v>
      </c>
      <c r="K230" s="2">
        <f t="shared" si="36"/>
        <v>0.32240275535755841</v>
      </c>
      <c r="L230">
        <f t="shared" si="37"/>
        <v>86</v>
      </c>
      <c r="M230" s="2">
        <f t="shared" si="39"/>
        <v>0.25637660266572687</v>
      </c>
      <c r="N230" s="2">
        <f t="shared" si="38"/>
        <v>0</v>
      </c>
      <c r="O230" s="2">
        <f t="shared" si="44"/>
        <v>0.99502967874064951</v>
      </c>
      <c r="P230">
        <f t="shared" si="45"/>
        <v>0</v>
      </c>
      <c r="Q230">
        <f t="shared" si="46"/>
        <v>0</v>
      </c>
      <c r="R230">
        <f t="shared" si="47"/>
        <v>0</v>
      </c>
    </row>
    <row r="231" spans="1:18" x14ac:dyDescent="0.3">
      <c r="A231" s="1">
        <v>45639</v>
      </c>
      <c r="B231">
        <v>23020.48</v>
      </c>
      <c r="C231" s="2">
        <f t="shared" si="48"/>
        <v>-1.1426766617806425E-3</v>
      </c>
      <c r="D231">
        <f t="shared" si="49"/>
        <v>1</v>
      </c>
      <c r="E231" s="2">
        <f t="shared" si="50"/>
        <v>-1.1426766617806425E-3</v>
      </c>
      <c r="F231" s="2">
        <f t="shared" si="51"/>
        <v>-1.1426766617806425E-3</v>
      </c>
      <c r="G231" s="2">
        <f t="shared" si="40"/>
        <v>0.25984176051690744</v>
      </c>
      <c r="H231">
        <f t="shared" si="41"/>
        <v>91</v>
      </c>
      <c r="I231" s="2">
        <f t="shared" si="42"/>
        <v>0.16500702427516414</v>
      </c>
      <c r="J231" s="2">
        <f t="shared" si="43"/>
        <v>4.7557100245395941E-3</v>
      </c>
      <c r="K231" s="2">
        <f t="shared" si="36"/>
        <v>0.30144970132337223</v>
      </c>
      <c r="L231">
        <f t="shared" si="37"/>
        <v>86</v>
      </c>
      <c r="M231" s="2">
        <f t="shared" si="39"/>
        <v>0.25417404985544928</v>
      </c>
      <c r="N231" s="2">
        <f t="shared" si="38"/>
        <v>2.6396345884730625E-3</v>
      </c>
      <c r="O231" s="2">
        <f t="shared" si="44"/>
        <v>0.97783582271090785</v>
      </c>
      <c r="P231">
        <f t="shared" si="45"/>
        <v>0</v>
      </c>
      <c r="Q231">
        <f t="shared" si="46"/>
        <v>1</v>
      </c>
      <c r="R231">
        <f t="shared" si="47"/>
        <v>1</v>
      </c>
    </row>
    <row r="232" spans="1:18" x14ac:dyDescent="0.3">
      <c r="A232" s="1">
        <v>45642</v>
      </c>
      <c r="B232">
        <v>23039.9</v>
      </c>
      <c r="C232" s="2">
        <f t="shared" si="48"/>
        <v>8.4324103060926881E-4</v>
      </c>
      <c r="D232">
        <f t="shared" si="49"/>
        <v>3</v>
      </c>
      <c r="E232" s="2">
        <f t="shared" si="50"/>
        <v>2.8108034353642295E-4</v>
      </c>
      <c r="F232" s="2">
        <f t="shared" si="51"/>
        <v>4.8684543601399885E-4</v>
      </c>
      <c r="G232" s="2">
        <f t="shared" si="40"/>
        <v>0.21581561439359467</v>
      </c>
      <c r="H232">
        <f t="shared" si="41"/>
        <v>91</v>
      </c>
      <c r="I232" s="2">
        <f t="shared" si="42"/>
        <v>0.16495902581435257</v>
      </c>
      <c r="J232" s="2">
        <f t="shared" si="43"/>
        <v>6.581741342856518E-4</v>
      </c>
      <c r="K232" s="2">
        <f t="shared" si="36"/>
        <v>0.26736234161621669</v>
      </c>
      <c r="L232">
        <f t="shared" si="37"/>
        <v>88</v>
      </c>
      <c r="M232" s="2">
        <f t="shared" si="39"/>
        <v>0.2537784401635923</v>
      </c>
      <c r="N232" s="2">
        <f t="shared" si="38"/>
        <v>0</v>
      </c>
      <c r="O232" s="2">
        <f t="shared" si="44"/>
        <v>1.0028055677324987</v>
      </c>
      <c r="P232">
        <f t="shared" si="45"/>
        <v>0</v>
      </c>
      <c r="Q232">
        <f t="shared" si="46"/>
        <v>0</v>
      </c>
      <c r="R232">
        <f t="shared" si="47"/>
        <v>0</v>
      </c>
    </row>
    <row r="233" spans="1:18" x14ac:dyDescent="0.3">
      <c r="A233" s="1">
        <v>45643</v>
      </c>
      <c r="B233">
        <v>23018.01</v>
      </c>
      <c r="C233" s="2">
        <f t="shared" si="48"/>
        <v>-9.5054255167876091E-4</v>
      </c>
      <c r="D233">
        <f t="shared" si="49"/>
        <v>1</v>
      </c>
      <c r="E233" s="2">
        <f t="shared" si="50"/>
        <v>-9.5054255167876091E-4</v>
      </c>
      <c r="F233" s="2">
        <f t="shared" si="51"/>
        <v>-9.5054255167876091E-4</v>
      </c>
      <c r="G233" s="2">
        <f t="shared" si="40"/>
        <v>0.21581561439359467</v>
      </c>
      <c r="H233">
        <f t="shared" si="41"/>
        <v>90</v>
      </c>
      <c r="I233" s="2">
        <f t="shared" si="42"/>
        <v>0.16425704140370742</v>
      </c>
      <c r="J233" s="2">
        <f t="shared" si="43"/>
        <v>4.3930320519776607E-3</v>
      </c>
      <c r="K233" s="2">
        <f t="shared" si="36"/>
        <v>0.26736234161621669</v>
      </c>
      <c r="L233">
        <f t="shared" si="37"/>
        <v>89</v>
      </c>
      <c r="M233" s="2">
        <f t="shared" si="39"/>
        <v>0.25350264566035757</v>
      </c>
      <c r="N233" s="2">
        <f t="shared" si="38"/>
        <v>2.2703736477971389E-3</v>
      </c>
      <c r="O233" s="2">
        <f t="shared" si="44"/>
        <v>1.0044413048738794</v>
      </c>
      <c r="P233">
        <f t="shared" si="45"/>
        <v>0</v>
      </c>
      <c r="Q233">
        <f t="shared" si="46"/>
        <v>0</v>
      </c>
      <c r="R233">
        <f t="shared" si="47"/>
        <v>0</v>
      </c>
    </row>
    <row r="234" spans="1:18" x14ac:dyDescent="0.3">
      <c r="A234" s="1">
        <v>45644</v>
      </c>
      <c r="B234">
        <v>23168.67</v>
      </c>
      <c r="C234" s="2">
        <f t="shared" si="48"/>
        <v>6.5239819952338293E-3</v>
      </c>
      <c r="D234">
        <f t="shared" si="49"/>
        <v>1</v>
      </c>
      <c r="E234" s="2">
        <f t="shared" si="50"/>
        <v>6.5239819952338293E-3</v>
      </c>
      <c r="F234" s="2">
        <f t="shared" si="51"/>
        <v>6.5239819952338293E-3</v>
      </c>
      <c r="G234" s="2">
        <f t="shared" si="40"/>
        <v>0.21581561439359467</v>
      </c>
      <c r="H234">
        <f t="shared" si="41"/>
        <v>90</v>
      </c>
      <c r="I234" s="2">
        <f t="shared" si="42"/>
        <v>0.16007270145113339</v>
      </c>
      <c r="J234" s="2">
        <f t="shared" si="43"/>
        <v>0</v>
      </c>
      <c r="K234" s="2">
        <f t="shared" si="36"/>
        <v>0.30144970132337223</v>
      </c>
      <c r="L234">
        <f t="shared" si="37"/>
        <v>87</v>
      </c>
      <c r="M234" s="2">
        <f t="shared" si="39"/>
        <v>0.2529345429923312</v>
      </c>
      <c r="N234" s="2">
        <f t="shared" si="38"/>
        <v>0</v>
      </c>
      <c r="O234" s="2">
        <f t="shared" si="44"/>
        <v>1.0022211028945556</v>
      </c>
      <c r="P234">
        <f t="shared" si="45"/>
        <v>0</v>
      </c>
      <c r="Q234">
        <f t="shared" si="46"/>
        <v>0</v>
      </c>
      <c r="R234">
        <f t="shared" si="47"/>
        <v>0</v>
      </c>
    </row>
    <row r="235" spans="1:18" x14ac:dyDescent="0.3">
      <c r="A235" s="1">
        <v>45645</v>
      </c>
      <c r="B235">
        <v>22932.25</v>
      </c>
      <c r="C235" s="2">
        <f t="shared" si="48"/>
        <v>-1.0256718200720631E-2</v>
      </c>
      <c r="D235">
        <f t="shared" si="49"/>
        <v>1</v>
      </c>
      <c r="E235" s="2">
        <f t="shared" si="50"/>
        <v>-1.0256718200720631E-2</v>
      </c>
      <c r="F235" s="2">
        <f t="shared" si="51"/>
        <v>-1.0256718200720631E-2</v>
      </c>
      <c r="G235" s="2">
        <f t="shared" si="40"/>
        <v>0.15022937689084606</v>
      </c>
      <c r="H235">
        <f t="shared" si="41"/>
        <v>90</v>
      </c>
      <c r="I235" s="2">
        <f t="shared" si="42"/>
        <v>0.16187608987259619</v>
      </c>
      <c r="J235" s="2">
        <f t="shared" si="43"/>
        <v>2.6291405637764002E-2</v>
      </c>
      <c r="K235" s="2">
        <f t="shared" si="36"/>
        <v>0.26736234161621669</v>
      </c>
      <c r="L235">
        <f t="shared" si="37"/>
        <v>87</v>
      </c>
      <c r="M235" s="2">
        <f t="shared" si="39"/>
        <v>0.25359628743032747</v>
      </c>
      <c r="N235" s="2">
        <f t="shared" si="38"/>
        <v>1.8567008499897859E-2</v>
      </c>
      <c r="O235" s="2">
        <f t="shared" si="44"/>
        <v>1.01372259590751</v>
      </c>
      <c r="P235">
        <f t="shared" si="45"/>
        <v>0</v>
      </c>
      <c r="Q235">
        <f t="shared" si="46"/>
        <v>0</v>
      </c>
      <c r="R235">
        <f t="shared" si="47"/>
        <v>0</v>
      </c>
    </row>
    <row r="236" spans="1:18" x14ac:dyDescent="0.3">
      <c r="A236" s="1">
        <v>45646</v>
      </c>
      <c r="B236">
        <v>22510.25</v>
      </c>
      <c r="C236" s="2">
        <f t="shared" si="48"/>
        <v>-1.8573455751327083E-2</v>
      </c>
      <c r="D236">
        <f t="shared" si="49"/>
        <v>1</v>
      </c>
      <c r="E236" s="2">
        <f t="shared" si="50"/>
        <v>-1.8573455751327083E-2</v>
      </c>
      <c r="F236" s="2">
        <f t="shared" si="51"/>
        <v>-1.8573455751327083E-2</v>
      </c>
      <c r="G236" s="2">
        <f t="shared" si="40"/>
        <v>-3.7498278634016478E-3</v>
      </c>
      <c r="H236">
        <f t="shared" si="41"/>
        <v>88</v>
      </c>
      <c r="I236" s="2">
        <f t="shared" si="42"/>
        <v>0.16831910401517139</v>
      </c>
      <c r="J236" s="2">
        <f t="shared" si="43"/>
        <v>4.5905961656438649E-2</v>
      </c>
      <c r="K236" s="2">
        <f t="shared" si="36"/>
        <v>0.24128738149560097</v>
      </c>
      <c r="L236">
        <f t="shared" si="37"/>
        <v>89</v>
      </c>
      <c r="M236" s="2">
        <f t="shared" si="39"/>
        <v>0.25561605503071838</v>
      </c>
      <c r="N236" s="2">
        <f t="shared" si="38"/>
        <v>3.2731596967890172E-2</v>
      </c>
      <c r="O236" s="2">
        <f t="shared" si="44"/>
        <v>1.0340036205728502</v>
      </c>
      <c r="P236">
        <f t="shared" si="45"/>
        <v>1</v>
      </c>
      <c r="Q236">
        <f t="shared" si="46"/>
        <v>0</v>
      </c>
      <c r="R236">
        <f t="shared" si="47"/>
        <v>1</v>
      </c>
    </row>
    <row r="237" spans="1:18" x14ac:dyDescent="0.3">
      <c r="A237" s="1">
        <v>45649</v>
      </c>
      <c r="B237">
        <v>23104.54</v>
      </c>
      <c r="C237" s="2">
        <f t="shared" si="48"/>
        <v>2.6058373981457553E-2</v>
      </c>
      <c r="D237">
        <f t="shared" si="49"/>
        <v>3</v>
      </c>
      <c r="E237" s="2">
        <f t="shared" si="50"/>
        <v>8.6861246604858517E-3</v>
      </c>
      <c r="F237" s="2">
        <f t="shared" si="51"/>
        <v>1.504480923283846E-2</v>
      </c>
      <c r="G237" s="2">
        <f t="shared" si="40"/>
        <v>-3.7498278634016478E-3</v>
      </c>
      <c r="H237">
        <f t="shared" si="41"/>
        <v>90</v>
      </c>
      <c r="I237" s="2">
        <f t="shared" si="42"/>
        <v>0.17162566661197923</v>
      </c>
      <c r="J237" s="2">
        <f t="shared" si="43"/>
        <v>0</v>
      </c>
      <c r="K237" s="2">
        <f t="shared" si="36"/>
        <v>0.26736234161621669</v>
      </c>
      <c r="L237">
        <f t="shared" si="37"/>
        <v>89</v>
      </c>
      <c r="M237" s="2">
        <f t="shared" si="39"/>
        <v>0.25683642537012036</v>
      </c>
      <c r="N237" s="2">
        <f t="shared" si="38"/>
        <v>0</v>
      </c>
      <c r="O237" s="2">
        <f t="shared" si="44"/>
        <v>1.0037074964487498</v>
      </c>
      <c r="P237">
        <f t="shared" si="45"/>
        <v>0</v>
      </c>
      <c r="Q237">
        <f t="shared" si="46"/>
        <v>0</v>
      </c>
      <c r="R237">
        <f t="shared" si="47"/>
        <v>0</v>
      </c>
    </row>
    <row r="238" spans="1:18" x14ac:dyDescent="0.3">
      <c r="A238" s="1">
        <v>45650</v>
      </c>
      <c r="B238">
        <v>23120.240000000002</v>
      </c>
      <c r="C238" s="2">
        <f t="shared" si="48"/>
        <v>6.7928935967729199E-4</v>
      </c>
      <c r="D238">
        <f t="shared" si="49"/>
        <v>1</v>
      </c>
      <c r="E238" s="2">
        <f t="shared" si="50"/>
        <v>6.7928935967729199E-4</v>
      </c>
      <c r="F238" s="2">
        <f t="shared" si="51"/>
        <v>6.7928935967729199E-4</v>
      </c>
      <c r="G238" s="2">
        <f t="shared" si="40"/>
        <v>-3.7498278634016478E-3</v>
      </c>
      <c r="H238">
        <f t="shared" si="41"/>
        <v>90</v>
      </c>
      <c r="I238" s="2">
        <f t="shared" si="42"/>
        <v>0.16778354705873541</v>
      </c>
      <c r="J238" s="2">
        <f t="shared" si="43"/>
        <v>0</v>
      </c>
      <c r="K238" s="2">
        <f t="shared" si="36"/>
        <v>0.24837428943856091</v>
      </c>
      <c r="L238">
        <f t="shared" si="37"/>
        <v>89</v>
      </c>
      <c r="M238" s="2">
        <f t="shared" si="39"/>
        <v>0.2566775976049408</v>
      </c>
      <c r="N238" s="2">
        <f t="shared" si="38"/>
        <v>0</v>
      </c>
      <c r="O238" s="2">
        <f t="shared" si="44"/>
        <v>0.99631751227495891</v>
      </c>
      <c r="P238">
        <f t="shared" si="45"/>
        <v>0</v>
      </c>
      <c r="Q238">
        <f t="shared" si="46"/>
        <v>0</v>
      </c>
      <c r="R238">
        <f t="shared" si="47"/>
        <v>0</v>
      </c>
    </row>
    <row r="239" spans="1:18" x14ac:dyDescent="0.3">
      <c r="A239" s="1">
        <v>45651</v>
      </c>
      <c r="B239">
        <v>23220.13</v>
      </c>
      <c r="C239" s="2">
        <f t="shared" si="48"/>
        <v>4.3111505028150801E-3</v>
      </c>
      <c r="D239">
        <f t="shared" si="49"/>
        <v>1</v>
      </c>
      <c r="E239" s="2">
        <f t="shared" si="50"/>
        <v>4.3111505028150801E-3</v>
      </c>
      <c r="F239" s="2">
        <f t="shared" si="51"/>
        <v>4.3111505028150801E-3</v>
      </c>
      <c r="G239" s="2">
        <f t="shared" si="40"/>
        <v>-3.7498278634016478E-3</v>
      </c>
      <c r="H239">
        <f t="shared" si="41"/>
        <v>90</v>
      </c>
      <c r="I239" s="2">
        <f t="shared" si="42"/>
        <v>0.16779145616728608</v>
      </c>
      <c r="J239" s="2">
        <f t="shared" si="43"/>
        <v>0</v>
      </c>
      <c r="K239" s="2">
        <f t="shared" si="36"/>
        <v>0.26736234161621669</v>
      </c>
      <c r="L239">
        <f t="shared" si="37"/>
        <v>87</v>
      </c>
      <c r="M239" s="2">
        <f t="shared" si="39"/>
        <v>0.25677189245301923</v>
      </c>
      <c r="N239" s="2">
        <f t="shared" si="38"/>
        <v>0</v>
      </c>
      <c r="O239" s="2">
        <f t="shared" si="44"/>
        <v>0</v>
      </c>
      <c r="P239">
        <f t="shared" si="45"/>
        <v>0</v>
      </c>
      <c r="Q239">
        <f t="shared" si="46"/>
        <v>1</v>
      </c>
      <c r="R239">
        <f t="shared" si="47"/>
        <v>1</v>
      </c>
    </row>
    <row r="240" spans="1:18" x14ac:dyDescent="0.3">
      <c r="A240" s="1">
        <v>45652</v>
      </c>
      <c r="B240">
        <v>23246.94</v>
      </c>
      <c r="C240" s="2">
        <f t="shared" si="48"/>
        <v>1.1539355924503802E-3</v>
      </c>
      <c r="D240">
        <f t="shared" si="49"/>
        <v>1</v>
      </c>
      <c r="E240" s="2">
        <f t="shared" si="50"/>
        <v>1.1539355924503802E-3</v>
      </c>
      <c r="F240" s="2">
        <f t="shared" si="51"/>
        <v>1.1539355924503802E-3</v>
      </c>
      <c r="G240" s="2">
        <f t="shared" si="40"/>
        <v>0.15022937689084606</v>
      </c>
      <c r="H240">
        <f t="shared" si="41"/>
        <v>90</v>
      </c>
      <c r="I240" s="2">
        <f t="shared" si="42"/>
        <v>0.16777296214774987</v>
      </c>
      <c r="J240" s="2">
        <f t="shared" si="43"/>
        <v>0</v>
      </c>
      <c r="K240" s="2">
        <f t="shared" si="36"/>
        <v>0.30144970132337223</v>
      </c>
      <c r="L240">
        <f t="shared" si="37"/>
        <v>87</v>
      </c>
      <c r="M240" s="2">
        <f t="shared" si="39"/>
        <v>0.25637570618850986</v>
      </c>
      <c r="N240" s="2">
        <f t="shared" si="38"/>
        <v>0</v>
      </c>
      <c r="O240" s="2">
        <f t="shared" si="44"/>
        <v>0</v>
      </c>
      <c r="P240">
        <f t="shared" si="45"/>
        <v>0</v>
      </c>
      <c r="Q240">
        <f t="shared" si="46"/>
        <v>1</v>
      </c>
      <c r="R240">
        <f t="shared" si="47"/>
        <v>1</v>
      </c>
    </row>
    <row r="241" spans="1:18" x14ac:dyDescent="0.3">
      <c r="A241" s="1">
        <v>45653</v>
      </c>
      <c r="B241">
        <v>23275.68</v>
      </c>
      <c r="C241" s="2">
        <f t="shared" si="48"/>
        <v>1.2355281648386437E-3</v>
      </c>
      <c r="D241">
        <f t="shared" si="49"/>
        <v>1</v>
      </c>
      <c r="E241" s="2">
        <f t="shared" si="50"/>
        <v>1.2355281648386437E-3</v>
      </c>
      <c r="F241" s="2">
        <f t="shared" si="51"/>
        <v>1.2355281648386437E-3</v>
      </c>
      <c r="G241" s="2">
        <f t="shared" si="40"/>
        <v>0.21581561439359467</v>
      </c>
      <c r="H241">
        <f t="shared" si="41"/>
        <v>88</v>
      </c>
      <c r="I241" s="2">
        <f t="shared" si="42"/>
        <v>0.16332471058905598</v>
      </c>
      <c r="J241" s="2">
        <f t="shared" si="43"/>
        <v>0</v>
      </c>
      <c r="K241" s="2">
        <f t="shared" si="36"/>
        <v>0.30144970132337223</v>
      </c>
      <c r="L241">
        <f t="shared" si="37"/>
        <v>89</v>
      </c>
      <c r="M241" s="2">
        <f t="shared" si="39"/>
        <v>0.25546452017483295</v>
      </c>
      <c r="N241" s="2">
        <f t="shared" si="38"/>
        <v>0</v>
      </c>
      <c r="O241" s="2">
        <f t="shared" si="44"/>
        <v>0</v>
      </c>
      <c r="P241">
        <f t="shared" si="45"/>
        <v>0</v>
      </c>
      <c r="Q241">
        <f t="shared" si="46"/>
        <v>1</v>
      </c>
      <c r="R241">
        <f t="shared" si="47"/>
        <v>1</v>
      </c>
    </row>
    <row r="242" spans="1:18" x14ac:dyDescent="0.3">
      <c r="A242" s="1">
        <v>45656</v>
      </c>
      <c r="B242">
        <v>23190.2</v>
      </c>
      <c r="C242" s="2">
        <f t="shared" si="48"/>
        <v>-3.6792629959175459E-3</v>
      </c>
      <c r="D242">
        <f t="shared" si="49"/>
        <v>3</v>
      </c>
      <c r="E242" s="2">
        <f t="shared" si="50"/>
        <v>-1.226420998639182E-3</v>
      </c>
      <c r="F242" s="2">
        <f t="shared" si="51"/>
        <v>-2.1242234811124244E-3</v>
      </c>
      <c r="G242" s="2">
        <f t="shared" si="40"/>
        <v>0.15022937689084606</v>
      </c>
      <c r="H242">
        <f t="shared" si="41"/>
        <v>90</v>
      </c>
      <c r="I242" s="2">
        <f t="shared" si="42"/>
        <v>0.16243015719865533</v>
      </c>
      <c r="J242" s="2">
        <f t="shared" si="43"/>
        <v>5.5149270369469075E-3</v>
      </c>
      <c r="K242" s="2">
        <f t="shared" si="36"/>
        <v>0.26736234161621669</v>
      </c>
      <c r="L242">
        <f t="shared" si="37"/>
        <v>89</v>
      </c>
      <c r="M242" s="2">
        <f>_xlfn.STDEV.S(F123:F242)*SQRT(365)</f>
        <v>0.25418923259424947</v>
      </c>
      <c r="N242" s="2">
        <f t="shared" si="38"/>
        <v>4.0106716361276145E-3</v>
      </c>
      <c r="O242" s="2">
        <f t="shared" si="44"/>
        <v>0</v>
      </c>
      <c r="P242">
        <f t="shared" si="45"/>
        <v>0</v>
      </c>
      <c r="Q242">
        <f t="shared" si="46"/>
        <v>1</v>
      </c>
      <c r="R242">
        <f t="shared" si="47"/>
        <v>1</v>
      </c>
    </row>
    <row r="243" spans="1:18" x14ac:dyDescent="0.3">
      <c r="A243" s="1">
        <v>45657</v>
      </c>
      <c r="B243">
        <v>23035.1</v>
      </c>
      <c r="C243" s="2">
        <f t="shared" si="48"/>
        <v>-6.7106360389824239E-3</v>
      </c>
      <c r="D243">
        <f t="shared" si="49"/>
        <v>1</v>
      </c>
      <c r="E243" s="2">
        <f t="shared" si="50"/>
        <v>-6.7106360389824239E-3</v>
      </c>
      <c r="F243" s="2">
        <f t="shared" si="51"/>
        <v>-6.7106360389824239E-3</v>
      </c>
      <c r="G243" s="2">
        <f t="shared" si="40"/>
        <v>0.15022937689084606</v>
      </c>
      <c r="H243">
        <f t="shared" si="41"/>
        <v>88</v>
      </c>
      <c r="I243" s="2">
        <f t="shared" si="42"/>
        <v>0.16320082844670619</v>
      </c>
      <c r="J243" s="2">
        <f t="shared" si="43"/>
        <v>1.6644309887636637E-2</v>
      </c>
      <c r="K243" s="2">
        <f t="shared" si="36"/>
        <v>0.24837428943856091</v>
      </c>
      <c r="L243">
        <f t="shared" si="37"/>
        <v>91</v>
      </c>
      <c r="M243" s="2">
        <f>_xlfn.STDEV.S(F124:F243)*SQRT(365)</f>
        <v>0.25446207463940773</v>
      </c>
      <c r="N243" s="2">
        <f t="shared" si="38"/>
        <v>1.1890987832635806E-2</v>
      </c>
      <c r="O243" s="2">
        <f t="shared" si="44"/>
        <v>0</v>
      </c>
      <c r="P243">
        <f t="shared" si="45"/>
        <v>0</v>
      </c>
      <c r="Q243">
        <f t="shared" si="46"/>
        <v>1</v>
      </c>
      <c r="R243">
        <f t="shared" si="47"/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EF6F-4C06-4658-825D-A96DE6DA4845}">
  <dimension ref="A1:AH247"/>
  <sheetViews>
    <sheetView tabSelected="1" topLeftCell="W1" workbookViewId="0">
      <selection activeCell="AD1" sqref="AD1"/>
    </sheetView>
  </sheetViews>
  <sheetFormatPr defaultRowHeight="16.2" x14ac:dyDescent="0.3"/>
  <cols>
    <col min="1" max="1" width="12.88671875" customWidth="1"/>
    <col min="2" max="2" width="15.21875" style="3" customWidth="1"/>
    <col min="3" max="3" width="13.88671875" style="3" customWidth="1"/>
    <col min="4" max="4" width="15.109375" style="3" customWidth="1"/>
    <col min="5" max="5" width="12.77734375" style="3" customWidth="1"/>
    <col min="20" max="21" width="8.88671875" customWidth="1"/>
    <col min="22" max="22" width="10.88671875" style="3" customWidth="1"/>
    <col min="23" max="23" width="13.109375" style="3" customWidth="1"/>
    <col min="24" max="24" width="18.33203125" style="3" customWidth="1"/>
    <col min="25" max="25" width="9.6640625" style="3" bestFit="1" customWidth="1"/>
    <col min="26" max="26" width="11" style="3" customWidth="1"/>
    <col min="27" max="27" width="18" style="3" customWidth="1"/>
    <col min="28" max="28" width="16.5546875" customWidth="1"/>
    <col min="29" max="29" width="17.21875" customWidth="1"/>
    <col min="30" max="30" width="30.109375" customWidth="1"/>
    <col min="32" max="32" width="16.5546875" customWidth="1"/>
    <col min="33" max="33" width="17.21875" customWidth="1"/>
    <col min="34" max="34" width="26.6640625" customWidth="1"/>
  </cols>
  <sheetData>
    <row r="1" spans="1:34" x14ac:dyDescent="0.3">
      <c r="A1" t="s">
        <v>0</v>
      </c>
      <c r="B1" s="3" t="s">
        <v>27</v>
      </c>
      <c r="C1" s="3" t="s">
        <v>28</v>
      </c>
      <c r="D1" s="3" t="s">
        <v>29</v>
      </c>
      <c r="E1" s="3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s="3" t="s">
        <v>6</v>
      </c>
      <c r="W1" s="3" t="s">
        <v>9</v>
      </c>
      <c r="X1" s="3" t="s">
        <v>10</v>
      </c>
      <c r="Y1" s="3" t="s">
        <v>12</v>
      </c>
      <c r="Z1" s="3" t="s">
        <v>15</v>
      </c>
      <c r="AA1" s="3" t="s">
        <v>17</v>
      </c>
      <c r="AB1" t="s">
        <v>48</v>
      </c>
      <c r="AC1" t="s">
        <v>49</v>
      </c>
      <c r="AD1" t="s">
        <v>50</v>
      </c>
    </row>
    <row r="2" spans="1:34" x14ac:dyDescent="0.3">
      <c r="A2" s="1">
        <v>45293</v>
      </c>
      <c r="B2" s="3">
        <v>3.9710172000000002E-2</v>
      </c>
      <c r="C2" s="3">
        <v>2.8701719000000001E-2</v>
      </c>
      <c r="D2" s="3">
        <v>6.499365E-2</v>
      </c>
      <c r="E2" s="3">
        <v>6.6382773000000006E-2</v>
      </c>
      <c r="AB2">
        <v>0</v>
      </c>
      <c r="AC2">
        <v>1</v>
      </c>
      <c r="AD2">
        <v>1</v>
      </c>
      <c r="AF2" t="s">
        <v>47</v>
      </c>
      <c r="AG2" t="s">
        <v>49</v>
      </c>
      <c r="AH2" t="s">
        <v>50</v>
      </c>
    </row>
    <row r="3" spans="1:34" x14ac:dyDescent="0.3">
      <c r="A3" s="1">
        <v>45294</v>
      </c>
      <c r="B3" s="3">
        <v>5.5514835999999998E-2</v>
      </c>
      <c r="C3" s="3">
        <v>3.9195120999999999E-2</v>
      </c>
      <c r="D3" s="3">
        <v>2.9748783000000001E-2</v>
      </c>
      <c r="E3" s="3">
        <v>5.3908866E-2</v>
      </c>
      <c r="F3" s="3">
        <v>3.9710172000000002E-2</v>
      </c>
      <c r="G3" s="3">
        <v>2.8701719000000001E-2</v>
      </c>
      <c r="H3" s="3">
        <v>6.499365E-2</v>
      </c>
      <c r="I3" s="3">
        <v>6.6382773000000006E-2</v>
      </c>
      <c r="AB3">
        <v>0</v>
      </c>
      <c r="AC3">
        <v>0</v>
      </c>
      <c r="AD3">
        <v>0</v>
      </c>
      <c r="AE3" t="s">
        <v>51</v>
      </c>
      <c r="AF3">
        <v>98</v>
      </c>
      <c r="AG3">
        <v>48</v>
      </c>
      <c r="AH3">
        <v>146</v>
      </c>
    </row>
    <row r="4" spans="1:34" x14ac:dyDescent="0.3">
      <c r="A4" s="1">
        <v>45295</v>
      </c>
      <c r="B4" s="3">
        <v>9.4236792E-2</v>
      </c>
      <c r="C4" s="3">
        <v>4.0751470999999997E-2</v>
      </c>
      <c r="D4" s="3">
        <v>0.115692117</v>
      </c>
      <c r="E4" s="3">
        <v>5.4674694000000003E-2</v>
      </c>
      <c r="F4" s="3">
        <v>5.5514835999999998E-2</v>
      </c>
      <c r="G4" s="3">
        <v>3.9195120999999999E-2</v>
      </c>
      <c r="H4" s="3">
        <v>2.9748783000000001E-2</v>
      </c>
      <c r="I4" s="3">
        <v>5.3908866E-2</v>
      </c>
      <c r="J4" s="3">
        <v>3.9710172000000002E-2</v>
      </c>
      <c r="K4" s="3">
        <v>2.8701719000000001E-2</v>
      </c>
      <c r="L4" s="3">
        <v>6.499365E-2</v>
      </c>
      <c r="M4" s="3">
        <v>6.6382773000000006E-2</v>
      </c>
      <c r="AB4">
        <v>0</v>
      </c>
      <c r="AC4">
        <v>0</v>
      </c>
      <c r="AD4">
        <v>0</v>
      </c>
      <c r="AE4" t="s">
        <v>52</v>
      </c>
      <c r="AF4">
        <v>143</v>
      </c>
      <c r="AG4">
        <v>194</v>
      </c>
      <c r="AH4">
        <v>96</v>
      </c>
    </row>
    <row r="5" spans="1:34" x14ac:dyDescent="0.3">
      <c r="A5" s="1">
        <v>45296</v>
      </c>
      <c r="B5" s="3">
        <v>9.6919545999999995E-2</v>
      </c>
      <c r="C5" s="3">
        <v>2.8727039999999999E-2</v>
      </c>
      <c r="D5" s="3">
        <v>7.9308442000000007E-2</v>
      </c>
      <c r="E5" s="3">
        <v>3.579065E-2</v>
      </c>
      <c r="F5" s="3">
        <v>9.4236792E-2</v>
      </c>
      <c r="G5" s="3">
        <v>4.0751470999999997E-2</v>
      </c>
      <c r="H5" s="3">
        <v>0.115692117</v>
      </c>
      <c r="I5" s="3">
        <v>5.4674694000000003E-2</v>
      </c>
      <c r="J5" s="3">
        <v>5.5514835999999998E-2</v>
      </c>
      <c r="K5" s="3">
        <v>3.9195120999999999E-2</v>
      </c>
      <c r="L5" s="3">
        <v>2.9748783000000001E-2</v>
      </c>
      <c r="M5" s="3">
        <v>5.3908866E-2</v>
      </c>
      <c r="N5" s="3">
        <v>3.9710172000000002E-2</v>
      </c>
      <c r="O5" s="3">
        <v>2.8701719000000001E-2</v>
      </c>
      <c r="P5" s="3">
        <v>6.499365E-2</v>
      </c>
      <c r="Q5" s="3">
        <v>6.6382773000000006E-2</v>
      </c>
      <c r="AB5">
        <v>0</v>
      </c>
      <c r="AC5">
        <v>0</v>
      </c>
      <c r="AD5">
        <v>0</v>
      </c>
      <c r="AF5">
        <v>241</v>
      </c>
      <c r="AG5">
        <v>242</v>
      </c>
      <c r="AH5">
        <v>242</v>
      </c>
    </row>
    <row r="6" spans="1:34" x14ac:dyDescent="0.3">
      <c r="A6" s="1">
        <v>45299</v>
      </c>
      <c r="B6" s="3">
        <v>8.5439407999999994E-2</v>
      </c>
      <c r="C6" s="3">
        <v>3.6640204000000003E-2</v>
      </c>
      <c r="D6" s="3">
        <v>8.6862537000000004E-2</v>
      </c>
      <c r="E6" s="3">
        <v>5.1259002999999997E-2</v>
      </c>
      <c r="F6" s="3">
        <v>9.6919545999999995E-2</v>
      </c>
      <c r="G6" s="3">
        <v>2.8727039999999999E-2</v>
      </c>
      <c r="H6" s="3">
        <v>7.9308442000000007E-2</v>
      </c>
      <c r="I6" s="3">
        <v>3.579065E-2</v>
      </c>
      <c r="J6" s="3">
        <v>9.4236792E-2</v>
      </c>
      <c r="K6" s="3">
        <v>4.0751470999999997E-2</v>
      </c>
      <c r="L6" s="3">
        <v>0.115692117</v>
      </c>
      <c r="M6" s="3">
        <v>5.4674694000000003E-2</v>
      </c>
      <c r="N6" s="3">
        <v>5.5514835999999998E-2</v>
      </c>
      <c r="O6" s="3">
        <v>3.9195120999999999E-2</v>
      </c>
      <c r="P6" s="3">
        <v>2.9748783000000001E-2</v>
      </c>
      <c r="Q6" s="3">
        <v>5.3908866E-2</v>
      </c>
      <c r="R6" s="3">
        <v>3.9710172000000002E-2</v>
      </c>
      <c r="S6" s="3">
        <v>2.8701719000000001E-2</v>
      </c>
      <c r="T6" s="3">
        <v>6.499365E-2</v>
      </c>
      <c r="U6" s="3">
        <v>6.6382773000000006E-2</v>
      </c>
      <c r="AB6">
        <v>0</v>
      </c>
      <c r="AC6">
        <v>0</v>
      </c>
      <c r="AD6">
        <v>0</v>
      </c>
    </row>
    <row r="7" spans="1:34" x14ac:dyDescent="0.3">
      <c r="A7" s="1">
        <v>45300</v>
      </c>
      <c r="B7" s="3">
        <v>8.7263287999999994E-2</v>
      </c>
      <c r="C7" s="3">
        <v>4.1776028E-2</v>
      </c>
      <c r="D7" s="3">
        <v>4.5973346999999998E-2</v>
      </c>
      <c r="E7" s="3">
        <v>5.8049163000000001E-2</v>
      </c>
      <c r="F7" s="3">
        <v>8.5439407999999994E-2</v>
      </c>
      <c r="G7" s="3">
        <v>3.6640204000000003E-2</v>
      </c>
      <c r="H7" s="3">
        <v>8.6862537000000004E-2</v>
      </c>
      <c r="I7" s="3">
        <v>5.1259002999999997E-2</v>
      </c>
      <c r="J7" s="3">
        <v>9.6919545999999995E-2</v>
      </c>
      <c r="K7" s="3">
        <v>2.8727039999999999E-2</v>
      </c>
      <c r="L7" s="3">
        <v>7.9308442000000007E-2</v>
      </c>
      <c r="M7" s="3">
        <v>3.579065E-2</v>
      </c>
      <c r="N7" s="3">
        <v>9.4236792E-2</v>
      </c>
      <c r="O7" s="3">
        <v>4.0751470999999997E-2</v>
      </c>
      <c r="P7" s="3">
        <v>0.115692117</v>
      </c>
      <c r="Q7" s="3">
        <v>5.4674694000000003E-2</v>
      </c>
      <c r="R7" s="3">
        <v>5.5514835999999998E-2</v>
      </c>
      <c r="S7" s="3">
        <v>3.9195120999999999E-2</v>
      </c>
      <c r="T7" s="3">
        <v>2.9748783000000001E-2</v>
      </c>
      <c r="U7" s="3">
        <v>5.3908866E-2</v>
      </c>
      <c r="AB7">
        <v>0</v>
      </c>
      <c r="AC7">
        <v>0</v>
      </c>
      <c r="AD7">
        <v>0</v>
      </c>
    </row>
    <row r="8" spans="1:34" x14ac:dyDescent="0.3">
      <c r="A8" s="1">
        <v>45301</v>
      </c>
      <c r="B8" s="3">
        <v>6.3309223999999997E-2</v>
      </c>
      <c r="C8" s="3">
        <v>5.1928647000000001E-2</v>
      </c>
      <c r="D8" s="3">
        <v>5.6437434000000002E-2</v>
      </c>
      <c r="E8" s="3">
        <v>7.3707754E-2</v>
      </c>
      <c r="F8" s="3">
        <v>8.7263287999999994E-2</v>
      </c>
      <c r="G8" s="3">
        <v>4.1776028E-2</v>
      </c>
      <c r="H8" s="3">
        <v>4.5973346999999998E-2</v>
      </c>
      <c r="I8" s="3">
        <v>5.8049163000000001E-2</v>
      </c>
      <c r="J8" s="3">
        <v>8.5439407999999994E-2</v>
      </c>
      <c r="K8" s="3">
        <v>3.6640204000000003E-2</v>
      </c>
      <c r="L8" s="3">
        <v>8.6862537000000004E-2</v>
      </c>
      <c r="M8" s="3">
        <v>5.1259002999999997E-2</v>
      </c>
      <c r="N8" s="3">
        <v>9.6919545999999995E-2</v>
      </c>
      <c r="O8" s="3">
        <v>2.8727039999999999E-2</v>
      </c>
      <c r="P8" s="3">
        <v>7.9308442000000007E-2</v>
      </c>
      <c r="Q8" s="3">
        <v>3.579065E-2</v>
      </c>
      <c r="R8" s="3">
        <v>9.4236792E-2</v>
      </c>
      <c r="S8" s="3">
        <v>4.0751470999999997E-2</v>
      </c>
      <c r="T8" s="3">
        <v>0.115692117</v>
      </c>
      <c r="U8" s="3">
        <v>5.4674694000000003E-2</v>
      </c>
      <c r="AB8">
        <v>0</v>
      </c>
      <c r="AC8">
        <v>1</v>
      </c>
      <c r="AD8">
        <v>1</v>
      </c>
    </row>
    <row r="9" spans="1:34" x14ac:dyDescent="0.3">
      <c r="A9" s="1">
        <v>45302</v>
      </c>
      <c r="B9" s="3">
        <v>0.198619186</v>
      </c>
      <c r="C9" s="3">
        <v>9.9837549999999997E-2</v>
      </c>
      <c r="D9" s="3">
        <v>0.222400124</v>
      </c>
      <c r="E9" s="3">
        <v>5.3978643999999999E-2</v>
      </c>
      <c r="F9" s="3">
        <v>6.3309223999999997E-2</v>
      </c>
      <c r="G9" s="3">
        <v>5.1928647000000001E-2</v>
      </c>
      <c r="H9" s="3">
        <v>5.6437434000000002E-2</v>
      </c>
      <c r="I9" s="3">
        <v>7.3707754E-2</v>
      </c>
      <c r="J9" s="3">
        <v>8.7263287999999994E-2</v>
      </c>
      <c r="K9" s="3">
        <v>4.1776028E-2</v>
      </c>
      <c r="L9" s="3">
        <v>4.5973346999999998E-2</v>
      </c>
      <c r="M9" s="3">
        <v>5.8049163000000001E-2</v>
      </c>
      <c r="N9" s="3">
        <v>8.5439407999999994E-2</v>
      </c>
      <c r="O9" s="3">
        <v>3.6640204000000003E-2</v>
      </c>
      <c r="P9" s="3">
        <v>8.6862537000000004E-2</v>
      </c>
      <c r="Q9" s="3">
        <v>5.1259002999999997E-2</v>
      </c>
      <c r="R9" s="3">
        <v>9.6919545999999995E-2</v>
      </c>
      <c r="S9" s="3">
        <v>2.8727039999999999E-2</v>
      </c>
      <c r="T9" s="3">
        <v>7.9308442000000007E-2</v>
      </c>
      <c r="U9" s="3">
        <v>3.579065E-2</v>
      </c>
      <c r="AB9">
        <v>0</v>
      </c>
      <c r="AC9">
        <v>1</v>
      </c>
      <c r="AD9">
        <v>1</v>
      </c>
    </row>
    <row r="10" spans="1:34" x14ac:dyDescent="0.3">
      <c r="A10" s="1">
        <v>45303</v>
      </c>
      <c r="B10" s="3">
        <v>0.216694053</v>
      </c>
      <c r="C10" s="3">
        <v>6.8704821999999999E-2</v>
      </c>
      <c r="D10" s="3">
        <v>0.25347420700000001</v>
      </c>
      <c r="E10" s="3">
        <v>7.5970282E-2</v>
      </c>
      <c r="F10" s="3">
        <v>0.198619186</v>
      </c>
      <c r="G10" s="3">
        <v>9.9837549999999997E-2</v>
      </c>
      <c r="H10" s="3">
        <v>0.222400124</v>
      </c>
      <c r="I10" s="3">
        <v>5.3978643999999999E-2</v>
      </c>
      <c r="J10" s="3">
        <v>6.3309223999999997E-2</v>
      </c>
      <c r="K10" s="3">
        <v>5.1928647000000001E-2</v>
      </c>
      <c r="L10" s="3">
        <v>5.6437434000000002E-2</v>
      </c>
      <c r="M10" s="3">
        <v>7.3707754E-2</v>
      </c>
      <c r="N10" s="3">
        <v>8.7263287999999994E-2</v>
      </c>
      <c r="O10" s="3">
        <v>4.1776028E-2</v>
      </c>
      <c r="P10" s="3">
        <v>4.5973346999999998E-2</v>
      </c>
      <c r="Q10" s="3">
        <v>5.8049163000000001E-2</v>
      </c>
      <c r="R10" s="3">
        <v>8.5439407999999994E-2</v>
      </c>
      <c r="S10" s="3">
        <v>3.6640204000000003E-2</v>
      </c>
      <c r="T10" s="3">
        <v>8.6862537000000004E-2</v>
      </c>
      <c r="U10" s="3">
        <v>5.1259002999999997E-2</v>
      </c>
      <c r="AB10">
        <v>0</v>
      </c>
      <c r="AC10">
        <v>0</v>
      </c>
      <c r="AD10">
        <v>0</v>
      </c>
    </row>
    <row r="11" spans="1:34" x14ac:dyDescent="0.3">
      <c r="A11" s="1">
        <v>45306</v>
      </c>
      <c r="B11" s="3">
        <v>0.20691504699999999</v>
      </c>
      <c r="C11" s="3">
        <v>8.3684486000000002E-2</v>
      </c>
      <c r="D11" s="3">
        <v>0.23358148100000001</v>
      </c>
      <c r="E11" s="3">
        <v>0.15584545799999999</v>
      </c>
      <c r="F11" s="3">
        <v>0.216694053</v>
      </c>
      <c r="G11" s="3">
        <v>6.8704821999999999E-2</v>
      </c>
      <c r="H11" s="3">
        <v>0.25347420700000001</v>
      </c>
      <c r="I11" s="3">
        <v>7.5970282E-2</v>
      </c>
      <c r="J11" s="3">
        <v>0.198619186</v>
      </c>
      <c r="K11" s="3">
        <v>9.9837549999999997E-2</v>
      </c>
      <c r="L11" s="3">
        <v>0.222400124</v>
      </c>
      <c r="M11" s="3">
        <v>5.3978643999999999E-2</v>
      </c>
      <c r="N11" s="3">
        <v>6.3309223999999997E-2</v>
      </c>
      <c r="O11" s="3">
        <v>5.1928647000000001E-2</v>
      </c>
      <c r="P11" s="3">
        <v>5.6437434000000002E-2</v>
      </c>
      <c r="Q11" s="3">
        <v>7.3707754E-2</v>
      </c>
      <c r="R11" s="3">
        <v>8.7263287999999994E-2</v>
      </c>
      <c r="S11" s="3">
        <v>4.1776028E-2</v>
      </c>
      <c r="T11" s="3">
        <v>4.5973346999999998E-2</v>
      </c>
      <c r="U11" s="3">
        <v>5.8049163000000001E-2</v>
      </c>
      <c r="AB11">
        <v>1</v>
      </c>
      <c r="AC11">
        <v>0</v>
      </c>
      <c r="AD11">
        <v>1</v>
      </c>
    </row>
    <row r="12" spans="1:34" x14ac:dyDescent="0.3">
      <c r="A12" s="1">
        <v>45307</v>
      </c>
      <c r="B12" s="3">
        <v>0.244746621</v>
      </c>
      <c r="C12" s="3">
        <v>0.134444496</v>
      </c>
      <c r="D12" s="3">
        <v>0.17208348100000001</v>
      </c>
      <c r="E12" s="3">
        <v>0.17588584299999999</v>
      </c>
      <c r="F12" s="3">
        <v>0.20691504699999999</v>
      </c>
      <c r="G12" s="3">
        <v>8.3684486000000002E-2</v>
      </c>
      <c r="H12" s="3">
        <v>0.23358148100000001</v>
      </c>
      <c r="I12" s="3">
        <v>0.15584545799999999</v>
      </c>
      <c r="J12" s="3">
        <v>0.216694053</v>
      </c>
      <c r="K12" s="3">
        <v>6.8704821999999999E-2</v>
      </c>
      <c r="L12" s="3">
        <v>0.25347420700000001</v>
      </c>
      <c r="M12" s="3">
        <v>7.5970282E-2</v>
      </c>
      <c r="N12" s="3">
        <v>0.198619186</v>
      </c>
      <c r="O12" s="3">
        <v>9.9837549999999997E-2</v>
      </c>
      <c r="P12" s="3">
        <v>0.222400124</v>
      </c>
      <c r="Q12" s="3">
        <v>5.3978643999999999E-2</v>
      </c>
      <c r="R12" s="3">
        <v>6.3309223999999997E-2</v>
      </c>
      <c r="S12" s="3">
        <v>5.1928647000000001E-2</v>
      </c>
      <c r="T12" s="3">
        <v>5.6437434000000002E-2</v>
      </c>
      <c r="U12" s="3">
        <v>7.3707754E-2</v>
      </c>
      <c r="AB12">
        <v>1</v>
      </c>
      <c r="AC12">
        <v>0</v>
      </c>
      <c r="AD12">
        <v>1</v>
      </c>
    </row>
    <row r="13" spans="1:34" x14ac:dyDescent="0.3">
      <c r="A13" s="1">
        <v>45308</v>
      </c>
      <c r="B13" s="3">
        <v>3.6566003999999999E-2</v>
      </c>
      <c r="C13" s="3">
        <v>2.9511638E-2</v>
      </c>
      <c r="D13" s="3">
        <v>2.3375652E-2</v>
      </c>
      <c r="E13" s="3">
        <v>3.9390776000000002E-2</v>
      </c>
      <c r="F13" s="3">
        <v>0.244746621</v>
      </c>
      <c r="G13" s="3">
        <v>0.134444496</v>
      </c>
      <c r="H13" s="3">
        <v>0.17208348100000001</v>
      </c>
      <c r="I13" s="3">
        <v>0.17588584299999999</v>
      </c>
      <c r="J13" s="3">
        <v>0.20691504699999999</v>
      </c>
      <c r="K13" s="3">
        <v>8.3684486000000002E-2</v>
      </c>
      <c r="L13" s="3">
        <v>0.23358148100000001</v>
      </c>
      <c r="M13" s="3">
        <v>0.15584545799999999</v>
      </c>
      <c r="N13" s="3">
        <v>0.216694053</v>
      </c>
      <c r="O13" s="3">
        <v>6.8704821999999999E-2</v>
      </c>
      <c r="P13" s="3">
        <v>0.25347420700000001</v>
      </c>
      <c r="Q13" s="3">
        <v>7.5970282E-2</v>
      </c>
      <c r="R13" s="3">
        <v>0.198619186</v>
      </c>
      <c r="S13" s="3">
        <v>9.9837549999999997E-2</v>
      </c>
      <c r="T13" s="3">
        <v>0.222400124</v>
      </c>
      <c r="U13" s="3">
        <v>5.3978643999999999E-2</v>
      </c>
      <c r="AB13">
        <v>1</v>
      </c>
      <c r="AC13">
        <v>0</v>
      </c>
      <c r="AD13">
        <v>1</v>
      </c>
    </row>
    <row r="14" spans="1:34" x14ac:dyDescent="0.3">
      <c r="A14" s="1">
        <v>45309</v>
      </c>
      <c r="B14" s="3">
        <v>6.4189426999999993E-2</v>
      </c>
      <c r="C14" s="3">
        <v>2.6652822E-2</v>
      </c>
      <c r="D14" s="3">
        <v>8.0072178999999993E-2</v>
      </c>
      <c r="E14" s="3">
        <v>3.0471328999999998E-2</v>
      </c>
      <c r="F14" s="3">
        <v>3.6566003999999999E-2</v>
      </c>
      <c r="G14" s="3">
        <v>2.9511638E-2</v>
      </c>
      <c r="H14" s="3">
        <v>2.3375652E-2</v>
      </c>
      <c r="I14" s="3">
        <v>3.9390776000000002E-2</v>
      </c>
      <c r="J14" s="3">
        <v>0.244746621</v>
      </c>
      <c r="K14" s="3">
        <v>0.134444496</v>
      </c>
      <c r="L14" s="3">
        <v>0.17208348100000001</v>
      </c>
      <c r="M14" s="3">
        <v>0.17588584299999999</v>
      </c>
      <c r="N14" s="3">
        <v>0.20691504699999999</v>
      </c>
      <c r="O14" s="3">
        <v>8.3684486000000002E-2</v>
      </c>
      <c r="P14" s="3">
        <v>0.23358148100000001</v>
      </c>
      <c r="Q14" s="3">
        <v>0.15584545799999999</v>
      </c>
      <c r="R14" s="3">
        <v>0.216694053</v>
      </c>
      <c r="S14" s="3">
        <v>6.8704821999999999E-2</v>
      </c>
      <c r="T14" s="3">
        <v>0.25347420700000001</v>
      </c>
      <c r="U14" s="3">
        <v>7.5970282E-2</v>
      </c>
      <c r="AB14">
        <v>1</v>
      </c>
      <c r="AC14">
        <v>0</v>
      </c>
      <c r="AD14">
        <v>1</v>
      </c>
    </row>
    <row r="15" spans="1:34" x14ac:dyDescent="0.3">
      <c r="A15" s="1">
        <v>45310</v>
      </c>
      <c r="B15" s="3">
        <v>2.4304791999999999E-2</v>
      </c>
      <c r="C15" s="3">
        <v>2.8693189000000001E-2</v>
      </c>
      <c r="D15" s="3">
        <v>8.7973692000000006E-2</v>
      </c>
      <c r="E15" s="3">
        <v>3.3951231999999998E-2</v>
      </c>
      <c r="F15" s="3">
        <v>6.4189426999999993E-2</v>
      </c>
      <c r="G15" s="3">
        <v>2.6652822E-2</v>
      </c>
      <c r="H15" s="3">
        <v>8.0072178999999993E-2</v>
      </c>
      <c r="I15" s="3">
        <v>3.0471328999999998E-2</v>
      </c>
      <c r="J15" s="3">
        <v>3.6566003999999999E-2</v>
      </c>
      <c r="K15" s="3">
        <v>2.9511638E-2</v>
      </c>
      <c r="L15" s="3">
        <v>2.3375652E-2</v>
      </c>
      <c r="M15" s="3">
        <v>3.9390776000000002E-2</v>
      </c>
      <c r="N15" s="3">
        <v>0.244746621</v>
      </c>
      <c r="O15" s="3">
        <v>0.134444496</v>
      </c>
      <c r="P15" s="3">
        <v>0.17208348100000001</v>
      </c>
      <c r="Q15" s="3">
        <v>0.17588584299999999</v>
      </c>
      <c r="R15" s="3">
        <v>0.20691504699999999</v>
      </c>
      <c r="S15" s="3">
        <v>8.3684486000000002E-2</v>
      </c>
      <c r="T15" s="3">
        <v>0.23358148100000001</v>
      </c>
      <c r="U15" s="3">
        <v>0.15584545799999999</v>
      </c>
      <c r="AB15">
        <v>1</v>
      </c>
      <c r="AC15">
        <v>0</v>
      </c>
      <c r="AD15">
        <v>1</v>
      </c>
    </row>
    <row r="16" spans="1:34" x14ac:dyDescent="0.3">
      <c r="A16" s="1">
        <v>45313</v>
      </c>
      <c r="B16" s="3">
        <v>3.9687707000000003E-2</v>
      </c>
      <c r="C16" s="3">
        <v>3.3681556000000001E-2</v>
      </c>
      <c r="D16" s="3">
        <v>6.6291454999999999E-2</v>
      </c>
      <c r="E16" s="3">
        <v>3.3593986999999999E-2</v>
      </c>
      <c r="F16" s="3">
        <v>2.4304791999999999E-2</v>
      </c>
      <c r="G16" s="3">
        <v>2.8693189000000001E-2</v>
      </c>
      <c r="H16" s="3">
        <v>8.7973692000000006E-2</v>
      </c>
      <c r="I16" s="3">
        <v>3.3951231999999998E-2</v>
      </c>
      <c r="J16" s="3">
        <v>6.4189426999999993E-2</v>
      </c>
      <c r="K16" s="3">
        <v>2.6652822E-2</v>
      </c>
      <c r="L16" s="3">
        <v>8.0072178999999993E-2</v>
      </c>
      <c r="M16" s="3">
        <v>3.0471328999999998E-2</v>
      </c>
      <c r="N16" s="3">
        <v>3.6566003999999999E-2</v>
      </c>
      <c r="O16" s="3">
        <v>2.9511638E-2</v>
      </c>
      <c r="P16" s="3">
        <v>2.3375652E-2</v>
      </c>
      <c r="Q16" s="3">
        <v>3.9390776000000002E-2</v>
      </c>
      <c r="R16" s="3">
        <v>0.244746621</v>
      </c>
      <c r="S16" s="3">
        <v>0.134444496</v>
      </c>
      <c r="T16" s="3">
        <v>0.17208348100000001</v>
      </c>
      <c r="U16" s="3">
        <v>0.17588584299999999</v>
      </c>
      <c r="AB16">
        <v>1</v>
      </c>
      <c r="AC16">
        <v>0</v>
      </c>
      <c r="AD16">
        <v>1</v>
      </c>
    </row>
    <row r="17" spans="1:30" x14ac:dyDescent="0.3">
      <c r="A17" s="1">
        <v>45314</v>
      </c>
      <c r="B17" s="3">
        <v>1.8291519999999999E-2</v>
      </c>
      <c r="C17" s="3">
        <v>2.4834377000000001E-2</v>
      </c>
      <c r="D17" s="3">
        <v>5.0050303999999997E-2</v>
      </c>
      <c r="E17" s="3">
        <v>2.6178516999999998E-2</v>
      </c>
      <c r="F17" s="3">
        <v>3.9687707000000003E-2</v>
      </c>
      <c r="G17" s="3">
        <v>3.3681556000000001E-2</v>
      </c>
      <c r="H17" s="3">
        <v>6.6291454999999999E-2</v>
      </c>
      <c r="I17" s="3">
        <v>3.3593986999999999E-2</v>
      </c>
      <c r="J17" s="3">
        <v>2.4304791999999999E-2</v>
      </c>
      <c r="K17" s="3">
        <v>2.8693189000000001E-2</v>
      </c>
      <c r="L17" s="3">
        <v>8.7973692000000006E-2</v>
      </c>
      <c r="M17" s="3">
        <v>3.3951231999999998E-2</v>
      </c>
      <c r="N17" s="3">
        <v>6.4189426999999993E-2</v>
      </c>
      <c r="O17" s="3">
        <v>2.6652822E-2</v>
      </c>
      <c r="P17" s="3">
        <v>8.0072178999999993E-2</v>
      </c>
      <c r="Q17" s="3">
        <v>3.0471328999999998E-2</v>
      </c>
      <c r="R17" s="3">
        <v>3.6566003999999999E-2</v>
      </c>
      <c r="S17" s="3">
        <v>2.9511638E-2</v>
      </c>
      <c r="T17" s="3">
        <v>2.3375652E-2</v>
      </c>
      <c r="U17" s="3">
        <v>3.9390776000000002E-2</v>
      </c>
      <c r="AB17">
        <v>0</v>
      </c>
      <c r="AC17">
        <v>0</v>
      </c>
      <c r="AD17">
        <v>0</v>
      </c>
    </row>
    <row r="18" spans="1:30" x14ac:dyDescent="0.3">
      <c r="A18" s="1">
        <v>45315</v>
      </c>
      <c r="B18" s="3">
        <v>2.5824324999999999E-2</v>
      </c>
      <c r="C18" s="3">
        <v>2.5767926999999999E-2</v>
      </c>
      <c r="D18" s="3">
        <v>3.3027441999999997E-2</v>
      </c>
      <c r="E18" s="3">
        <v>3.5579909999999999E-2</v>
      </c>
      <c r="F18" s="3">
        <v>1.8291519999999999E-2</v>
      </c>
      <c r="G18" s="3">
        <v>2.4834377000000001E-2</v>
      </c>
      <c r="H18" s="3">
        <v>5.0050303999999997E-2</v>
      </c>
      <c r="I18" s="3">
        <v>2.6178516999999998E-2</v>
      </c>
      <c r="J18" s="3">
        <v>3.9687707000000003E-2</v>
      </c>
      <c r="K18" s="3">
        <v>3.3681556000000001E-2</v>
      </c>
      <c r="L18" s="3">
        <v>6.6291454999999999E-2</v>
      </c>
      <c r="M18" s="3">
        <v>3.3593986999999999E-2</v>
      </c>
      <c r="N18" s="3">
        <v>2.4304791999999999E-2</v>
      </c>
      <c r="O18" s="3">
        <v>2.8693189000000001E-2</v>
      </c>
      <c r="P18" s="3">
        <v>8.7973692000000006E-2</v>
      </c>
      <c r="Q18" s="3">
        <v>3.3951231999999998E-2</v>
      </c>
      <c r="R18" s="3">
        <v>6.4189426999999993E-2</v>
      </c>
      <c r="S18" s="3">
        <v>2.6652822E-2</v>
      </c>
      <c r="T18" s="3">
        <v>8.0072178999999993E-2</v>
      </c>
      <c r="U18" s="3">
        <v>3.0471328999999998E-2</v>
      </c>
      <c r="AB18">
        <v>0</v>
      </c>
      <c r="AC18">
        <v>0</v>
      </c>
      <c r="AD18">
        <v>0</v>
      </c>
    </row>
    <row r="19" spans="1:30" x14ac:dyDescent="0.3">
      <c r="A19" s="1">
        <v>45316</v>
      </c>
      <c r="B19" s="3">
        <v>5.4970115999999999E-2</v>
      </c>
      <c r="C19" s="3">
        <v>2.5035427999999998E-2</v>
      </c>
      <c r="D19" s="3">
        <v>8.5279285999999996E-2</v>
      </c>
      <c r="E19" s="3">
        <v>2.7947955999999999E-2</v>
      </c>
      <c r="F19" s="3">
        <v>2.5824324999999999E-2</v>
      </c>
      <c r="G19" s="3">
        <v>2.5767926999999999E-2</v>
      </c>
      <c r="H19" s="3">
        <v>3.3027441999999997E-2</v>
      </c>
      <c r="I19" s="3">
        <v>3.5579909999999999E-2</v>
      </c>
      <c r="J19" s="3">
        <v>1.8291519999999999E-2</v>
      </c>
      <c r="K19" s="3">
        <v>2.4834377000000001E-2</v>
      </c>
      <c r="L19" s="3">
        <v>5.0050303999999997E-2</v>
      </c>
      <c r="M19" s="3">
        <v>2.6178516999999998E-2</v>
      </c>
      <c r="N19" s="3">
        <v>3.9687707000000003E-2</v>
      </c>
      <c r="O19" s="3">
        <v>3.3681556000000001E-2</v>
      </c>
      <c r="P19" s="3">
        <v>6.6291454999999999E-2</v>
      </c>
      <c r="Q19" s="3">
        <v>3.3593986999999999E-2</v>
      </c>
      <c r="R19" s="3">
        <v>2.4304791999999999E-2</v>
      </c>
      <c r="S19" s="3">
        <v>2.8693189000000001E-2</v>
      </c>
      <c r="T19" s="3">
        <v>8.7973692000000006E-2</v>
      </c>
      <c r="U19" s="3">
        <v>3.3951231999999998E-2</v>
      </c>
      <c r="AB19">
        <v>0</v>
      </c>
      <c r="AC19">
        <v>0</v>
      </c>
      <c r="AD19">
        <v>0</v>
      </c>
    </row>
    <row r="20" spans="1:30" x14ac:dyDescent="0.3">
      <c r="A20" s="1">
        <v>45317</v>
      </c>
      <c r="B20" s="3">
        <v>6.0663158000000002E-2</v>
      </c>
      <c r="C20" s="3">
        <v>3.2661930999999998E-2</v>
      </c>
      <c r="D20" s="3">
        <v>7.2366627000000003E-2</v>
      </c>
      <c r="E20" s="3">
        <v>2.6394514000000001E-2</v>
      </c>
      <c r="F20" s="3">
        <v>5.4970115999999999E-2</v>
      </c>
      <c r="G20" s="3">
        <v>2.5035427999999998E-2</v>
      </c>
      <c r="H20" s="3">
        <v>8.5279285999999996E-2</v>
      </c>
      <c r="I20" s="3">
        <v>2.7947955999999999E-2</v>
      </c>
      <c r="J20" s="3">
        <v>2.5824324999999999E-2</v>
      </c>
      <c r="K20" s="3">
        <v>2.5767926999999999E-2</v>
      </c>
      <c r="L20" s="3">
        <v>3.3027441999999997E-2</v>
      </c>
      <c r="M20" s="3">
        <v>3.5579909999999999E-2</v>
      </c>
      <c r="N20" s="3">
        <v>1.8291519999999999E-2</v>
      </c>
      <c r="O20" s="3">
        <v>2.4834377000000001E-2</v>
      </c>
      <c r="P20" s="3">
        <v>5.0050303999999997E-2</v>
      </c>
      <c r="Q20" s="3">
        <v>2.6178516999999998E-2</v>
      </c>
      <c r="R20" s="3">
        <v>3.9687707000000003E-2</v>
      </c>
      <c r="S20" s="3">
        <v>3.3681556000000001E-2</v>
      </c>
      <c r="T20" s="3">
        <v>6.6291454999999999E-2</v>
      </c>
      <c r="U20" s="3">
        <v>3.3593986999999999E-2</v>
      </c>
      <c r="AB20">
        <v>0</v>
      </c>
      <c r="AC20">
        <v>0</v>
      </c>
      <c r="AD20">
        <v>0</v>
      </c>
    </row>
    <row r="21" spans="1:30" x14ac:dyDescent="0.3">
      <c r="A21" s="1">
        <v>45320</v>
      </c>
      <c r="B21" s="3">
        <v>3.193998E-2</v>
      </c>
      <c r="C21" s="3">
        <v>3.2217091000000003E-2</v>
      </c>
      <c r="D21" s="3">
        <v>6.6722523000000006E-2</v>
      </c>
      <c r="E21" s="3">
        <v>4.4352822E-2</v>
      </c>
      <c r="F21" s="3">
        <v>6.0663158000000002E-2</v>
      </c>
      <c r="G21" s="3">
        <v>3.2661930999999998E-2</v>
      </c>
      <c r="H21" s="3">
        <v>7.2366627000000003E-2</v>
      </c>
      <c r="I21" s="3">
        <v>2.6394514000000001E-2</v>
      </c>
      <c r="J21" s="3">
        <v>5.4970115999999999E-2</v>
      </c>
      <c r="K21" s="3">
        <v>2.5035427999999998E-2</v>
      </c>
      <c r="L21" s="3">
        <v>8.5279285999999996E-2</v>
      </c>
      <c r="M21" s="3">
        <v>2.7947955999999999E-2</v>
      </c>
      <c r="N21" s="3">
        <v>2.5824324999999999E-2</v>
      </c>
      <c r="O21" s="3">
        <v>2.5767926999999999E-2</v>
      </c>
      <c r="P21" s="3">
        <v>3.3027441999999997E-2</v>
      </c>
      <c r="Q21" s="3">
        <v>3.5579909999999999E-2</v>
      </c>
      <c r="R21" s="3">
        <v>1.8291519999999999E-2</v>
      </c>
      <c r="S21" s="3">
        <v>2.4834377000000001E-2</v>
      </c>
      <c r="T21" s="3">
        <v>5.0050303999999997E-2</v>
      </c>
      <c r="U21" s="3">
        <v>2.6178516999999998E-2</v>
      </c>
      <c r="AB21">
        <v>0</v>
      </c>
      <c r="AC21">
        <v>0</v>
      </c>
      <c r="AD21">
        <v>0</v>
      </c>
    </row>
    <row r="22" spans="1:30" x14ac:dyDescent="0.3">
      <c r="A22" s="1">
        <v>45321</v>
      </c>
      <c r="B22" s="3">
        <v>4.5770867999999999E-2</v>
      </c>
      <c r="C22" s="3">
        <v>2.6051527000000001E-2</v>
      </c>
      <c r="D22" s="3">
        <v>3.7180732000000001E-2</v>
      </c>
      <c r="E22" s="3">
        <v>3.8991831999999997E-2</v>
      </c>
      <c r="F22" s="3">
        <v>3.193998E-2</v>
      </c>
      <c r="G22" s="3">
        <v>3.2217091000000003E-2</v>
      </c>
      <c r="H22" s="3">
        <v>6.6722523000000006E-2</v>
      </c>
      <c r="I22" s="3">
        <v>4.4352822E-2</v>
      </c>
      <c r="J22" s="3">
        <v>6.0663158000000002E-2</v>
      </c>
      <c r="K22" s="3">
        <v>3.2661930999999998E-2</v>
      </c>
      <c r="L22" s="3">
        <v>7.2366627000000003E-2</v>
      </c>
      <c r="M22" s="3">
        <v>2.6394514000000001E-2</v>
      </c>
      <c r="N22" s="3">
        <v>5.4970115999999999E-2</v>
      </c>
      <c r="O22" s="3">
        <v>2.5035427999999998E-2</v>
      </c>
      <c r="P22" s="3">
        <v>8.5279285999999996E-2</v>
      </c>
      <c r="Q22" s="3">
        <v>2.7947955999999999E-2</v>
      </c>
      <c r="R22" s="3">
        <v>2.5824324999999999E-2</v>
      </c>
      <c r="S22" s="3">
        <v>2.5767926999999999E-2</v>
      </c>
      <c r="T22" s="3">
        <v>3.3027441999999997E-2</v>
      </c>
      <c r="U22" s="3">
        <v>3.5579909999999999E-2</v>
      </c>
      <c r="AB22">
        <v>1</v>
      </c>
      <c r="AC22">
        <v>0</v>
      </c>
      <c r="AD22">
        <v>1</v>
      </c>
    </row>
    <row r="23" spans="1:30" x14ac:dyDescent="0.3">
      <c r="A23" s="1">
        <v>45322</v>
      </c>
      <c r="B23" s="3">
        <v>3.6932655000000002E-2</v>
      </c>
      <c r="C23" s="3">
        <v>3.4019973000000002E-2</v>
      </c>
      <c r="D23" s="3">
        <v>3.1064214999999999E-2</v>
      </c>
      <c r="E23" s="3">
        <v>5.3284689000000003E-2</v>
      </c>
      <c r="F23" s="3">
        <v>4.5770867999999999E-2</v>
      </c>
      <c r="G23" s="3">
        <v>2.6051527000000001E-2</v>
      </c>
      <c r="H23" s="3">
        <v>3.7180732000000001E-2</v>
      </c>
      <c r="I23" s="3">
        <v>3.8991831999999997E-2</v>
      </c>
      <c r="J23" s="3">
        <v>3.193998E-2</v>
      </c>
      <c r="K23" s="3">
        <v>3.2217091000000003E-2</v>
      </c>
      <c r="L23" s="3">
        <v>6.6722523000000006E-2</v>
      </c>
      <c r="M23" s="3">
        <v>4.4352822E-2</v>
      </c>
      <c r="N23" s="3">
        <v>6.0663158000000002E-2</v>
      </c>
      <c r="O23" s="3">
        <v>3.2661930999999998E-2</v>
      </c>
      <c r="P23" s="3">
        <v>7.2366627000000003E-2</v>
      </c>
      <c r="Q23" s="3">
        <v>2.6394514000000001E-2</v>
      </c>
      <c r="R23" s="3">
        <v>5.4970115999999999E-2</v>
      </c>
      <c r="S23" s="3">
        <v>2.5035427999999998E-2</v>
      </c>
      <c r="T23" s="3">
        <v>8.5279285999999996E-2</v>
      </c>
      <c r="U23" s="3">
        <v>2.7947955999999999E-2</v>
      </c>
      <c r="AB23">
        <v>1</v>
      </c>
      <c r="AC23">
        <v>0</v>
      </c>
      <c r="AD23">
        <v>1</v>
      </c>
    </row>
    <row r="24" spans="1:30" x14ac:dyDescent="0.3">
      <c r="A24" s="1">
        <v>45323</v>
      </c>
      <c r="B24" s="3">
        <v>8.9069019999999999E-2</v>
      </c>
      <c r="C24" s="3">
        <v>1.4761912E-2</v>
      </c>
      <c r="D24" s="3">
        <v>0.12710579</v>
      </c>
      <c r="E24" s="3">
        <v>3.8169038000000002E-2</v>
      </c>
      <c r="F24" s="3">
        <v>3.6932655000000002E-2</v>
      </c>
      <c r="G24" s="3">
        <v>3.4019973000000002E-2</v>
      </c>
      <c r="H24" s="3">
        <v>3.1064214999999999E-2</v>
      </c>
      <c r="I24" s="3">
        <v>5.3284689000000003E-2</v>
      </c>
      <c r="J24" s="3">
        <v>4.5770867999999999E-2</v>
      </c>
      <c r="K24" s="3">
        <v>2.6051527000000001E-2</v>
      </c>
      <c r="L24" s="3">
        <v>3.7180732000000001E-2</v>
      </c>
      <c r="M24" s="3">
        <v>3.8991831999999997E-2</v>
      </c>
      <c r="N24" s="3">
        <v>3.193998E-2</v>
      </c>
      <c r="O24" s="3">
        <v>3.2217091000000003E-2</v>
      </c>
      <c r="P24" s="3">
        <v>6.6722523000000006E-2</v>
      </c>
      <c r="Q24" s="3">
        <v>4.4352822E-2</v>
      </c>
      <c r="R24" s="3">
        <v>6.0663158000000002E-2</v>
      </c>
      <c r="S24" s="3">
        <v>3.2661930999999998E-2</v>
      </c>
      <c r="T24" s="3">
        <v>7.2366627000000003E-2</v>
      </c>
      <c r="U24" s="3">
        <v>2.6394514000000001E-2</v>
      </c>
      <c r="AB24">
        <v>1</v>
      </c>
      <c r="AC24">
        <v>0</v>
      </c>
      <c r="AD24">
        <v>1</v>
      </c>
    </row>
    <row r="25" spans="1:30" x14ac:dyDescent="0.3">
      <c r="A25" s="1">
        <v>45324</v>
      </c>
      <c r="B25" s="3">
        <v>8.9016812000000001E-2</v>
      </c>
      <c r="C25" s="3">
        <v>2.6085951999999999E-2</v>
      </c>
      <c r="D25" s="3">
        <v>0.120276991</v>
      </c>
      <c r="E25" s="3">
        <v>4.0183123000000001E-2</v>
      </c>
      <c r="F25" s="3">
        <v>8.9069019999999999E-2</v>
      </c>
      <c r="G25" s="3">
        <v>1.4761912E-2</v>
      </c>
      <c r="H25" s="3">
        <v>0.12710579</v>
      </c>
      <c r="I25" s="3">
        <v>3.8169038000000002E-2</v>
      </c>
      <c r="J25" s="3">
        <v>3.6932655000000002E-2</v>
      </c>
      <c r="K25" s="3">
        <v>3.4019973000000002E-2</v>
      </c>
      <c r="L25" s="3">
        <v>3.1064214999999999E-2</v>
      </c>
      <c r="M25" s="3">
        <v>5.3284689000000003E-2</v>
      </c>
      <c r="N25" s="3">
        <v>4.5770867999999999E-2</v>
      </c>
      <c r="O25" s="3">
        <v>2.6051527000000001E-2</v>
      </c>
      <c r="P25" s="3">
        <v>3.7180732000000001E-2</v>
      </c>
      <c r="Q25" s="3">
        <v>3.8991831999999997E-2</v>
      </c>
      <c r="R25" s="3">
        <v>3.193998E-2</v>
      </c>
      <c r="S25" s="3">
        <v>3.2217091000000003E-2</v>
      </c>
      <c r="T25" s="3">
        <v>6.6722523000000006E-2</v>
      </c>
      <c r="U25" s="3">
        <v>4.4352822E-2</v>
      </c>
      <c r="AB25">
        <v>1</v>
      </c>
      <c r="AC25">
        <v>0</v>
      </c>
      <c r="AD25">
        <v>1</v>
      </c>
    </row>
    <row r="26" spans="1:30" x14ac:dyDescent="0.3">
      <c r="A26" s="1">
        <v>45327</v>
      </c>
      <c r="B26" s="3">
        <v>7.9856218000000007E-2</v>
      </c>
      <c r="C26" s="3">
        <v>1.8972214000000001E-2</v>
      </c>
      <c r="D26" s="3">
        <v>0.12616723199999999</v>
      </c>
      <c r="E26" s="3">
        <v>4.9940114000000001E-2</v>
      </c>
      <c r="F26" s="3">
        <v>8.9016812000000001E-2</v>
      </c>
      <c r="G26" s="3">
        <v>2.6085951999999999E-2</v>
      </c>
      <c r="H26" s="3">
        <v>0.120276991</v>
      </c>
      <c r="I26" s="3">
        <v>4.0183123000000001E-2</v>
      </c>
      <c r="J26" s="3">
        <v>8.9069019999999999E-2</v>
      </c>
      <c r="K26" s="3">
        <v>1.4761912E-2</v>
      </c>
      <c r="L26" s="3">
        <v>0.12710579</v>
      </c>
      <c r="M26" s="3">
        <v>3.8169038000000002E-2</v>
      </c>
      <c r="N26" s="3">
        <v>3.6932655000000002E-2</v>
      </c>
      <c r="O26" s="3">
        <v>3.4019973000000002E-2</v>
      </c>
      <c r="P26" s="3">
        <v>3.1064214999999999E-2</v>
      </c>
      <c r="Q26" s="3">
        <v>5.3284689000000003E-2</v>
      </c>
      <c r="R26" s="3">
        <v>4.5770867999999999E-2</v>
      </c>
      <c r="S26" s="3">
        <v>2.6051527000000001E-2</v>
      </c>
      <c r="T26" s="3">
        <v>3.7180732000000001E-2</v>
      </c>
      <c r="U26" s="3">
        <v>3.8991831999999997E-2</v>
      </c>
      <c r="AB26">
        <v>1</v>
      </c>
      <c r="AC26">
        <v>0</v>
      </c>
      <c r="AD26">
        <v>1</v>
      </c>
    </row>
    <row r="27" spans="1:30" x14ac:dyDescent="0.3">
      <c r="A27" s="1">
        <v>45337</v>
      </c>
      <c r="B27" s="3">
        <v>3.2367716999999997E-2</v>
      </c>
      <c r="C27" s="3">
        <v>6.2816866999999998E-2</v>
      </c>
      <c r="D27" s="3">
        <v>0.10914497300000001</v>
      </c>
      <c r="E27" s="3">
        <v>9.8103593000000003E-2</v>
      </c>
      <c r="F27" s="3">
        <v>7.9856218000000007E-2</v>
      </c>
      <c r="G27" s="3">
        <v>1.8972214000000001E-2</v>
      </c>
      <c r="H27" s="3">
        <v>0.12616723199999999</v>
      </c>
      <c r="I27" s="3">
        <v>4.9940114000000001E-2</v>
      </c>
      <c r="J27" s="3">
        <v>8.9016812000000001E-2</v>
      </c>
      <c r="K27" s="3">
        <v>2.6085951999999999E-2</v>
      </c>
      <c r="L27" s="3">
        <v>0.120276991</v>
      </c>
      <c r="M27" s="3">
        <v>4.0183123000000001E-2</v>
      </c>
      <c r="N27" s="3">
        <v>8.9069019999999999E-2</v>
      </c>
      <c r="O27" s="3">
        <v>1.4761912E-2</v>
      </c>
      <c r="P27" s="3">
        <v>0.12710579</v>
      </c>
      <c r="Q27" s="3">
        <v>3.8169038000000002E-2</v>
      </c>
      <c r="R27" s="3">
        <v>3.6932655000000002E-2</v>
      </c>
      <c r="S27" s="3">
        <v>3.4019973000000002E-2</v>
      </c>
      <c r="T27" s="3">
        <v>3.1064214999999999E-2</v>
      </c>
      <c r="U27" s="3">
        <v>5.3284689000000003E-2</v>
      </c>
      <c r="AB27">
        <v>0</v>
      </c>
      <c r="AC27">
        <v>0</v>
      </c>
      <c r="AD27">
        <v>0</v>
      </c>
    </row>
    <row r="28" spans="1:30" x14ac:dyDescent="0.3">
      <c r="A28" s="1">
        <v>45338</v>
      </c>
      <c r="B28" s="3">
        <v>0.168233717</v>
      </c>
      <c r="C28" s="3">
        <v>5.9518354000000002E-2</v>
      </c>
      <c r="D28" s="3">
        <v>0.152847971</v>
      </c>
      <c r="E28" s="3">
        <v>0.117275611</v>
      </c>
      <c r="F28" s="3">
        <v>3.2367716999999997E-2</v>
      </c>
      <c r="G28" s="3">
        <v>6.2816866999999998E-2</v>
      </c>
      <c r="H28" s="3">
        <v>0.10914497300000001</v>
      </c>
      <c r="I28" s="3">
        <v>9.8103593000000003E-2</v>
      </c>
      <c r="J28" s="3">
        <v>7.9856218000000007E-2</v>
      </c>
      <c r="K28" s="3">
        <v>1.8972214000000001E-2</v>
      </c>
      <c r="L28" s="3">
        <v>0.12616723199999999</v>
      </c>
      <c r="M28" s="3">
        <v>4.9940114000000001E-2</v>
      </c>
      <c r="N28" s="3">
        <v>8.9016812000000001E-2</v>
      </c>
      <c r="O28" s="3">
        <v>2.6085951999999999E-2</v>
      </c>
      <c r="P28" s="3">
        <v>0.120276991</v>
      </c>
      <c r="Q28" s="3">
        <v>4.0183123000000001E-2</v>
      </c>
      <c r="R28" s="3">
        <v>8.9069019999999999E-2</v>
      </c>
      <c r="S28" s="3">
        <v>1.4761912E-2</v>
      </c>
      <c r="T28" s="3">
        <v>0.12710579</v>
      </c>
      <c r="U28" s="3">
        <v>3.8169038000000002E-2</v>
      </c>
      <c r="AB28">
        <v>1</v>
      </c>
      <c r="AC28">
        <v>0</v>
      </c>
      <c r="AD28">
        <v>1</v>
      </c>
    </row>
    <row r="29" spans="1:30" x14ac:dyDescent="0.3">
      <c r="A29" s="1">
        <v>45341</v>
      </c>
      <c r="B29" s="3">
        <v>0.16786359300000001</v>
      </c>
      <c r="C29" s="3">
        <v>8.5037452999999999E-2</v>
      </c>
      <c r="D29" s="3">
        <v>0.165256442</v>
      </c>
      <c r="E29" s="3">
        <v>0.11792322399999999</v>
      </c>
      <c r="F29" s="3">
        <v>0.168233717</v>
      </c>
      <c r="G29" s="3">
        <v>5.9518354000000002E-2</v>
      </c>
      <c r="H29" s="3">
        <v>0.152847971</v>
      </c>
      <c r="I29" s="3">
        <v>0.117275611</v>
      </c>
      <c r="J29" s="3">
        <v>3.2367716999999997E-2</v>
      </c>
      <c r="K29" s="3">
        <v>6.2816866999999998E-2</v>
      </c>
      <c r="L29" s="3">
        <v>0.10914497300000001</v>
      </c>
      <c r="M29" s="3">
        <v>9.8103593000000003E-2</v>
      </c>
      <c r="N29" s="3">
        <v>7.9856218000000007E-2</v>
      </c>
      <c r="O29" s="3">
        <v>1.8972214000000001E-2</v>
      </c>
      <c r="P29" s="3">
        <v>0.12616723199999999</v>
      </c>
      <c r="Q29" s="3">
        <v>4.9940114000000001E-2</v>
      </c>
      <c r="R29" s="3">
        <v>8.9016812000000001E-2</v>
      </c>
      <c r="S29" s="3">
        <v>2.6085951999999999E-2</v>
      </c>
      <c r="T29" s="3">
        <v>0.120276991</v>
      </c>
      <c r="U29" s="3">
        <v>4.0183123000000001E-2</v>
      </c>
      <c r="AB29">
        <v>1</v>
      </c>
      <c r="AC29">
        <v>0</v>
      </c>
      <c r="AD29">
        <v>1</v>
      </c>
    </row>
    <row r="30" spans="1:30" x14ac:dyDescent="0.3">
      <c r="A30" s="1">
        <v>45342</v>
      </c>
      <c r="B30" s="3">
        <v>0.123375021</v>
      </c>
      <c r="C30" s="3">
        <v>0.17347329</v>
      </c>
      <c r="D30" s="3">
        <v>0.230665708</v>
      </c>
      <c r="E30" s="3">
        <v>0.2285017</v>
      </c>
      <c r="F30" s="3">
        <v>0.16786359300000001</v>
      </c>
      <c r="G30" s="3">
        <v>8.5037452999999999E-2</v>
      </c>
      <c r="H30" s="3">
        <v>0.165256442</v>
      </c>
      <c r="I30" s="3">
        <v>0.11792322399999999</v>
      </c>
      <c r="J30" s="3">
        <v>0.168233717</v>
      </c>
      <c r="K30" s="3">
        <v>5.9518354000000002E-2</v>
      </c>
      <c r="L30" s="3">
        <v>0.152847971</v>
      </c>
      <c r="M30" s="3">
        <v>0.117275611</v>
      </c>
      <c r="N30" s="3">
        <v>3.2367716999999997E-2</v>
      </c>
      <c r="O30" s="3">
        <v>6.2816866999999998E-2</v>
      </c>
      <c r="P30" s="3">
        <v>0.10914497300000001</v>
      </c>
      <c r="Q30" s="3">
        <v>9.8103593000000003E-2</v>
      </c>
      <c r="R30" s="3">
        <v>7.9856218000000007E-2</v>
      </c>
      <c r="S30" s="3">
        <v>1.8972214000000001E-2</v>
      </c>
      <c r="T30" s="3">
        <v>0.12616723199999999</v>
      </c>
      <c r="U30" s="3">
        <v>4.9940114000000001E-2</v>
      </c>
      <c r="AB30">
        <v>0</v>
      </c>
      <c r="AC30">
        <v>0</v>
      </c>
      <c r="AD30">
        <v>0</v>
      </c>
    </row>
    <row r="31" spans="1:30" x14ac:dyDescent="0.3">
      <c r="A31" s="1">
        <v>45343</v>
      </c>
      <c r="B31" s="3">
        <v>2.9527798000000001E-2</v>
      </c>
      <c r="C31" s="3">
        <v>3.0713636999999998E-2</v>
      </c>
      <c r="D31" s="3">
        <v>2.6835455000000001E-2</v>
      </c>
      <c r="E31" s="3">
        <v>3.4487043000000002E-2</v>
      </c>
      <c r="F31" s="3">
        <v>0.123375021</v>
      </c>
      <c r="G31" s="3">
        <v>0.17347329</v>
      </c>
      <c r="H31" s="3">
        <v>0.230665708</v>
      </c>
      <c r="I31" s="3">
        <v>0.2285017</v>
      </c>
      <c r="J31" s="3">
        <v>0.16786359300000001</v>
      </c>
      <c r="K31" s="3">
        <v>8.5037452999999999E-2</v>
      </c>
      <c r="L31" s="3">
        <v>0.165256442</v>
      </c>
      <c r="M31" s="3">
        <v>0.11792322399999999</v>
      </c>
      <c r="N31" s="3">
        <v>0.168233717</v>
      </c>
      <c r="O31" s="3">
        <v>5.9518354000000002E-2</v>
      </c>
      <c r="P31" s="3">
        <v>0.152847971</v>
      </c>
      <c r="Q31" s="3">
        <v>0.117275611</v>
      </c>
      <c r="R31" s="3">
        <v>3.2367716999999997E-2</v>
      </c>
      <c r="S31" s="3">
        <v>6.2816866999999998E-2</v>
      </c>
      <c r="T31" s="3">
        <v>0.10914497300000001</v>
      </c>
      <c r="U31" s="3">
        <v>9.8103593000000003E-2</v>
      </c>
      <c r="AB31">
        <v>1</v>
      </c>
      <c r="AC31">
        <v>0</v>
      </c>
      <c r="AD31">
        <v>1</v>
      </c>
    </row>
    <row r="32" spans="1:30" x14ac:dyDescent="0.3">
      <c r="A32" s="1">
        <v>45344</v>
      </c>
      <c r="B32" s="3">
        <v>5.3616727000000003E-2</v>
      </c>
      <c r="C32" s="3">
        <v>2.3525971999999999E-2</v>
      </c>
      <c r="D32" s="3">
        <v>7.8388700000000006E-2</v>
      </c>
      <c r="E32" s="3">
        <v>3.0144266999999999E-2</v>
      </c>
      <c r="F32" s="3">
        <v>2.9527798000000001E-2</v>
      </c>
      <c r="G32" s="3">
        <v>3.0713636999999998E-2</v>
      </c>
      <c r="H32" s="3">
        <v>2.6835455000000001E-2</v>
      </c>
      <c r="I32" s="3">
        <v>3.4487043000000002E-2</v>
      </c>
      <c r="J32" s="3">
        <v>0.123375021</v>
      </c>
      <c r="K32" s="3">
        <v>0.17347329</v>
      </c>
      <c r="L32" s="3">
        <v>0.230665708</v>
      </c>
      <c r="M32" s="3">
        <v>0.2285017</v>
      </c>
      <c r="N32" s="3">
        <v>0.16786359300000001</v>
      </c>
      <c r="O32" s="3">
        <v>8.5037452999999999E-2</v>
      </c>
      <c r="P32" s="3">
        <v>0.165256442</v>
      </c>
      <c r="Q32" s="3">
        <v>0.11792322399999999</v>
      </c>
      <c r="R32" s="3">
        <v>0.168233717</v>
      </c>
      <c r="S32" s="3">
        <v>5.9518354000000002E-2</v>
      </c>
      <c r="T32" s="3">
        <v>0.152847971</v>
      </c>
      <c r="U32" s="3">
        <v>0.117275611</v>
      </c>
      <c r="AB32">
        <v>0</v>
      </c>
      <c r="AC32">
        <v>0</v>
      </c>
      <c r="AD32">
        <v>0</v>
      </c>
    </row>
    <row r="33" spans="1:30" x14ac:dyDescent="0.3">
      <c r="A33" s="1">
        <v>45345</v>
      </c>
      <c r="B33" s="3">
        <v>6.8629447999999996E-2</v>
      </c>
      <c r="C33" s="3">
        <v>3.1832361000000003E-2</v>
      </c>
      <c r="D33" s="3">
        <v>6.6505378000000004E-2</v>
      </c>
      <c r="E33" s="3">
        <v>4.2687220999999997E-2</v>
      </c>
      <c r="F33" s="3">
        <v>5.3616727000000003E-2</v>
      </c>
      <c r="G33" s="3">
        <v>2.3525971999999999E-2</v>
      </c>
      <c r="H33" s="3">
        <v>7.8388700000000006E-2</v>
      </c>
      <c r="I33" s="3">
        <v>3.0144266999999999E-2</v>
      </c>
      <c r="J33" s="3">
        <v>2.9527798000000001E-2</v>
      </c>
      <c r="K33" s="3">
        <v>3.0713636999999998E-2</v>
      </c>
      <c r="L33" s="3">
        <v>2.6835455000000001E-2</v>
      </c>
      <c r="M33" s="3">
        <v>3.4487043000000002E-2</v>
      </c>
      <c r="N33" s="3">
        <v>0.123375021</v>
      </c>
      <c r="O33" s="3">
        <v>0.17347329</v>
      </c>
      <c r="P33" s="3">
        <v>0.230665708</v>
      </c>
      <c r="Q33" s="3">
        <v>0.2285017</v>
      </c>
      <c r="R33" s="3">
        <v>0.16786359300000001</v>
      </c>
      <c r="S33" s="3">
        <v>8.5037452999999999E-2</v>
      </c>
      <c r="T33" s="3">
        <v>0.165256442</v>
      </c>
      <c r="U33" s="3">
        <v>0.11792322399999999</v>
      </c>
      <c r="AB33">
        <v>1</v>
      </c>
      <c r="AC33">
        <v>0</v>
      </c>
      <c r="AD33">
        <v>1</v>
      </c>
    </row>
    <row r="34" spans="1:30" x14ac:dyDescent="0.3">
      <c r="A34" s="1">
        <v>45348</v>
      </c>
      <c r="B34" s="3">
        <v>3.5637707999999997E-2</v>
      </c>
      <c r="C34" s="3">
        <v>2.2599629E-2</v>
      </c>
      <c r="D34" s="3">
        <v>6.3430537999999995E-2</v>
      </c>
      <c r="E34" s="3">
        <v>4.5245163999999997E-2</v>
      </c>
      <c r="F34" s="3">
        <v>6.8629447999999996E-2</v>
      </c>
      <c r="G34" s="3">
        <v>3.1832361000000003E-2</v>
      </c>
      <c r="H34" s="3">
        <v>6.6505378000000004E-2</v>
      </c>
      <c r="I34" s="3">
        <v>4.2687220999999997E-2</v>
      </c>
      <c r="J34" s="3">
        <v>5.3616727000000003E-2</v>
      </c>
      <c r="K34" s="3">
        <v>2.3525971999999999E-2</v>
      </c>
      <c r="L34" s="3">
        <v>7.8388700000000006E-2</v>
      </c>
      <c r="M34" s="3">
        <v>3.0144266999999999E-2</v>
      </c>
      <c r="N34" s="3">
        <v>2.9527798000000001E-2</v>
      </c>
      <c r="O34" s="3">
        <v>3.0713636999999998E-2</v>
      </c>
      <c r="P34" s="3">
        <v>2.6835455000000001E-2</v>
      </c>
      <c r="Q34" s="3">
        <v>3.4487043000000002E-2</v>
      </c>
      <c r="R34" s="3">
        <v>0.123375021</v>
      </c>
      <c r="S34" s="3">
        <v>0.17347329</v>
      </c>
      <c r="T34" s="3">
        <v>0.230665708</v>
      </c>
      <c r="U34" s="3">
        <v>0.2285017</v>
      </c>
      <c r="AB34">
        <v>1</v>
      </c>
      <c r="AC34">
        <v>0</v>
      </c>
      <c r="AD34">
        <v>1</v>
      </c>
    </row>
    <row r="35" spans="1:30" x14ac:dyDescent="0.3">
      <c r="A35" s="1">
        <v>45349</v>
      </c>
      <c r="B35" s="3">
        <v>4.090746E-2</v>
      </c>
      <c r="C35" s="3">
        <v>3.0589966999999999E-2</v>
      </c>
      <c r="D35" s="3">
        <v>5.049932E-2</v>
      </c>
      <c r="E35" s="3">
        <v>4.4251260000000001E-2</v>
      </c>
      <c r="F35" s="3">
        <v>3.5637707999999997E-2</v>
      </c>
      <c r="G35" s="3">
        <v>2.2599629E-2</v>
      </c>
      <c r="H35" s="3">
        <v>6.3430537999999995E-2</v>
      </c>
      <c r="I35" s="3">
        <v>4.5245163999999997E-2</v>
      </c>
      <c r="J35" s="3">
        <v>6.8629447999999996E-2</v>
      </c>
      <c r="K35" s="3">
        <v>3.1832361000000003E-2</v>
      </c>
      <c r="L35" s="3">
        <v>6.6505378000000004E-2</v>
      </c>
      <c r="M35" s="3">
        <v>4.2687220999999997E-2</v>
      </c>
      <c r="N35" s="3">
        <v>5.3616727000000003E-2</v>
      </c>
      <c r="O35" s="3">
        <v>2.3525971999999999E-2</v>
      </c>
      <c r="P35" s="3">
        <v>7.8388700000000006E-2</v>
      </c>
      <c r="Q35" s="3">
        <v>3.0144266999999999E-2</v>
      </c>
      <c r="R35" s="3">
        <v>2.9527798000000001E-2</v>
      </c>
      <c r="S35" s="3">
        <v>3.0713636999999998E-2</v>
      </c>
      <c r="T35" s="3">
        <v>2.6835455000000001E-2</v>
      </c>
      <c r="U35" s="3">
        <v>3.4487043000000002E-2</v>
      </c>
      <c r="AB35">
        <v>1</v>
      </c>
      <c r="AC35">
        <v>0</v>
      </c>
      <c r="AD35">
        <v>1</v>
      </c>
    </row>
    <row r="36" spans="1:30" x14ac:dyDescent="0.3">
      <c r="A36" s="1">
        <v>45351</v>
      </c>
      <c r="B36" s="3">
        <v>1.5157014E-2</v>
      </c>
      <c r="C36" s="3">
        <v>2.4878618000000002E-2</v>
      </c>
      <c r="D36" s="3">
        <v>4.8189956999999999E-2</v>
      </c>
      <c r="E36" s="3">
        <v>3.7352635000000002E-2</v>
      </c>
      <c r="F36" s="3">
        <v>4.090746E-2</v>
      </c>
      <c r="G36" s="3">
        <v>3.0589966999999999E-2</v>
      </c>
      <c r="H36" s="3">
        <v>5.049932E-2</v>
      </c>
      <c r="I36" s="3">
        <v>4.4251260000000001E-2</v>
      </c>
      <c r="J36" s="3">
        <v>3.5637707999999997E-2</v>
      </c>
      <c r="K36" s="3">
        <v>2.2599629E-2</v>
      </c>
      <c r="L36" s="3">
        <v>6.3430537999999995E-2</v>
      </c>
      <c r="M36" s="3">
        <v>4.5245163999999997E-2</v>
      </c>
      <c r="N36" s="3">
        <v>6.8629447999999996E-2</v>
      </c>
      <c r="O36" s="3">
        <v>3.1832361000000003E-2</v>
      </c>
      <c r="P36" s="3">
        <v>6.6505378000000004E-2</v>
      </c>
      <c r="Q36" s="3">
        <v>4.2687220999999997E-2</v>
      </c>
      <c r="R36" s="3">
        <v>5.3616727000000003E-2</v>
      </c>
      <c r="S36" s="3">
        <v>2.3525971999999999E-2</v>
      </c>
      <c r="T36" s="3">
        <v>7.8388700000000006E-2</v>
      </c>
      <c r="U36" s="3">
        <v>3.0144266999999999E-2</v>
      </c>
      <c r="AB36">
        <v>1</v>
      </c>
      <c r="AC36">
        <v>0</v>
      </c>
      <c r="AD36">
        <v>1</v>
      </c>
    </row>
    <row r="37" spans="1:30" x14ac:dyDescent="0.3">
      <c r="A37" s="1">
        <v>45352</v>
      </c>
      <c r="B37" s="3">
        <v>6.6805692E-2</v>
      </c>
      <c r="C37" s="3">
        <v>2.9801405E-2</v>
      </c>
      <c r="D37" s="3">
        <v>8.5912153000000005E-2</v>
      </c>
      <c r="E37" s="3">
        <v>5.7035671000000003E-2</v>
      </c>
      <c r="F37" s="3">
        <v>1.5157014E-2</v>
      </c>
      <c r="G37" s="3">
        <v>2.4878618000000002E-2</v>
      </c>
      <c r="H37" s="3">
        <v>4.8189956999999999E-2</v>
      </c>
      <c r="I37" s="3">
        <v>3.7352635000000002E-2</v>
      </c>
      <c r="J37" s="3">
        <v>4.090746E-2</v>
      </c>
      <c r="K37" s="3">
        <v>3.0589966999999999E-2</v>
      </c>
      <c r="L37" s="3">
        <v>5.049932E-2</v>
      </c>
      <c r="M37" s="3">
        <v>4.4251260000000001E-2</v>
      </c>
      <c r="N37" s="3">
        <v>3.5637707999999997E-2</v>
      </c>
      <c r="O37" s="3">
        <v>2.2599629E-2</v>
      </c>
      <c r="P37" s="3">
        <v>6.3430537999999995E-2</v>
      </c>
      <c r="Q37" s="3">
        <v>4.5245163999999997E-2</v>
      </c>
      <c r="R37" s="3">
        <v>6.8629447999999996E-2</v>
      </c>
      <c r="S37" s="3">
        <v>3.1832361000000003E-2</v>
      </c>
      <c r="T37" s="3">
        <v>6.6505378000000004E-2</v>
      </c>
      <c r="U37" s="3">
        <v>4.2687220999999997E-2</v>
      </c>
      <c r="AB37">
        <v>1</v>
      </c>
      <c r="AC37">
        <v>0</v>
      </c>
      <c r="AD37">
        <v>1</v>
      </c>
    </row>
    <row r="38" spans="1:30" x14ac:dyDescent="0.3">
      <c r="A38" s="1">
        <v>45355</v>
      </c>
      <c r="B38" s="3">
        <v>4.0175126999999998E-2</v>
      </c>
      <c r="C38" s="3">
        <v>4.5203344999999999E-2</v>
      </c>
      <c r="D38" s="3">
        <v>0.101082531</v>
      </c>
      <c r="E38" s="3">
        <v>6.4047942999999996E-2</v>
      </c>
      <c r="F38" s="3">
        <v>6.6805692E-2</v>
      </c>
      <c r="G38" s="3">
        <v>2.9801405E-2</v>
      </c>
      <c r="H38" s="3">
        <v>8.5912153000000005E-2</v>
      </c>
      <c r="I38" s="3">
        <v>5.7035671000000003E-2</v>
      </c>
      <c r="J38" s="3">
        <v>1.5157014E-2</v>
      </c>
      <c r="K38" s="3">
        <v>2.4878618000000002E-2</v>
      </c>
      <c r="L38" s="3">
        <v>4.8189956999999999E-2</v>
      </c>
      <c r="M38" s="3">
        <v>3.7352635000000002E-2</v>
      </c>
      <c r="N38" s="3">
        <v>4.090746E-2</v>
      </c>
      <c r="O38" s="3">
        <v>3.0589966999999999E-2</v>
      </c>
      <c r="P38" s="3">
        <v>5.049932E-2</v>
      </c>
      <c r="Q38" s="3">
        <v>4.4251260000000001E-2</v>
      </c>
      <c r="R38" s="3">
        <v>3.5637707999999997E-2</v>
      </c>
      <c r="S38" s="3">
        <v>2.2599629E-2</v>
      </c>
      <c r="T38" s="3">
        <v>6.3430537999999995E-2</v>
      </c>
      <c r="U38" s="3">
        <v>4.5245163999999997E-2</v>
      </c>
      <c r="AB38">
        <v>1</v>
      </c>
      <c r="AC38">
        <v>0</v>
      </c>
      <c r="AD38">
        <v>1</v>
      </c>
    </row>
    <row r="39" spans="1:30" x14ac:dyDescent="0.3">
      <c r="A39" s="1">
        <v>45356</v>
      </c>
      <c r="B39" s="3">
        <v>5.0784624E-2</v>
      </c>
      <c r="C39" s="3">
        <v>3.8594014000000003E-2</v>
      </c>
      <c r="D39" s="3">
        <v>7.5303155999999996E-2</v>
      </c>
      <c r="E39" s="3">
        <v>5.9048372000000002E-2</v>
      </c>
      <c r="F39" s="3">
        <v>4.0175126999999998E-2</v>
      </c>
      <c r="G39" s="3">
        <v>4.5203344999999999E-2</v>
      </c>
      <c r="H39" s="3">
        <v>0.101082531</v>
      </c>
      <c r="I39" s="3">
        <v>6.4047942999999996E-2</v>
      </c>
      <c r="J39" s="3">
        <v>6.6805692E-2</v>
      </c>
      <c r="K39" s="3">
        <v>2.9801405E-2</v>
      </c>
      <c r="L39" s="3">
        <v>8.5912153000000005E-2</v>
      </c>
      <c r="M39" s="3">
        <v>5.7035671000000003E-2</v>
      </c>
      <c r="N39" s="3">
        <v>1.5157014E-2</v>
      </c>
      <c r="O39" s="3">
        <v>2.4878618000000002E-2</v>
      </c>
      <c r="P39" s="3">
        <v>4.8189956999999999E-2</v>
      </c>
      <c r="Q39" s="3">
        <v>3.7352635000000002E-2</v>
      </c>
      <c r="R39" s="3">
        <v>4.090746E-2</v>
      </c>
      <c r="S39" s="3">
        <v>3.0589966999999999E-2</v>
      </c>
      <c r="T39" s="3">
        <v>5.049932E-2</v>
      </c>
      <c r="U39" s="3">
        <v>4.4251260000000001E-2</v>
      </c>
      <c r="AB39">
        <v>1</v>
      </c>
      <c r="AC39">
        <v>0</v>
      </c>
      <c r="AD39">
        <v>1</v>
      </c>
    </row>
    <row r="40" spans="1:30" x14ac:dyDescent="0.3">
      <c r="A40" s="1">
        <v>45357</v>
      </c>
      <c r="B40" s="3">
        <v>1.7843096999999999E-2</v>
      </c>
      <c r="C40" s="3">
        <v>3.7018292000000001E-2</v>
      </c>
      <c r="D40" s="3">
        <v>6.7681328999999998E-2</v>
      </c>
      <c r="E40" s="3">
        <v>5.5540952999999997E-2</v>
      </c>
      <c r="F40" s="3">
        <v>5.0784624E-2</v>
      </c>
      <c r="G40" s="3">
        <v>3.8594014000000003E-2</v>
      </c>
      <c r="H40" s="3">
        <v>7.5303155999999996E-2</v>
      </c>
      <c r="I40" s="3">
        <v>5.9048372000000002E-2</v>
      </c>
      <c r="J40" s="3">
        <v>4.0175126999999998E-2</v>
      </c>
      <c r="K40" s="3">
        <v>4.5203344999999999E-2</v>
      </c>
      <c r="L40" s="3">
        <v>0.101082531</v>
      </c>
      <c r="M40" s="3">
        <v>6.4047942999999996E-2</v>
      </c>
      <c r="N40" s="3">
        <v>6.6805692E-2</v>
      </c>
      <c r="O40" s="3">
        <v>2.9801405E-2</v>
      </c>
      <c r="P40" s="3">
        <v>8.5912153000000005E-2</v>
      </c>
      <c r="Q40" s="3">
        <v>5.7035671000000003E-2</v>
      </c>
      <c r="R40" s="3">
        <v>1.5157014E-2</v>
      </c>
      <c r="S40" s="3">
        <v>2.4878618000000002E-2</v>
      </c>
      <c r="T40" s="3">
        <v>4.8189956999999999E-2</v>
      </c>
      <c r="U40" s="3">
        <v>3.7352635000000002E-2</v>
      </c>
      <c r="AB40">
        <v>1</v>
      </c>
      <c r="AC40">
        <v>0</v>
      </c>
      <c r="AD40">
        <v>1</v>
      </c>
    </row>
    <row r="41" spans="1:30" x14ac:dyDescent="0.3">
      <c r="A41" s="1">
        <v>45358</v>
      </c>
      <c r="B41" s="3">
        <v>0.10411786100000001</v>
      </c>
      <c r="C41" s="3">
        <v>4.8256070999999998E-2</v>
      </c>
      <c r="D41" s="3">
        <v>0.15299143700000001</v>
      </c>
      <c r="E41" s="3">
        <v>7.2798873E-2</v>
      </c>
      <c r="F41" s="3">
        <v>1.7843096999999999E-2</v>
      </c>
      <c r="G41" s="3">
        <v>3.7018292000000001E-2</v>
      </c>
      <c r="H41" s="3">
        <v>6.7681328999999998E-2</v>
      </c>
      <c r="I41" s="3">
        <v>5.5540952999999997E-2</v>
      </c>
      <c r="J41" s="3">
        <v>5.0784624E-2</v>
      </c>
      <c r="K41" s="3">
        <v>3.8594014000000003E-2</v>
      </c>
      <c r="L41" s="3">
        <v>7.5303155999999996E-2</v>
      </c>
      <c r="M41" s="3">
        <v>5.9048372000000002E-2</v>
      </c>
      <c r="N41" s="3">
        <v>4.0175126999999998E-2</v>
      </c>
      <c r="O41" s="3">
        <v>4.5203344999999999E-2</v>
      </c>
      <c r="P41" s="3">
        <v>0.101082531</v>
      </c>
      <c r="Q41" s="3">
        <v>6.4047942999999996E-2</v>
      </c>
      <c r="R41" s="3">
        <v>6.6805692E-2</v>
      </c>
      <c r="S41" s="3">
        <v>2.9801405E-2</v>
      </c>
      <c r="T41" s="3">
        <v>8.5912153000000005E-2</v>
      </c>
      <c r="U41" s="3">
        <v>5.7035671000000003E-2</v>
      </c>
      <c r="AB41">
        <v>0</v>
      </c>
      <c r="AC41">
        <v>0</v>
      </c>
      <c r="AD41">
        <v>0</v>
      </c>
    </row>
    <row r="42" spans="1:30" x14ac:dyDescent="0.3">
      <c r="A42" s="1">
        <v>45359</v>
      </c>
      <c r="B42" s="3">
        <v>0.12728772599999999</v>
      </c>
      <c r="C42" s="3">
        <v>4.7317303999999998E-2</v>
      </c>
      <c r="D42" s="3">
        <v>0.12846960499999999</v>
      </c>
      <c r="E42" s="3">
        <v>5.8029574E-2</v>
      </c>
      <c r="F42" s="3">
        <v>0.10411786100000001</v>
      </c>
      <c r="G42" s="3">
        <v>4.8256070999999998E-2</v>
      </c>
      <c r="H42" s="3">
        <v>0.15299143700000001</v>
      </c>
      <c r="I42" s="3">
        <v>7.2798873E-2</v>
      </c>
      <c r="J42" s="3">
        <v>1.7843096999999999E-2</v>
      </c>
      <c r="K42" s="3">
        <v>3.7018292000000001E-2</v>
      </c>
      <c r="L42" s="3">
        <v>6.7681328999999998E-2</v>
      </c>
      <c r="M42" s="3">
        <v>5.5540952999999997E-2</v>
      </c>
      <c r="N42" s="3">
        <v>5.0784624E-2</v>
      </c>
      <c r="O42" s="3">
        <v>3.8594014000000003E-2</v>
      </c>
      <c r="P42" s="3">
        <v>7.5303155999999996E-2</v>
      </c>
      <c r="Q42" s="3">
        <v>5.9048372000000002E-2</v>
      </c>
      <c r="R42" s="3">
        <v>4.0175126999999998E-2</v>
      </c>
      <c r="S42" s="3">
        <v>4.5203344999999999E-2</v>
      </c>
      <c r="T42" s="3">
        <v>0.101082531</v>
      </c>
      <c r="U42" s="3">
        <v>6.4047942999999996E-2</v>
      </c>
      <c r="AB42">
        <v>0</v>
      </c>
      <c r="AC42">
        <v>0</v>
      </c>
      <c r="AD42">
        <v>0</v>
      </c>
    </row>
    <row r="43" spans="1:30" x14ac:dyDescent="0.3">
      <c r="A43" s="1">
        <v>45362</v>
      </c>
      <c r="B43" s="3">
        <v>0.136081069</v>
      </c>
      <c r="C43" s="3">
        <v>4.8776079999999999E-2</v>
      </c>
      <c r="D43" s="3">
        <v>0.116371422</v>
      </c>
      <c r="E43" s="3">
        <v>5.3447379000000003E-2</v>
      </c>
      <c r="F43" s="3">
        <v>0.12728772599999999</v>
      </c>
      <c r="G43" s="3">
        <v>4.7317303999999998E-2</v>
      </c>
      <c r="H43" s="3">
        <v>0.12846960499999999</v>
      </c>
      <c r="I43" s="3">
        <v>5.8029574E-2</v>
      </c>
      <c r="J43" s="3">
        <v>0.10411786100000001</v>
      </c>
      <c r="K43" s="3">
        <v>4.8256070999999998E-2</v>
      </c>
      <c r="L43" s="3">
        <v>0.15299143700000001</v>
      </c>
      <c r="M43" s="3">
        <v>7.2798873E-2</v>
      </c>
      <c r="N43" s="3">
        <v>1.7843096999999999E-2</v>
      </c>
      <c r="O43" s="3">
        <v>3.7018292000000001E-2</v>
      </c>
      <c r="P43" s="3">
        <v>6.7681328999999998E-2</v>
      </c>
      <c r="Q43" s="3">
        <v>5.5540952999999997E-2</v>
      </c>
      <c r="R43" s="3">
        <v>5.0784624E-2</v>
      </c>
      <c r="S43" s="3">
        <v>3.8594014000000003E-2</v>
      </c>
      <c r="T43" s="3">
        <v>7.5303155999999996E-2</v>
      </c>
      <c r="U43" s="3">
        <v>5.9048372000000002E-2</v>
      </c>
      <c r="AB43">
        <v>0</v>
      </c>
      <c r="AC43">
        <v>0</v>
      </c>
      <c r="AD43">
        <v>0</v>
      </c>
    </row>
    <row r="44" spans="1:30" x14ac:dyDescent="0.3">
      <c r="A44" s="1">
        <v>45363</v>
      </c>
      <c r="B44" s="3">
        <v>6.6782800000000003E-2</v>
      </c>
      <c r="C44" s="3">
        <v>5.4295947999999997E-2</v>
      </c>
      <c r="D44" s="3">
        <v>0.13198385500000001</v>
      </c>
      <c r="E44" s="3">
        <v>9.1027006999999993E-2</v>
      </c>
      <c r="F44" s="3">
        <v>0.136081069</v>
      </c>
      <c r="G44" s="3">
        <v>4.8776079999999999E-2</v>
      </c>
      <c r="H44" s="3">
        <v>0.116371422</v>
      </c>
      <c r="I44" s="3">
        <v>5.3447379000000003E-2</v>
      </c>
      <c r="J44" s="3">
        <v>0.12728772599999999</v>
      </c>
      <c r="K44" s="3">
        <v>4.7317303999999998E-2</v>
      </c>
      <c r="L44" s="3">
        <v>0.12846960499999999</v>
      </c>
      <c r="M44" s="3">
        <v>5.8029574E-2</v>
      </c>
      <c r="N44" s="3">
        <v>0.10411786100000001</v>
      </c>
      <c r="O44" s="3">
        <v>4.8256070999999998E-2</v>
      </c>
      <c r="P44" s="3">
        <v>0.15299143700000001</v>
      </c>
      <c r="Q44" s="3">
        <v>7.2798873E-2</v>
      </c>
      <c r="R44" s="3">
        <v>1.7843096999999999E-2</v>
      </c>
      <c r="S44" s="3">
        <v>3.7018292000000001E-2</v>
      </c>
      <c r="T44" s="3">
        <v>6.7681328999999998E-2</v>
      </c>
      <c r="U44" s="3">
        <v>5.5540952999999997E-2</v>
      </c>
      <c r="AB44">
        <v>0</v>
      </c>
      <c r="AC44">
        <v>0</v>
      </c>
      <c r="AD44">
        <v>0</v>
      </c>
    </row>
    <row r="45" spans="1:30" x14ac:dyDescent="0.3">
      <c r="A45" s="1">
        <v>45364</v>
      </c>
      <c r="B45" s="3">
        <v>6.2524157999999996E-2</v>
      </c>
      <c r="C45" s="3">
        <v>9.1191491E-2</v>
      </c>
      <c r="D45" s="3">
        <v>6.8045894999999995E-2</v>
      </c>
      <c r="E45" s="3">
        <v>7.1475934000000005E-2</v>
      </c>
      <c r="F45" s="3">
        <v>6.6782800000000003E-2</v>
      </c>
      <c r="G45" s="3">
        <v>5.4295947999999997E-2</v>
      </c>
      <c r="H45" s="3">
        <v>0.13198385500000001</v>
      </c>
      <c r="I45" s="3">
        <v>9.1027006999999993E-2</v>
      </c>
      <c r="J45" s="3">
        <v>0.136081069</v>
      </c>
      <c r="K45" s="3">
        <v>4.8776079999999999E-2</v>
      </c>
      <c r="L45" s="3">
        <v>0.116371422</v>
      </c>
      <c r="M45" s="3">
        <v>5.3447379000000003E-2</v>
      </c>
      <c r="N45" s="3">
        <v>0.12728772599999999</v>
      </c>
      <c r="O45" s="3">
        <v>4.7317303999999998E-2</v>
      </c>
      <c r="P45" s="3">
        <v>0.12846960499999999</v>
      </c>
      <c r="Q45" s="3">
        <v>5.8029574E-2</v>
      </c>
      <c r="R45" s="3">
        <v>0.10411786100000001</v>
      </c>
      <c r="S45" s="3">
        <v>4.8256070999999998E-2</v>
      </c>
      <c r="T45" s="3">
        <v>0.15299143700000001</v>
      </c>
      <c r="U45" s="3">
        <v>7.2798873E-2</v>
      </c>
      <c r="AB45">
        <v>0</v>
      </c>
      <c r="AC45">
        <v>0</v>
      </c>
      <c r="AD45">
        <v>0</v>
      </c>
    </row>
    <row r="46" spans="1:30" x14ac:dyDescent="0.3">
      <c r="A46" s="1">
        <v>45365</v>
      </c>
      <c r="B46" s="3">
        <v>0.13781816899999999</v>
      </c>
      <c r="C46" s="3">
        <v>7.8554149000000004E-2</v>
      </c>
      <c r="D46" s="3">
        <v>0.182347965</v>
      </c>
      <c r="E46" s="3">
        <v>7.9050400000000007E-2</v>
      </c>
      <c r="F46" s="3">
        <v>6.2524157999999996E-2</v>
      </c>
      <c r="G46" s="3">
        <v>9.1191491E-2</v>
      </c>
      <c r="H46" s="3">
        <v>6.8045894999999995E-2</v>
      </c>
      <c r="I46" s="3">
        <v>7.1475934000000005E-2</v>
      </c>
      <c r="J46" s="3">
        <v>6.6782800000000003E-2</v>
      </c>
      <c r="K46" s="3">
        <v>5.4295947999999997E-2</v>
      </c>
      <c r="L46" s="3">
        <v>0.13198385500000001</v>
      </c>
      <c r="M46" s="3">
        <v>9.1027006999999993E-2</v>
      </c>
      <c r="N46" s="3">
        <v>0.136081069</v>
      </c>
      <c r="O46" s="3">
        <v>4.8776079999999999E-2</v>
      </c>
      <c r="P46" s="3">
        <v>0.116371422</v>
      </c>
      <c r="Q46" s="3">
        <v>5.3447379000000003E-2</v>
      </c>
      <c r="R46" s="3">
        <v>0.12728772599999999</v>
      </c>
      <c r="S46" s="3">
        <v>4.7317303999999998E-2</v>
      </c>
      <c r="T46" s="3">
        <v>0.12846960499999999</v>
      </c>
      <c r="U46" s="3">
        <v>5.8029574E-2</v>
      </c>
      <c r="AB46">
        <v>0</v>
      </c>
      <c r="AC46">
        <v>0</v>
      </c>
      <c r="AD46">
        <v>0</v>
      </c>
    </row>
    <row r="47" spans="1:30" x14ac:dyDescent="0.3">
      <c r="A47" s="1">
        <v>45366</v>
      </c>
      <c r="B47" s="3">
        <v>0.190178287</v>
      </c>
      <c r="C47" s="3">
        <v>5.7911913000000002E-2</v>
      </c>
      <c r="D47" s="3">
        <v>0.10931026100000001</v>
      </c>
      <c r="E47" s="3">
        <v>8.5477250000000005E-2</v>
      </c>
      <c r="F47" s="3">
        <v>0.13781816899999999</v>
      </c>
      <c r="G47" s="3">
        <v>7.8554149000000004E-2</v>
      </c>
      <c r="H47" s="3">
        <v>0.182347965</v>
      </c>
      <c r="I47" s="3">
        <v>7.9050400000000007E-2</v>
      </c>
      <c r="J47" s="3">
        <v>6.2524157999999996E-2</v>
      </c>
      <c r="K47" s="3">
        <v>9.1191491E-2</v>
      </c>
      <c r="L47" s="3">
        <v>6.8045894999999995E-2</v>
      </c>
      <c r="M47" s="3">
        <v>7.1475934000000005E-2</v>
      </c>
      <c r="N47" s="3">
        <v>6.6782800000000003E-2</v>
      </c>
      <c r="O47" s="3">
        <v>5.4295947999999997E-2</v>
      </c>
      <c r="P47" s="3">
        <v>0.13198385500000001</v>
      </c>
      <c r="Q47" s="3">
        <v>9.1027006999999993E-2</v>
      </c>
      <c r="R47" s="3">
        <v>0.136081069</v>
      </c>
      <c r="S47" s="3">
        <v>4.8776079999999999E-2</v>
      </c>
      <c r="T47" s="3">
        <v>0.116371422</v>
      </c>
      <c r="U47" s="3">
        <v>5.3447379000000003E-2</v>
      </c>
      <c r="AB47">
        <v>1</v>
      </c>
      <c r="AC47">
        <v>0</v>
      </c>
      <c r="AD47">
        <v>1</v>
      </c>
    </row>
    <row r="48" spans="1:30" x14ac:dyDescent="0.3">
      <c r="A48" s="1">
        <v>45369</v>
      </c>
      <c r="B48" s="3">
        <v>0.14085025700000001</v>
      </c>
      <c r="C48" s="3">
        <v>6.5119050999999997E-2</v>
      </c>
      <c r="D48" s="3">
        <v>0.24146942900000001</v>
      </c>
      <c r="E48" s="3">
        <v>0.19152001399999999</v>
      </c>
      <c r="F48" s="3">
        <v>0.190178287</v>
      </c>
      <c r="G48" s="3">
        <v>5.7911913000000002E-2</v>
      </c>
      <c r="H48" s="3">
        <v>0.10931026100000001</v>
      </c>
      <c r="I48" s="3">
        <v>8.5477250000000005E-2</v>
      </c>
      <c r="J48" s="3">
        <v>0.13781816899999999</v>
      </c>
      <c r="K48" s="3">
        <v>7.8554149000000004E-2</v>
      </c>
      <c r="L48" s="3">
        <v>0.182347965</v>
      </c>
      <c r="M48" s="3">
        <v>7.9050400000000007E-2</v>
      </c>
      <c r="N48" s="3">
        <v>6.2524157999999996E-2</v>
      </c>
      <c r="O48" s="3">
        <v>9.1191491E-2</v>
      </c>
      <c r="P48" s="3">
        <v>6.8045894999999995E-2</v>
      </c>
      <c r="Q48" s="3">
        <v>7.1475934000000005E-2</v>
      </c>
      <c r="R48" s="3">
        <v>6.6782800000000003E-2</v>
      </c>
      <c r="S48" s="3">
        <v>5.4295947999999997E-2</v>
      </c>
      <c r="T48" s="3">
        <v>0.13198385500000001</v>
      </c>
      <c r="U48" s="3">
        <v>9.1027006999999993E-2</v>
      </c>
      <c r="AB48">
        <v>1</v>
      </c>
      <c r="AC48">
        <v>0</v>
      </c>
      <c r="AD48">
        <v>1</v>
      </c>
    </row>
    <row r="49" spans="1:30" x14ac:dyDescent="0.3">
      <c r="A49" s="1">
        <v>45370</v>
      </c>
      <c r="B49" s="3">
        <v>0.20160302999999999</v>
      </c>
      <c r="C49" s="3">
        <v>0.11102574</v>
      </c>
      <c r="D49" s="3">
        <v>0.21970472999999999</v>
      </c>
      <c r="E49" s="3">
        <v>0.16450008199999999</v>
      </c>
      <c r="F49" s="3">
        <v>0.14085025700000001</v>
      </c>
      <c r="G49" s="3">
        <v>6.5119050999999997E-2</v>
      </c>
      <c r="H49" s="3">
        <v>0.24146942900000001</v>
      </c>
      <c r="I49" s="3">
        <v>0.19152001399999999</v>
      </c>
      <c r="J49" s="3">
        <v>0.190178287</v>
      </c>
      <c r="K49" s="3">
        <v>5.7911913000000002E-2</v>
      </c>
      <c r="L49" s="3">
        <v>0.10931026100000001</v>
      </c>
      <c r="M49" s="3">
        <v>8.5477250000000005E-2</v>
      </c>
      <c r="N49" s="3">
        <v>0.13781816899999999</v>
      </c>
      <c r="O49" s="3">
        <v>7.8554149000000004E-2</v>
      </c>
      <c r="P49" s="3">
        <v>0.182347965</v>
      </c>
      <c r="Q49" s="3">
        <v>7.9050400000000007E-2</v>
      </c>
      <c r="R49" s="3">
        <v>6.2524157999999996E-2</v>
      </c>
      <c r="S49" s="3">
        <v>9.1191491E-2</v>
      </c>
      <c r="T49" s="3">
        <v>6.8045894999999995E-2</v>
      </c>
      <c r="U49" s="3">
        <v>7.1475934000000005E-2</v>
      </c>
      <c r="AB49">
        <v>0</v>
      </c>
      <c r="AC49">
        <v>0</v>
      </c>
      <c r="AD49">
        <v>0</v>
      </c>
    </row>
    <row r="50" spans="1:30" x14ac:dyDescent="0.3">
      <c r="A50" s="1">
        <v>45371</v>
      </c>
      <c r="B50" s="3">
        <v>3.1604478999999998E-2</v>
      </c>
      <c r="C50" s="3">
        <v>2.4805913999999998E-2</v>
      </c>
      <c r="D50" s="3">
        <v>2.3171291E-2</v>
      </c>
      <c r="E50" s="3">
        <v>3.6138425000000002E-2</v>
      </c>
      <c r="F50" s="3">
        <v>0.20160302999999999</v>
      </c>
      <c r="G50" s="3">
        <v>0.11102574</v>
      </c>
      <c r="H50" s="3">
        <v>0.21970472999999999</v>
      </c>
      <c r="I50" s="3">
        <v>0.16450008199999999</v>
      </c>
      <c r="J50" s="3">
        <v>0.14085025700000001</v>
      </c>
      <c r="K50" s="3">
        <v>6.5119050999999997E-2</v>
      </c>
      <c r="L50" s="3">
        <v>0.24146942900000001</v>
      </c>
      <c r="M50" s="3">
        <v>0.19152001399999999</v>
      </c>
      <c r="N50" s="3">
        <v>0.190178287</v>
      </c>
      <c r="O50" s="3">
        <v>5.7911913000000002E-2</v>
      </c>
      <c r="P50" s="3">
        <v>0.10931026100000001</v>
      </c>
      <c r="Q50" s="3">
        <v>8.5477250000000005E-2</v>
      </c>
      <c r="R50" s="3">
        <v>0.13781816899999999</v>
      </c>
      <c r="S50" s="3">
        <v>7.8554149000000004E-2</v>
      </c>
      <c r="T50" s="3">
        <v>0.182347965</v>
      </c>
      <c r="U50" s="3">
        <v>7.9050400000000007E-2</v>
      </c>
      <c r="AB50">
        <v>1</v>
      </c>
      <c r="AC50">
        <v>0</v>
      </c>
      <c r="AD50">
        <v>1</v>
      </c>
    </row>
    <row r="51" spans="1:30" x14ac:dyDescent="0.3">
      <c r="A51" s="1">
        <v>45372</v>
      </c>
      <c r="B51" s="3">
        <v>5.8978428999999999E-2</v>
      </c>
      <c r="C51" s="3">
        <v>5.0716273999999999E-2</v>
      </c>
      <c r="D51" s="3">
        <v>9.2260463000000001E-2</v>
      </c>
      <c r="E51" s="3">
        <v>3.1881900999999997E-2</v>
      </c>
      <c r="F51" s="3">
        <v>3.1604478999999998E-2</v>
      </c>
      <c r="G51" s="3">
        <v>2.4805913999999998E-2</v>
      </c>
      <c r="H51" s="3">
        <v>2.3171291E-2</v>
      </c>
      <c r="I51" s="3">
        <v>3.6138425000000002E-2</v>
      </c>
      <c r="J51" s="3">
        <v>0.20160302999999999</v>
      </c>
      <c r="K51" s="3">
        <v>0.11102574</v>
      </c>
      <c r="L51" s="3">
        <v>0.21970472999999999</v>
      </c>
      <c r="M51" s="3">
        <v>0.16450008199999999</v>
      </c>
      <c r="N51" s="3">
        <v>0.14085025700000001</v>
      </c>
      <c r="O51" s="3">
        <v>6.5119050999999997E-2</v>
      </c>
      <c r="P51" s="3">
        <v>0.24146942900000001</v>
      </c>
      <c r="Q51" s="3">
        <v>0.19152001399999999</v>
      </c>
      <c r="R51" s="3">
        <v>0.190178287</v>
      </c>
      <c r="S51" s="3">
        <v>5.7911913000000002E-2</v>
      </c>
      <c r="T51" s="3">
        <v>0.10931026100000001</v>
      </c>
      <c r="U51" s="3">
        <v>8.5477250000000005E-2</v>
      </c>
      <c r="AB51">
        <v>0</v>
      </c>
      <c r="AC51">
        <v>0</v>
      </c>
      <c r="AD51">
        <v>0</v>
      </c>
    </row>
    <row r="52" spans="1:30" x14ac:dyDescent="0.3">
      <c r="A52" s="1">
        <v>45373</v>
      </c>
      <c r="B52" s="3">
        <v>6.4028084999999998E-2</v>
      </c>
      <c r="C52" s="3">
        <v>3.3635076E-2</v>
      </c>
      <c r="D52" s="3">
        <v>7.6581439000000001E-2</v>
      </c>
      <c r="E52" s="3">
        <v>4.3930663000000002E-2</v>
      </c>
      <c r="F52" s="3">
        <v>5.8978428999999999E-2</v>
      </c>
      <c r="G52" s="3">
        <v>5.0716273999999999E-2</v>
      </c>
      <c r="H52" s="3">
        <v>9.2260463000000001E-2</v>
      </c>
      <c r="I52" s="3">
        <v>3.1881900999999997E-2</v>
      </c>
      <c r="J52" s="3">
        <v>3.1604478999999998E-2</v>
      </c>
      <c r="K52" s="3">
        <v>2.4805913999999998E-2</v>
      </c>
      <c r="L52" s="3">
        <v>2.3171291E-2</v>
      </c>
      <c r="M52" s="3">
        <v>3.6138425000000002E-2</v>
      </c>
      <c r="N52" s="3">
        <v>0.20160302999999999</v>
      </c>
      <c r="O52" s="3">
        <v>0.11102574</v>
      </c>
      <c r="P52" s="3">
        <v>0.21970472999999999</v>
      </c>
      <c r="Q52" s="3">
        <v>0.16450008199999999</v>
      </c>
      <c r="R52" s="3">
        <v>0.14085025700000001</v>
      </c>
      <c r="S52" s="3">
        <v>6.5119050999999997E-2</v>
      </c>
      <c r="T52" s="3">
        <v>0.24146942900000001</v>
      </c>
      <c r="U52" s="3">
        <v>0.19152001399999999</v>
      </c>
      <c r="AB52">
        <v>0</v>
      </c>
      <c r="AC52">
        <v>0</v>
      </c>
      <c r="AD52">
        <v>0</v>
      </c>
    </row>
    <row r="53" spans="1:30" x14ac:dyDescent="0.3">
      <c r="A53" s="1">
        <v>45376</v>
      </c>
      <c r="B53" s="3">
        <v>5.4219320000000001E-2</v>
      </c>
      <c r="C53" s="3">
        <v>2.3277367E-2</v>
      </c>
      <c r="D53" s="3">
        <v>6.6362799E-2</v>
      </c>
      <c r="E53" s="3">
        <v>0.11284781000000001</v>
      </c>
      <c r="F53" s="3">
        <v>6.4028084999999998E-2</v>
      </c>
      <c r="G53" s="3">
        <v>3.3635076E-2</v>
      </c>
      <c r="H53" s="3">
        <v>7.6581439000000001E-2</v>
      </c>
      <c r="I53" s="3">
        <v>4.3930663000000002E-2</v>
      </c>
      <c r="J53" s="3">
        <v>5.8978428999999999E-2</v>
      </c>
      <c r="K53" s="3">
        <v>5.0716273999999999E-2</v>
      </c>
      <c r="L53" s="3">
        <v>9.2260463000000001E-2</v>
      </c>
      <c r="M53" s="3">
        <v>3.1881900999999997E-2</v>
      </c>
      <c r="N53" s="3">
        <v>3.1604478999999998E-2</v>
      </c>
      <c r="O53" s="3">
        <v>2.4805913999999998E-2</v>
      </c>
      <c r="P53" s="3">
        <v>2.3171291E-2</v>
      </c>
      <c r="Q53" s="3">
        <v>3.6138425000000002E-2</v>
      </c>
      <c r="R53" s="3">
        <v>0.20160302999999999</v>
      </c>
      <c r="S53" s="3">
        <v>0.11102574</v>
      </c>
      <c r="T53" s="3">
        <v>0.21970472999999999</v>
      </c>
      <c r="U53" s="3">
        <v>0.16450008199999999</v>
      </c>
      <c r="AB53">
        <v>0</v>
      </c>
      <c r="AC53">
        <v>0</v>
      </c>
      <c r="AD53">
        <v>0</v>
      </c>
    </row>
    <row r="54" spans="1:30" x14ac:dyDescent="0.3">
      <c r="A54" s="1">
        <v>45377</v>
      </c>
      <c r="B54" s="3">
        <v>5.8271165999999999E-2</v>
      </c>
      <c r="C54" s="3">
        <v>4.8384310999999999E-2</v>
      </c>
      <c r="D54" s="3">
        <v>3.4915859E-2</v>
      </c>
      <c r="E54" s="3">
        <v>3.5305156999999997E-2</v>
      </c>
      <c r="F54" s="3">
        <v>5.4219320000000001E-2</v>
      </c>
      <c r="G54" s="3">
        <v>2.3277367E-2</v>
      </c>
      <c r="H54" s="3">
        <v>6.6362799E-2</v>
      </c>
      <c r="I54" s="3">
        <v>0.11284781000000001</v>
      </c>
      <c r="J54" s="3">
        <v>6.4028084999999998E-2</v>
      </c>
      <c r="K54" s="3">
        <v>3.3635076E-2</v>
      </c>
      <c r="L54" s="3">
        <v>7.6581439000000001E-2</v>
      </c>
      <c r="M54" s="3">
        <v>4.3930663000000002E-2</v>
      </c>
      <c r="N54" s="3">
        <v>5.8978428999999999E-2</v>
      </c>
      <c r="O54" s="3">
        <v>5.0716273999999999E-2</v>
      </c>
      <c r="P54" s="3">
        <v>9.2260463000000001E-2</v>
      </c>
      <c r="Q54" s="3">
        <v>3.1881900999999997E-2</v>
      </c>
      <c r="R54" s="3">
        <v>3.1604478999999998E-2</v>
      </c>
      <c r="S54" s="3">
        <v>2.4805913999999998E-2</v>
      </c>
      <c r="T54" s="3">
        <v>2.3171291E-2</v>
      </c>
      <c r="U54" s="3">
        <v>3.6138425000000002E-2</v>
      </c>
      <c r="AB54">
        <v>1</v>
      </c>
      <c r="AC54">
        <v>0</v>
      </c>
      <c r="AD54">
        <v>1</v>
      </c>
    </row>
    <row r="55" spans="1:30" x14ac:dyDescent="0.3">
      <c r="A55" s="1">
        <v>45378</v>
      </c>
      <c r="B55" s="3">
        <v>2.4455893999999999E-2</v>
      </c>
      <c r="C55" s="3">
        <v>3.2642035E-2</v>
      </c>
      <c r="D55" s="3">
        <v>3.5296764000000001E-2</v>
      </c>
      <c r="E55" s="3">
        <v>3.3248476999999999E-2</v>
      </c>
      <c r="F55" s="3">
        <v>5.8271165999999999E-2</v>
      </c>
      <c r="G55" s="3">
        <v>4.8384310999999999E-2</v>
      </c>
      <c r="H55" s="3">
        <v>3.4915859E-2</v>
      </c>
      <c r="I55" s="3">
        <v>3.5305156999999997E-2</v>
      </c>
      <c r="J55" s="3">
        <v>5.4219320000000001E-2</v>
      </c>
      <c r="K55" s="3">
        <v>2.3277367E-2</v>
      </c>
      <c r="L55" s="3">
        <v>6.6362799E-2</v>
      </c>
      <c r="M55" s="3">
        <v>0.11284781000000001</v>
      </c>
      <c r="N55" s="3">
        <v>6.4028084999999998E-2</v>
      </c>
      <c r="O55" s="3">
        <v>3.3635076E-2</v>
      </c>
      <c r="P55" s="3">
        <v>7.6581439000000001E-2</v>
      </c>
      <c r="Q55" s="3">
        <v>4.3930663000000002E-2</v>
      </c>
      <c r="R55" s="3">
        <v>5.8978428999999999E-2</v>
      </c>
      <c r="S55" s="3">
        <v>5.0716273999999999E-2</v>
      </c>
      <c r="T55" s="3">
        <v>9.2260463000000001E-2</v>
      </c>
      <c r="U55" s="3">
        <v>3.1881900999999997E-2</v>
      </c>
      <c r="AB55">
        <v>0</v>
      </c>
      <c r="AC55">
        <v>0</v>
      </c>
      <c r="AD55">
        <v>0</v>
      </c>
    </row>
    <row r="56" spans="1:30" x14ac:dyDescent="0.3">
      <c r="A56" s="1">
        <v>45379</v>
      </c>
      <c r="B56" s="3">
        <v>8.1685691000000005E-2</v>
      </c>
      <c r="C56" s="3">
        <v>1.8670208000000001E-2</v>
      </c>
      <c r="D56" s="3">
        <v>7.5074512999999995E-2</v>
      </c>
      <c r="E56" s="3">
        <v>2.5674717E-2</v>
      </c>
      <c r="F56" s="3">
        <v>2.4455893999999999E-2</v>
      </c>
      <c r="G56" s="3">
        <v>3.2642035E-2</v>
      </c>
      <c r="H56" s="3">
        <v>3.5296764000000001E-2</v>
      </c>
      <c r="I56" s="3">
        <v>3.3248476999999999E-2</v>
      </c>
      <c r="J56" s="3">
        <v>5.8271165999999999E-2</v>
      </c>
      <c r="K56" s="3">
        <v>4.8384310999999999E-2</v>
      </c>
      <c r="L56" s="3">
        <v>3.4915859E-2</v>
      </c>
      <c r="M56" s="3">
        <v>3.5305156999999997E-2</v>
      </c>
      <c r="N56" s="3">
        <v>5.4219320000000001E-2</v>
      </c>
      <c r="O56" s="3">
        <v>2.3277367E-2</v>
      </c>
      <c r="P56" s="3">
        <v>6.6362799E-2</v>
      </c>
      <c r="Q56" s="3">
        <v>0.11284781000000001</v>
      </c>
      <c r="R56" s="3">
        <v>6.4028084999999998E-2</v>
      </c>
      <c r="S56" s="3">
        <v>3.3635076E-2</v>
      </c>
      <c r="T56" s="3">
        <v>7.6581439000000001E-2</v>
      </c>
      <c r="U56" s="3">
        <v>4.3930663000000002E-2</v>
      </c>
      <c r="AB56">
        <v>0</v>
      </c>
      <c r="AC56">
        <v>0</v>
      </c>
      <c r="AD56">
        <v>0</v>
      </c>
    </row>
    <row r="57" spans="1:30" x14ac:dyDescent="0.3">
      <c r="A57" s="1">
        <v>45380</v>
      </c>
      <c r="B57" s="3">
        <v>4.9500888E-2</v>
      </c>
      <c r="C57" s="3">
        <v>2.6920118E-2</v>
      </c>
      <c r="D57" s="3">
        <v>8.3746521000000004E-2</v>
      </c>
      <c r="E57" s="3">
        <v>2.4562125000000001E-2</v>
      </c>
      <c r="F57" s="3">
        <v>8.1685691000000005E-2</v>
      </c>
      <c r="G57" s="3">
        <v>1.8670208000000001E-2</v>
      </c>
      <c r="H57" s="3">
        <v>7.5074512999999995E-2</v>
      </c>
      <c r="I57" s="3">
        <v>2.5674717E-2</v>
      </c>
      <c r="J57" s="3">
        <v>2.4455893999999999E-2</v>
      </c>
      <c r="K57" s="3">
        <v>3.2642035E-2</v>
      </c>
      <c r="L57" s="3">
        <v>3.5296764000000001E-2</v>
      </c>
      <c r="M57" s="3">
        <v>3.3248476999999999E-2</v>
      </c>
      <c r="N57" s="3">
        <v>5.8271165999999999E-2</v>
      </c>
      <c r="O57" s="3">
        <v>4.8384310999999999E-2</v>
      </c>
      <c r="P57" s="3">
        <v>3.4915859E-2</v>
      </c>
      <c r="Q57" s="3">
        <v>3.5305156999999997E-2</v>
      </c>
      <c r="R57" s="3">
        <v>5.4219320000000001E-2</v>
      </c>
      <c r="S57" s="3">
        <v>2.3277367E-2</v>
      </c>
      <c r="T57" s="3">
        <v>6.6362799E-2</v>
      </c>
      <c r="U57" s="3">
        <v>0.11284781000000001</v>
      </c>
      <c r="AB57">
        <v>1</v>
      </c>
      <c r="AC57">
        <v>0</v>
      </c>
      <c r="AD57">
        <v>1</v>
      </c>
    </row>
    <row r="58" spans="1:30" x14ac:dyDescent="0.3">
      <c r="A58" s="1">
        <v>45383</v>
      </c>
      <c r="B58" s="3">
        <v>7.2730395000000003E-2</v>
      </c>
      <c r="C58" s="3">
        <v>2.6555614000000002E-2</v>
      </c>
      <c r="D58" s="3">
        <v>6.2317012999999997E-2</v>
      </c>
      <c r="E58" s="3">
        <v>4.6259020999999997E-2</v>
      </c>
      <c r="F58" s="3">
        <v>4.9500888E-2</v>
      </c>
      <c r="G58" s="3">
        <v>2.6920118E-2</v>
      </c>
      <c r="H58" s="3">
        <v>8.3746521000000004E-2</v>
      </c>
      <c r="I58" s="3">
        <v>2.4562125000000001E-2</v>
      </c>
      <c r="J58" s="3">
        <v>8.1685691000000005E-2</v>
      </c>
      <c r="K58" s="3">
        <v>1.8670208000000001E-2</v>
      </c>
      <c r="L58" s="3">
        <v>7.5074512999999995E-2</v>
      </c>
      <c r="M58" s="3">
        <v>2.5674717E-2</v>
      </c>
      <c r="N58" s="3">
        <v>2.4455893999999999E-2</v>
      </c>
      <c r="O58" s="3">
        <v>3.2642035E-2</v>
      </c>
      <c r="P58" s="3">
        <v>3.5296764000000001E-2</v>
      </c>
      <c r="Q58" s="3">
        <v>3.3248476999999999E-2</v>
      </c>
      <c r="R58" s="3">
        <v>5.8271165999999999E-2</v>
      </c>
      <c r="S58" s="3">
        <v>4.8384310999999999E-2</v>
      </c>
      <c r="T58" s="3">
        <v>3.4915859E-2</v>
      </c>
      <c r="U58" s="3">
        <v>3.5305156999999997E-2</v>
      </c>
      <c r="AB58">
        <v>1</v>
      </c>
      <c r="AC58">
        <v>0</v>
      </c>
      <c r="AD58">
        <v>1</v>
      </c>
    </row>
    <row r="59" spans="1:30" x14ac:dyDescent="0.3">
      <c r="A59" s="1">
        <v>45384</v>
      </c>
      <c r="B59" s="3">
        <v>3.4597286999999997E-2</v>
      </c>
      <c r="C59" s="3">
        <v>4.2242519999999999E-2</v>
      </c>
      <c r="D59" s="3">
        <v>7.6240326999999997E-2</v>
      </c>
      <c r="E59" s="3">
        <v>4.4451790999999997E-2</v>
      </c>
      <c r="F59" s="3">
        <v>7.2730395000000003E-2</v>
      </c>
      <c r="G59" s="3">
        <v>2.6555614000000002E-2</v>
      </c>
      <c r="H59" s="3">
        <v>6.2317012999999997E-2</v>
      </c>
      <c r="I59" s="3">
        <v>4.6259020999999997E-2</v>
      </c>
      <c r="J59" s="3">
        <v>4.9500888E-2</v>
      </c>
      <c r="K59" s="3">
        <v>2.6920118E-2</v>
      </c>
      <c r="L59" s="3">
        <v>8.3746521000000004E-2</v>
      </c>
      <c r="M59" s="3">
        <v>2.4562125000000001E-2</v>
      </c>
      <c r="N59" s="3">
        <v>8.1685691000000005E-2</v>
      </c>
      <c r="O59" s="3">
        <v>1.8670208000000001E-2</v>
      </c>
      <c r="P59" s="3">
        <v>7.5074512999999995E-2</v>
      </c>
      <c r="Q59" s="3">
        <v>2.5674717E-2</v>
      </c>
      <c r="R59" s="3">
        <v>2.4455893999999999E-2</v>
      </c>
      <c r="S59" s="3">
        <v>3.2642035E-2</v>
      </c>
      <c r="T59" s="3">
        <v>3.5296764000000001E-2</v>
      </c>
      <c r="U59" s="3">
        <v>3.3248476999999999E-2</v>
      </c>
      <c r="AB59">
        <v>0</v>
      </c>
      <c r="AC59">
        <v>0</v>
      </c>
      <c r="AD59">
        <v>0</v>
      </c>
    </row>
    <row r="60" spans="1:30" x14ac:dyDescent="0.3">
      <c r="A60" s="1">
        <v>45385</v>
      </c>
      <c r="B60" s="3">
        <v>3.4941775000000001E-2</v>
      </c>
      <c r="C60" s="3">
        <v>3.0571625000000002E-2</v>
      </c>
      <c r="D60" s="3">
        <v>3.730555E-2</v>
      </c>
      <c r="E60" s="3">
        <v>4.9370821000000002E-2</v>
      </c>
      <c r="F60" s="3">
        <v>3.4597286999999997E-2</v>
      </c>
      <c r="G60" s="3">
        <v>4.2242519999999999E-2</v>
      </c>
      <c r="H60" s="3">
        <v>7.6240326999999997E-2</v>
      </c>
      <c r="I60" s="3">
        <v>4.4451790999999997E-2</v>
      </c>
      <c r="J60" s="3">
        <v>7.2730395000000003E-2</v>
      </c>
      <c r="K60" s="3">
        <v>2.6555614000000002E-2</v>
      </c>
      <c r="L60" s="3">
        <v>6.2317012999999997E-2</v>
      </c>
      <c r="M60" s="3">
        <v>4.6259020999999997E-2</v>
      </c>
      <c r="N60" s="3">
        <v>4.9500888E-2</v>
      </c>
      <c r="O60" s="3">
        <v>2.6920118E-2</v>
      </c>
      <c r="P60" s="3">
        <v>8.3746521000000004E-2</v>
      </c>
      <c r="Q60" s="3">
        <v>2.4562125000000001E-2</v>
      </c>
      <c r="R60" s="3">
        <v>8.1685691000000005E-2</v>
      </c>
      <c r="S60" s="3">
        <v>1.8670208000000001E-2</v>
      </c>
      <c r="T60" s="3">
        <v>7.5074512999999995E-2</v>
      </c>
      <c r="U60" s="3">
        <v>2.5674717E-2</v>
      </c>
      <c r="AB60">
        <v>1</v>
      </c>
      <c r="AC60">
        <v>0</v>
      </c>
      <c r="AD60">
        <v>1</v>
      </c>
    </row>
    <row r="61" spans="1:30" x14ac:dyDescent="0.3">
      <c r="A61" s="1">
        <v>45390</v>
      </c>
      <c r="B61" s="3">
        <v>9.4906663000000002E-2</v>
      </c>
      <c r="C61" s="3">
        <v>5.0673617999999997E-2</v>
      </c>
      <c r="D61" s="3">
        <v>0.10140067799999999</v>
      </c>
      <c r="E61" s="3">
        <v>5.3841943000000003E-2</v>
      </c>
      <c r="F61" s="3">
        <v>3.4941775000000001E-2</v>
      </c>
      <c r="G61" s="3">
        <v>3.0571625000000002E-2</v>
      </c>
      <c r="H61" s="3">
        <v>3.730555E-2</v>
      </c>
      <c r="I61" s="3">
        <v>4.9370821000000002E-2</v>
      </c>
      <c r="J61" s="3">
        <v>3.4597286999999997E-2</v>
      </c>
      <c r="K61" s="3">
        <v>4.2242519999999999E-2</v>
      </c>
      <c r="L61" s="3">
        <v>7.6240326999999997E-2</v>
      </c>
      <c r="M61" s="3">
        <v>4.4451790999999997E-2</v>
      </c>
      <c r="N61" s="3">
        <v>7.2730395000000003E-2</v>
      </c>
      <c r="O61" s="3">
        <v>2.6555614000000002E-2</v>
      </c>
      <c r="P61" s="3">
        <v>6.2317012999999997E-2</v>
      </c>
      <c r="Q61" s="3">
        <v>4.6259020999999997E-2</v>
      </c>
      <c r="R61" s="3">
        <v>4.9500888E-2</v>
      </c>
      <c r="S61" s="3">
        <v>2.6920118E-2</v>
      </c>
      <c r="T61" s="3">
        <v>8.3746521000000004E-2</v>
      </c>
      <c r="U61" s="3">
        <v>2.4562125000000001E-2</v>
      </c>
      <c r="AB61">
        <v>0</v>
      </c>
      <c r="AC61">
        <v>0</v>
      </c>
      <c r="AD61">
        <v>0</v>
      </c>
    </row>
    <row r="62" spans="1:30" x14ac:dyDescent="0.3">
      <c r="A62" s="1">
        <v>45391</v>
      </c>
      <c r="B62" s="3">
        <v>4.1391624000000002E-2</v>
      </c>
      <c r="C62" s="3">
        <v>5.4968860000000001E-2</v>
      </c>
      <c r="D62" s="3">
        <v>0.115734584</v>
      </c>
      <c r="E62" s="3">
        <v>6.7915087999999998E-2</v>
      </c>
      <c r="F62" s="3">
        <v>9.4906663000000002E-2</v>
      </c>
      <c r="G62" s="3">
        <v>5.0673617999999997E-2</v>
      </c>
      <c r="H62" s="3">
        <v>0.10140067799999999</v>
      </c>
      <c r="I62" s="3">
        <v>5.3841943000000003E-2</v>
      </c>
      <c r="J62" s="3">
        <v>3.4941775000000001E-2</v>
      </c>
      <c r="K62" s="3">
        <v>3.0571625000000002E-2</v>
      </c>
      <c r="L62" s="3">
        <v>3.730555E-2</v>
      </c>
      <c r="M62" s="3">
        <v>4.9370821000000002E-2</v>
      </c>
      <c r="N62" s="3">
        <v>3.4597286999999997E-2</v>
      </c>
      <c r="O62" s="3">
        <v>4.2242519999999999E-2</v>
      </c>
      <c r="P62" s="3">
        <v>7.6240326999999997E-2</v>
      </c>
      <c r="Q62" s="3">
        <v>4.4451790999999997E-2</v>
      </c>
      <c r="R62" s="3">
        <v>7.2730395000000003E-2</v>
      </c>
      <c r="S62" s="3">
        <v>2.6555614000000002E-2</v>
      </c>
      <c r="T62" s="3">
        <v>6.2317012999999997E-2</v>
      </c>
      <c r="U62" s="3">
        <v>4.6259020999999997E-2</v>
      </c>
      <c r="V62" s="3">
        <v>0.27136031788558806</v>
      </c>
      <c r="W62" s="3">
        <v>0.14159493251788655</v>
      </c>
      <c r="X62" s="3">
        <v>0</v>
      </c>
      <c r="AB62">
        <v>0</v>
      </c>
      <c r="AC62">
        <v>1</v>
      </c>
      <c r="AD62">
        <v>1</v>
      </c>
    </row>
    <row r="63" spans="1:30" x14ac:dyDescent="0.3">
      <c r="A63" s="1">
        <v>45392</v>
      </c>
      <c r="B63" s="3">
        <v>6.3278144999999994E-2</v>
      </c>
      <c r="C63" s="3">
        <v>5.0657035000000003E-2</v>
      </c>
      <c r="D63" s="3">
        <v>5.4095422999999997E-2</v>
      </c>
      <c r="E63" s="3">
        <v>7.1495661000000002E-2</v>
      </c>
      <c r="F63" s="3">
        <v>4.1391624000000002E-2</v>
      </c>
      <c r="G63" s="3">
        <v>5.4968860000000001E-2</v>
      </c>
      <c r="H63" s="3">
        <v>0.115734584</v>
      </c>
      <c r="I63" s="3">
        <v>6.7915087999999998E-2</v>
      </c>
      <c r="J63" s="3">
        <v>9.4906663000000002E-2</v>
      </c>
      <c r="K63" s="3">
        <v>5.0673617999999997E-2</v>
      </c>
      <c r="L63" s="3">
        <v>0.10140067799999999</v>
      </c>
      <c r="M63" s="3">
        <v>5.3841943000000003E-2</v>
      </c>
      <c r="N63" s="3">
        <v>3.4941775000000001E-2</v>
      </c>
      <c r="O63" s="3">
        <v>3.0571625000000002E-2</v>
      </c>
      <c r="P63" s="3">
        <v>3.730555E-2</v>
      </c>
      <c r="Q63" s="3">
        <v>4.9370821000000002E-2</v>
      </c>
      <c r="R63" s="3">
        <v>3.4597286999999997E-2</v>
      </c>
      <c r="S63" s="3">
        <v>4.2242519999999999E-2</v>
      </c>
      <c r="T63" s="3">
        <v>7.6240326999999997E-2</v>
      </c>
      <c r="U63" s="3">
        <v>4.4451790999999997E-2</v>
      </c>
      <c r="V63" s="3">
        <v>0.27136031788558806</v>
      </c>
      <c r="W63" s="3">
        <v>0.13414061905361521</v>
      </c>
      <c r="X63" s="3">
        <v>8.9510271502273048E-3</v>
      </c>
      <c r="AB63">
        <v>0</v>
      </c>
      <c r="AC63">
        <v>1</v>
      </c>
      <c r="AD63">
        <v>1</v>
      </c>
    </row>
    <row r="64" spans="1:30" x14ac:dyDescent="0.3">
      <c r="A64" s="1">
        <v>45393</v>
      </c>
      <c r="B64" s="3">
        <v>0.124485162</v>
      </c>
      <c r="C64" s="3">
        <v>5.7935056999999998E-2</v>
      </c>
      <c r="D64" s="3">
        <v>0.17060766599999999</v>
      </c>
      <c r="E64" s="3">
        <v>7.9836342000000005E-2</v>
      </c>
      <c r="F64" s="3">
        <v>6.3278144999999994E-2</v>
      </c>
      <c r="G64" s="3">
        <v>5.0657035000000003E-2</v>
      </c>
      <c r="H64" s="3">
        <v>5.4095422999999997E-2</v>
      </c>
      <c r="I64" s="3">
        <v>7.1495661000000002E-2</v>
      </c>
      <c r="J64" s="3">
        <v>4.1391624000000002E-2</v>
      </c>
      <c r="K64" s="3">
        <v>5.4968860000000001E-2</v>
      </c>
      <c r="L64" s="3">
        <v>0.115734584</v>
      </c>
      <c r="M64" s="3">
        <v>6.7915087999999998E-2</v>
      </c>
      <c r="N64" s="3">
        <v>9.4906663000000002E-2</v>
      </c>
      <c r="O64" s="3">
        <v>5.0673617999999997E-2</v>
      </c>
      <c r="P64" s="3">
        <v>0.10140067799999999</v>
      </c>
      <c r="Q64" s="3">
        <v>5.3841943000000003E-2</v>
      </c>
      <c r="R64" s="3">
        <v>3.4941775000000001E-2</v>
      </c>
      <c r="S64" s="3">
        <v>3.0571625000000002E-2</v>
      </c>
      <c r="T64" s="3">
        <v>3.730555E-2</v>
      </c>
      <c r="U64" s="3">
        <v>4.9370821000000002E-2</v>
      </c>
      <c r="V64" s="3">
        <v>0.27136031788558806</v>
      </c>
      <c r="W64" s="3">
        <v>0.13413423670957203</v>
      </c>
      <c r="X64" s="3">
        <v>6.3005037305122824E-3</v>
      </c>
      <c r="AB64">
        <v>0</v>
      </c>
      <c r="AC64">
        <v>1</v>
      </c>
      <c r="AD64">
        <v>1</v>
      </c>
    </row>
    <row r="65" spans="1:30" x14ac:dyDescent="0.3">
      <c r="A65" s="1">
        <v>45394</v>
      </c>
      <c r="B65" s="3">
        <v>0.119436177</v>
      </c>
      <c r="C65" s="3">
        <v>6.2177839999999998E-2</v>
      </c>
      <c r="D65" s="3">
        <v>0.15178365499999999</v>
      </c>
      <c r="E65" s="3">
        <v>0.104777907</v>
      </c>
      <c r="F65" s="3">
        <v>0.124485162</v>
      </c>
      <c r="G65" s="3">
        <v>5.7935056999999998E-2</v>
      </c>
      <c r="H65" s="3">
        <v>0.17060766599999999</v>
      </c>
      <c r="I65" s="3">
        <v>7.9836342000000005E-2</v>
      </c>
      <c r="J65" s="3">
        <v>6.3278144999999994E-2</v>
      </c>
      <c r="K65" s="3">
        <v>5.0657035000000003E-2</v>
      </c>
      <c r="L65" s="3">
        <v>5.4095422999999997E-2</v>
      </c>
      <c r="M65" s="3">
        <v>7.1495661000000002E-2</v>
      </c>
      <c r="N65" s="3">
        <v>4.1391624000000002E-2</v>
      </c>
      <c r="O65" s="3">
        <v>5.4968860000000001E-2</v>
      </c>
      <c r="P65" s="3">
        <v>0.115734584</v>
      </c>
      <c r="Q65" s="3">
        <v>6.7915087999999998E-2</v>
      </c>
      <c r="R65" s="3">
        <v>9.4906663000000002E-2</v>
      </c>
      <c r="S65" s="3">
        <v>5.0673617999999997E-2</v>
      </c>
      <c r="T65" s="3">
        <v>0.10140067799999999</v>
      </c>
      <c r="U65" s="3">
        <v>5.3841943000000003E-2</v>
      </c>
      <c r="V65" s="3">
        <v>0.27136031788558806</v>
      </c>
      <c r="W65" s="3">
        <v>0.13398988903387188</v>
      </c>
      <c r="X65" s="3">
        <v>7.0936212474045964E-3</v>
      </c>
      <c r="AB65">
        <v>0</v>
      </c>
      <c r="AC65">
        <v>1</v>
      </c>
      <c r="AD65">
        <v>1</v>
      </c>
    </row>
    <row r="66" spans="1:30" x14ac:dyDescent="0.3">
      <c r="A66" s="1">
        <v>45397</v>
      </c>
      <c r="B66" s="3">
        <v>0.23233798999999999</v>
      </c>
      <c r="C66" s="3">
        <v>9.9888082000000003E-2</v>
      </c>
      <c r="D66" s="3">
        <v>0.12728091899999999</v>
      </c>
      <c r="E66" s="3">
        <v>0.12680773300000001</v>
      </c>
      <c r="F66" s="3">
        <v>0.119436177</v>
      </c>
      <c r="G66" s="3">
        <v>6.2177839999999998E-2</v>
      </c>
      <c r="H66" s="3">
        <v>0.15178365499999999</v>
      </c>
      <c r="I66" s="3">
        <v>0.104777907</v>
      </c>
      <c r="J66" s="3">
        <v>0.124485162</v>
      </c>
      <c r="K66" s="3">
        <v>5.7935056999999998E-2</v>
      </c>
      <c r="L66" s="3">
        <v>0.17060766599999999</v>
      </c>
      <c r="M66" s="3">
        <v>7.9836342000000005E-2</v>
      </c>
      <c r="N66" s="3">
        <v>6.3278144999999994E-2</v>
      </c>
      <c r="O66" s="3">
        <v>5.0657035000000003E-2</v>
      </c>
      <c r="P66" s="3">
        <v>5.4095422999999997E-2</v>
      </c>
      <c r="Q66" s="3">
        <v>7.1495661000000002E-2</v>
      </c>
      <c r="R66" s="3">
        <v>4.1391624000000002E-2</v>
      </c>
      <c r="S66" s="3">
        <v>5.4968860000000001E-2</v>
      </c>
      <c r="T66" s="3">
        <v>0.115734584</v>
      </c>
      <c r="U66" s="3">
        <v>6.7915087999999998E-2</v>
      </c>
      <c r="V66" s="3">
        <v>0.24949963535499323</v>
      </c>
      <c r="W66" s="3">
        <v>0.13629250928839395</v>
      </c>
      <c r="X66" s="3">
        <v>2.4543408506239716E-2</v>
      </c>
      <c r="AB66">
        <v>0</v>
      </c>
      <c r="AC66">
        <v>1</v>
      </c>
      <c r="AD66">
        <v>1</v>
      </c>
    </row>
    <row r="67" spans="1:30" x14ac:dyDescent="0.3">
      <c r="A67" s="1">
        <v>45398</v>
      </c>
      <c r="B67" s="3">
        <v>0.37919239100000002</v>
      </c>
      <c r="C67" s="3">
        <v>0.17509355800000001</v>
      </c>
      <c r="D67" s="3">
        <v>0.21700834399999999</v>
      </c>
      <c r="E67" s="3">
        <v>0.268730252</v>
      </c>
      <c r="F67" s="3">
        <v>0.23233798999999999</v>
      </c>
      <c r="G67" s="3">
        <v>9.9888082000000003E-2</v>
      </c>
      <c r="H67" s="3">
        <v>0.12728091899999999</v>
      </c>
      <c r="I67" s="3">
        <v>0.12680773300000001</v>
      </c>
      <c r="J67" s="3">
        <v>0.119436177</v>
      </c>
      <c r="K67" s="3">
        <v>6.2177839999999998E-2</v>
      </c>
      <c r="L67" s="3">
        <v>0.15178365499999999</v>
      </c>
      <c r="M67" s="3">
        <v>0.104777907</v>
      </c>
      <c r="N67" s="3">
        <v>0.124485162</v>
      </c>
      <c r="O67" s="3">
        <v>5.7935056999999998E-2</v>
      </c>
      <c r="P67" s="3">
        <v>0.17060766599999999</v>
      </c>
      <c r="Q67" s="3">
        <v>7.9836342000000005E-2</v>
      </c>
      <c r="R67" s="3">
        <v>6.3278144999999994E-2</v>
      </c>
      <c r="S67" s="3">
        <v>5.0657035000000003E-2</v>
      </c>
      <c r="T67" s="3">
        <v>5.4095422999999997E-2</v>
      </c>
      <c r="U67" s="3">
        <v>7.1495661000000002E-2</v>
      </c>
      <c r="V67" s="3">
        <v>0.24949963535499323</v>
      </c>
      <c r="W67" s="3">
        <v>0.15374093585820972</v>
      </c>
      <c r="X67" s="3">
        <v>7.065425431932161E-2</v>
      </c>
      <c r="AB67">
        <v>0</v>
      </c>
      <c r="AC67">
        <v>1</v>
      </c>
      <c r="AD67">
        <v>1</v>
      </c>
    </row>
    <row r="68" spans="1:30" x14ac:dyDescent="0.3">
      <c r="A68" s="1">
        <v>45399</v>
      </c>
      <c r="B68" s="3">
        <v>1.6049943000000001E-2</v>
      </c>
      <c r="C68" s="3">
        <v>2.952215E-2</v>
      </c>
      <c r="D68" s="3">
        <v>5.9472150000000001E-2</v>
      </c>
      <c r="E68" s="3">
        <v>4.6164008999999999E-2</v>
      </c>
      <c r="F68" s="3">
        <v>0.37919239100000002</v>
      </c>
      <c r="G68" s="3">
        <v>0.17509355800000001</v>
      </c>
      <c r="H68" s="3">
        <v>0.21700834399999999</v>
      </c>
      <c r="I68" s="3">
        <v>0.268730252</v>
      </c>
      <c r="J68" s="3">
        <v>0.23233798999999999</v>
      </c>
      <c r="K68" s="3">
        <v>9.9888082000000003E-2</v>
      </c>
      <c r="L68" s="3">
        <v>0.12728091899999999</v>
      </c>
      <c r="M68" s="3">
        <v>0.12680773300000001</v>
      </c>
      <c r="N68" s="3">
        <v>0.119436177</v>
      </c>
      <c r="O68" s="3">
        <v>6.2177839999999998E-2</v>
      </c>
      <c r="P68" s="3">
        <v>0.15178365499999999</v>
      </c>
      <c r="Q68" s="3">
        <v>0.104777907</v>
      </c>
      <c r="R68" s="3">
        <v>0.124485162</v>
      </c>
      <c r="S68" s="3">
        <v>5.7935056999999998E-2</v>
      </c>
      <c r="T68" s="3">
        <v>0.17060766599999999</v>
      </c>
      <c r="U68" s="3">
        <v>7.9836342000000005E-2</v>
      </c>
      <c r="V68" s="3">
        <v>0.27136031788558806</v>
      </c>
      <c r="W68" s="3">
        <v>0.1569358687392487</v>
      </c>
      <c r="X68" s="3">
        <v>0</v>
      </c>
      <c r="AB68">
        <v>0</v>
      </c>
      <c r="AC68">
        <v>0</v>
      </c>
      <c r="AD68">
        <v>0</v>
      </c>
    </row>
    <row r="69" spans="1:30" x14ac:dyDescent="0.3">
      <c r="A69" s="1">
        <v>45400</v>
      </c>
      <c r="B69" s="3">
        <v>7.4157340000000002E-2</v>
      </c>
      <c r="C69" s="3">
        <v>2.9204977E-2</v>
      </c>
      <c r="D69" s="3">
        <v>0.125743303</v>
      </c>
      <c r="E69" s="3">
        <v>3.8356582E-2</v>
      </c>
      <c r="F69" s="3">
        <v>1.6049943000000001E-2</v>
      </c>
      <c r="G69" s="3">
        <v>2.952215E-2</v>
      </c>
      <c r="H69" s="3">
        <v>5.9472150000000001E-2</v>
      </c>
      <c r="I69" s="3">
        <v>4.6164008999999999E-2</v>
      </c>
      <c r="J69" s="3">
        <v>0.37919239100000002</v>
      </c>
      <c r="K69" s="3">
        <v>0.17509355800000001</v>
      </c>
      <c r="L69" s="3">
        <v>0.21700834399999999</v>
      </c>
      <c r="M69" s="3">
        <v>0.268730252</v>
      </c>
      <c r="N69" s="3">
        <v>0.23233798999999999</v>
      </c>
      <c r="O69" s="3">
        <v>9.9888082000000003E-2</v>
      </c>
      <c r="P69" s="3">
        <v>0.12728091899999999</v>
      </c>
      <c r="Q69" s="3">
        <v>0.12680773300000001</v>
      </c>
      <c r="R69" s="3">
        <v>0.119436177</v>
      </c>
      <c r="S69" s="3">
        <v>6.2177839999999998E-2</v>
      </c>
      <c r="T69" s="3">
        <v>0.15178365499999999</v>
      </c>
      <c r="U69" s="3">
        <v>0.104777907</v>
      </c>
      <c r="V69" s="3">
        <v>0.27136031788558806</v>
      </c>
      <c r="W69" s="3">
        <v>0.15691363063718028</v>
      </c>
      <c r="X69" s="3">
        <v>0</v>
      </c>
      <c r="AB69">
        <v>0</v>
      </c>
      <c r="AC69">
        <v>1</v>
      </c>
      <c r="AD69">
        <v>1</v>
      </c>
    </row>
    <row r="70" spans="1:30" x14ac:dyDescent="0.3">
      <c r="A70" s="1">
        <v>45401</v>
      </c>
      <c r="B70" s="3">
        <v>0.1295955</v>
      </c>
      <c r="C70" s="3">
        <v>4.0668430999999998E-2</v>
      </c>
      <c r="D70" s="3">
        <v>7.9949120999999998E-2</v>
      </c>
      <c r="E70" s="3">
        <v>7.2378175000000003E-2</v>
      </c>
      <c r="F70" s="3">
        <v>7.4157340000000002E-2</v>
      </c>
      <c r="G70" s="3">
        <v>2.9204977E-2</v>
      </c>
      <c r="H70" s="3">
        <v>0.125743303</v>
      </c>
      <c r="I70" s="3">
        <v>3.8356582E-2</v>
      </c>
      <c r="J70" s="3">
        <v>1.6049943000000001E-2</v>
      </c>
      <c r="K70" s="3">
        <v>2.952215E-2</v>
      </c>
      <c r="L70" s="3">
        <v>5.9472150000000001E-2</v>
      </c>
      <c r="M70" s="3">
        <v>4.6164008999999999E-2</v>
      </c>
      <c r="N70" s="3">
        <v>0.37919239100000002</v>
      </c>
      <c r="O70" s="3">
        <v>0.17509355800000001</v>
      </c>
      <c r="P70" s="3">
        <v>0.21700834399999999</v>
      </c>
      <c r="Q70" s="3">
        <v>0.268730252</v>
      </c>
      <c r="R70" s="3">
        <v>0.23233798999999999</v>
      </c>
      <c r="S70" s="3">
        <v>9.9888082000000003E-2</v>
      </c>
      <c r="T70" s="3">
        <v>0.12728091899999999</v>
      </c>
      <c r="U70" s="3">
        <v>0.12680773300000001</v>
      </c>
      <c r="V70" s="3">
        <v>0.27136031788558806</v>
      </c>
      <c r="W70" s="3">
        <v>0.1861187529346284</v>
      </c>
      <c r="X70" s="3">
        <v>9.883819400150734E-2</v>
      </c>
      <c r="AB70">
        <v>1</v>
      </c>
      <c r="AC70">
        <v>0</v>
      </c>
      <c r="AD70">
        <v>1</v>
      </c>
    </row>
    <row r="71" spans="1:30" x14ac:dyDescent="0.3">
      <c r="A71" s="1">
        <v>45404</v>
      </c>
      <c r="B71" s="3">
        <v>0.104928755</v>
      </c>
      <c r="C71" s="3">
        <v>3.4722421000000003E-2</v>
      </c>
      <c r="D71" s="3">
        <v>8.2550910000000005E-2</v>
      </c>
      <c r="E71" s="3">
        <v>4.9000216999999999E-2</v>
      </c>
      <c r="F71" s="3">
        <v>0.1295955</v>
      </c>
      <c r="G71" s="3">
        <v>4.0668430999999998E-2</v>
      </c>
      <c r="H71" s="3">
        <v>7.9949120999999998E-2</v>
      </c>
      <c r="I71" s="3">
        <v>7.2378175000000003E-2</v>
      </c>
      <c r="J71" s="3">
        <v>7.4157340000000002E-2</v>
      </c>
      <c r="K71" s="3">
        <v>2.9204977E-2</v>
      </c>
      <c r="L71" s="3">
        <v>0.125743303</v>
      </c>
      <c r="M71" s="3">
        <v>3.8356582E-2</v>
      </c>
      <c r="N71" s="3">
        <v>1.6049943000000001E-2</v>
      </c>
      <c r="O71" s="3">
        <v>2.952215E-2</v>
      </c>
      <c r="P71" s="3">
        <v>5.9472150000000001E-2</v>
      </c>
      <c r="Q71" s="3">
        <v>4.6164008999999999E-2</v>
      </c>
      <c r="R71" s="3">
        <v>0.37919239100000002</v>
      </c>
      <c r="S71" s="3">
        <v>0.17509355800000001</v>
      </c>
      <c r="T71" s="3">
        <v>0.21700834399999999</v>
      </c>
      <c r="U71" s="3">
        <v>0.268730252</v>
      </c>
      <c r="V71" s="3">
        <v>0.27136031788558806</v>
      </c>
      <c r="W71" s="3">
        <v>0.18646952786143656</v>
      </c>
      <c r="X71" s="3">
        <v>1.1243284715860327E-2</v>
      </c>
      <c r="AB71">
        <v>1</v>
      </c>
      <c r="AC71">
        <v>0</v>
      </c>
      <c r="AD71">
        <v>1</v>
      </c>
    </row>
    <row r="72" spans="1:30" x14ac:dyDescent="0.3">
      <c r="A72" s="1">
        <v>45405</v>
      </c>
      <c r="B72" s="3">
        <v>5.4235987999999999E-2</v>
      </c>
      <c r="C72" s="3">
        <v>2.5839612000000001E-2</v>
      </c>
      <c r="D72" s="3">
        <v>7.4974867000000001E-2</v>
      </c>
      <c r="E72" s="3">
        <v>4.1652781E-2</v>
      </c>
      <c r="F72" s="3">
        <v>0.104928755</v>
      </c>
      <c r="G72" s="3">
        <v>3.4722421000000003E-2</v>
      </c>
      <c r="H72" s="3">
        <v>8.2550910000000005E-2</v>
      </c>
      <c r="I72" s="3">
        <v>4.9000216999999999E-2</v>
      </c>
      <c r="J72" s="3">
        <v>0.1295955</v>
      </c>
      <c r="K72" s="3">
        <v>4.0668430999999998E-2</v>
      </c>
      <c r="L72" s="3">
        <v>7.9949120999999998E-2</v>
      </c>
      <c r="M72" s="3">
        <v>7.2378175000000003E-2</v>
      </c>
      <c r="N72" s="3">
        <v>7.4157340000000002E-2</v>
      </c>
      <c r="O72" s="3">
        <v>2.9204977E-2</v>
      </c>
      <c r="P72" s="3">
        <v>0.125743303</v>
      </c>
      <c r="Q72" s="3">
        <v>3.8356582E-2</v>
      </c>
      <c r="R72" s="3">
        <v>1.6049943000000001E-2</v>
      </c>
      <c r="S72" s="3">
        <v>2.952215E-2</v>
      </c>
      <c r="T72" s="3">
        <v>5.9472150000000001E-2</v>
      </c>
      <c r="U72" s="3">
        <v>4.6164008999999999E-2</v>
      </c>
      <c r="V72" s="3">
        <v>0.33273962057777251</v>
      </c>
      <c r="W72" s="3">
        <v>0.18491800824315049</v>
      </c>
      <c r="X72" s="3">
        <v>0</v>
      </c>
      <c r="AB72">
        <v>1</v>
      </c>
      <c r="AC72">
        <v>0</v>
      </c>
      <c r="AD72">
        <v>1</v>
      </c>
    </row>
    <row r="73" spans="1:30" x14ac:dyDescent="0.3">
      <c r="A73" s="1">
        <v>45406</v>
      </c>
      <c r="B73" s="3">
        <v>1.8347609000000001E-2</v>
      </c>
      <c r="C73" s="3">
        <v>3.9900519000000002E-2</v>
      </c>
      <c r="D73" s="3">
        <v>8.0318191999999997E-2</v>
      </c>
      <c r="E73" s="3">
        <v>5.5440420999999997E-2</v>
      </c>
      <c r="F73" s="3">
        <v>5.4235987999999999E-2</v>
      </c>
      <c r="G73" s="3">
        <v>2.5839612000000001E-2</v>
      </c>
      <c r="H73" s="3">
        <v>7.4974867000000001E-2</v>
      </c>
      <c r="I73" s="3">
        <v>4.1652781E-2</v>
      </c>
      <c r="J73" s="3">
        <v>0.104928755</v>
      </c>
      <c r="K73" s="3">
        <v>3.4722421000000003E-2</v>
      </c>
      <c r="L73" s="3">
        <v>8.2550910000000005E-2</v>
      </c>
      <c r="M73" s="3">
        <v>4.9000216999999999E-2</v>
      </c>
      <c r="N73" s="3">
        <v>0.1295955</v>
      </c>
      <c r="O73" s="3">
        <v>4.0668430999999998E-2</v>
      </c>
      <c r="P73" s="3">
        <v>7.9949120999999998E-2</v>
      </c>
      <c r="Q73" s="3">
        <v>7.2378175000000003E-2</v>
      </c>
      <c r="R73" s="3">
        <v>7.4157340000000002E-2</v>
      </c>
      <c r="S73" s="3">
        <v>2.9204977E-2</v>
      </c>
      <c r="T73" s="3">
        <v>0.125743303</v>
      </c>
      <c r="U73" s="3">
        <v>3.8356582E-2</v>
      </c>
      <c r="V73" s="3">
        <v>0.45416240661896373</v>
      </c>
      <c r="W73" s="3">
        <v>0.19260953884057355</v>
      </c>
      <c r="X73" s="3">
        <v>0</v>
      </c>
      <c r="AB73">
        <v>0</v>
      </c>
      <c r="AC73">
        <v>0</v>
      </c>
      <c r="AD73">
        <v>0</v>
      </c>
    </row>
    <row r="74" spans="1:30" x14ac:dyDescent="0.3">
      <c r="A74" s="1">
        <v>45407</v>
      </c>
      <c r="B74" s="3">
        <v>0.115760004</v>
      </c>
      <c r="C74" s="3">
        <v>2.5984754999999998E-2</v>
      </c>
      <c r="D74" s="3">
        <v>0.117345872</v>
      </c>
      <c r="E74" s="3">
        <v>3.9884518000000001E-2</v>
      </c>
      <c r="F74" s="3">
        <v>1.8347609000000001E-2</v>
      </c>
      <c r="G74" s="3">
        <v>3.9900519000000002E-2</v>
      </c>
      <c r="H74" s="3">
        <v>8.0318191999999997E-2</v>
      </c>
      <c r="I74" s="3">
        <v>5.5440420999999997E-2</v>
      </c>
      <c r="J74" s="3">
        <v>5.4235987999999999E-2</v>
      </c>
      <c r="K74" s="3">
        <v>2.5839612000000001E-2</v>
      </c>
      <c r="L74" s="3">
        <v>7.4974867000000001E-2</v>
      </c>
      <c r="M74" s="3">
        <v>4.1652781E-2</v>
      </c>
      <c r="N74" s="3">
        <v>0.104928755</v>
      </c>
      <c r="O74" s="3">
        <v>3.4722421000000003E-2</v>
      </c>
      <c r="P74" s="3">
        <v>8.2550910000000005E-2</v>
      </c>
      <c r="Q74" s="3">
        <v>4.9000216999999999E-2</v>
      </c>
      <c r="R74" s="3">
        <v>0.1295955</v>
      </c>
      <c r="S74" s="3">
        <v>4.0668430999999998E-2</v>
      </c>
      <c r="T74" s="3">
        <v>7.9949120999999998E-2</v>
      </c>
      <c r="U74" s="3">
        <v>7.2378175000000003E-2</v>
      </c>
      <c r="V74" s="3">
        <v>0.33273962057777251</v>
      </c>
      <c r="W74" s="3">
        <v>0.19645855572512175</v>
      </c>
      <c r="X74" s="3">
        <v>3.8294096735074799E-2</v>
      </c>
      <c r="AB74">
        <v>1</v>
      </c>
      <c r="AC74">
        <v>0</v>
      </c>
      <c r="AD74">
        <v>1</v>
      </c>
    </row>
    <row r="75" spans="1:30" x14ac:dyDescent="0.3">
      <c r="A75" s="1">
        <v>45408</v>
      </c>
      <c r="B75" s="3">
        <v>8.2034452999999993E-2</v>
      </c>
      <c r="C75" s="3">
        <v>3.8446636999999999E-2</v>
      </c>
      <c r="D75" s="3">
        <v>0.14229805000000001</v>
      </c>
      <c r="E75" s="3">
        <v>5.2124469999999999E-2</v>
      </c>
      <c r="F75" s="3">
        <v>0.115760004</v>
      </c>
      <c r="G75" s="3">
        <v>2.5984754999999998E-2</v>
      </c>
      <c r="H75" s="3">
        <v>0.117345872</v>
      </c>
      <c r="I75" s="3">
        <v>3.9884518000000001E-2</v>
      </c>
      <c r="J75" s="3">
        <v>1.8347609000000001E-2</v>
      </c>
      <c r="K75" s="3">
        <v>3.9900519000000002E-2</v>
      </c>
      <c r="L75" s="3">
        <v>8.0318191999999997E-2</v>
      </c>
      <c r="M75" s="3">
        <v>5.5440420999999997E-2</v>
      </c>
      <c r="N75" s="3">
        <v>5.4235987999999999E-2</v>
      </c>
      <c r="O75" s="3">
        <v>2.5839612000000001E-2</v>
      </c>
      <c r="P75" s="3">
        <v>7.4974867000000001E-2</v>
      </c>
      <c r="Q75" s="3">
        <v>4.1652781E-2</v>
      </c>
      <c r="R75" s="3">
        <v>0.104928755</v>
      </c>
      <c r="S75" s="3">
        <v>3.4722421000000003E-2</v>
      </c>
      <c r="T75" s="3">
        <v>8.2550910000000005E-2</v>
      </c>
      <c r="U75" s="3">
        <v>4.9000216999999999E-2</v>
      </c>
      <c r="V75" s="3">
        <v>0.33273962057777251</v>
      </c>
      <c r="W75" s="3">
        <v>0.18909436805648688</v>
      </c>
      <c r="X75" s="3">
        <v>0</v>
      </c>
      <c r="AB75">
        <v>1</v>
      </c>
      <c r="AC75">
        <v>0</v>
      </c>
      <c r="AD75">
        <v>1</v>
      </c>
    </row>
    <row r="76" spans="1:30" x14ac:dyDescent="0.3">
      <c r="A76" s="1">
        <v>45411</v>
      </c>
      <c r="B76" s="3">
        <v>5.7918731000000001E-2</v>
      </c>
      <c r="C76" s="3">
        <v>4.2931736999999998E-2</v>
      </c>
      <c r="D76" s="3">
        <v>0.14368460399999999</v>
      </c>
      <c r="E76" s="3">
        <v>5.5461495E-2</v>
      </c>
      <c r="F76" s="3">
        <v>8.2034452999999993E-2</v>
      </c>
      <c r="G76" s="3">
        <v>3.8446636999999999E-2</v>
      </c>
      <c r="H76" s="3">
        <v>0.14229805000000001</v>
      </c>
      <c r="I76" s="3">
        <v>5.2124469999999999E-2</v>
      </c>
      <c r="J76" s="3">
        <v>0.115760004</v>
      </c>
      <c r="K76" s="3">
        <v>2.5984754999999998E-2</v>
      </c>
      <c r="L76" s="3">
        <v>0.117345872</v>
      </c>
      <c r="M76" s="3">
        <v>3.9884518000000001E-2</v>
      </c>
      <c r="N76" s="3">
        <v>1.8347609000000001E-2</v>
      </c>
      <c r="O76" s="3">
        <v>3.9900519000000002E-2</v>
      </c>
      <c r="P76" s="3">
        <v>8.0318191999999997E-2</v>
      </c>
      <c r="Q76" s="3">
        <v>5.5440420999999997E-2</v>
      </c>
      <c r="R76" s="3">
        <v>5.4235987999999999E-2</v>
      </c>
      <c r="S76" s="3">
        <v>2.5839612000000001E-2</v>
      </c>
      <c r="T76" s="3">
        <v>7.4974867000000001E-2</v>
      </c>
      <c r="U76" s="3">
        <v>4.1652781E-2</v>
      </c>
      <c r="V76" s="3">
        <v>0.33273962057777251</v>
      </c>
      <c r="W76" s="3">
        <v>0.19030119642471202</v>
      </c>
      <c r="X76" s="3">
        <v>0</v>
      </c>
      <c r="AB76">
        <v>0</v>
      </c>
      <c r="AC76">
        <v>0</v>
      </c>
      <c r="AD76">
        <v>0</v>
      </c>
    </row>
    <row r="77" spans="1:30" x14ac:dyDescent="0.3">
      <c r="A77" s="1">
        <v>45412</v>
      </c>
      <c r="B77" s="3">
        <v>9.3297900000000003E-2</v>
      </c>
      <c r="C77" s="3">
        <v>6.5972692999999999E-2</v>
      </c>
      <c r="D77" s="3">
        <v>8.9230742000000002E-2</v>
      </c>
      <c r="E77" s="3">
        <v>5.4632806999999999E-2</v>
      </c>
      <c r="F77" s="3">
        <v>5.7918731000000001E-2</v>
      </c>
      <c r="G77" s="3">
        <v>4.2931736999999998E-2</v>
      </c>
      <c r="H77" s="3">
        <v>0.14368460399999999</v>
      </c>
      <c r="I77" s="3">
        <v>5.5461495E-2</v>
      </c>
      <c r="J77" s="3">
        <v>8.2034452999999993E-2</v>
      </c>
      <c r="K77" s="3">
        <v>3.8446636999999999E-2</v>
      </c>
      <c r="L77" s="3">
        <v>0.14229805000000001</v>
      </c>
      <c r="M77" s="3">
        <v>5.2124469999999999E-2</v>
      </c>
      <c r="N77" s="3">
        <v>0.115760004</v>
      </c>
      <c r="O77" s="3">
        <v>2.5984754999999998E-2</v>
      </c>
      <c r="P77" s="3">
        <v>0.117345872</v>
      </c>
      <c r="Q77" s="3">
        <v>3.9884518000000001E-2</v>
      </c>
      <c r="R77" s="3">
        <v>1.8347609000000001E-2</v>
      </c>
      <c r="S77" s="3">
        <v>3.9900519000000002E-2</v>
      </c>
      <c r="T77" s="3">
        <v>8.0318191999999997E-2</v>
      </c>
      <c r="U77" s="3">
        <v>5.5440420999999997E-2</v>
      </c>
      <c r="V77" s="3">
        <v>0.27136031788558806</v>
      </c>
      <c r="W77" s="3">
        <v>0.19093282636333503</v>
      </c>
      <c r="X77" s="3">
        <v>1.5783730184336261E-2</v>
      </c>
      <c r="AB77">
        <v>0</v>
      </c>
      <c r="AC77">
        <v>0</v>
      </c>
      <c r="AD77">
        <v>0</v>
      </c>
    </row>
    <row r="78" spans="1:30" x14ac:dyDescent="0.3">
      <c r="A78" s="1">
        <v>45414</v>
      </c>
      <c r="B78" s="3">
        <v>5.8128491999999997E-2</v>
      </c>
      <c r="C78" s="3">
        <v>4.0808661000000003E-2</v>
      </c>
      <c r="D78" s="3">
        <v>4.8564682999999997E-2</v>
      </c>
      <c r="E78" s="3">
        <v>6.3959572000000006E-2</v>
      </c>
      <c r="F78" s="3">
        <v>9.3297900000000003E-2</v>
      </c>
      <c r="G78" s="3">
        <v>6.5972692999999999E-2</v>
      </c>
      <c r="H78" s="3">
        <v>8.9230742000000002E-2</v>
      </c>
      <c r="I78" s="3">
        <v>5.4632806999999999E-2</v>
      </c>
      <c r="J78" s="3">
        <v>5.7918731000000001E-2</v>
      </c>
      <c r="K78" s="3">
        <v>4.2931736999999998E-2</v>
      </c>
      <c r="L78" s="3">
        <v>0.14368460399999999</v>
      </c>
      <c r="M78" s="3">
        <v>5.5461495E-2</v>
      </c>
      <c r="N78" s="3">
        <v>8.2034452999999993E-2</v>
      </c>
      <c r="O78" s="3">
        <v>3.8446636999999999E-2</v>
      </c>
      <c r="P78" s="3">
        <v>0.14229805000000001</v>
      </c>
      <c r="Q78" s="3">
        <v>5.2124469999999999E-2</v>
      </c>
      <c r="R78" s="3">
        <v>0.115760004</v>
      </c>
      <c r="S78" s="3">
        <v>2.5984754999999998E-2</v>
      </c>
      <c r="T78" s="3">
        <v>0.117345872</v>
      </c>
      <c r="U78" s="3">
        <v>3.9884518000000001E-2</v>
      </c>
      <c r="V78" s="3">
        <v>0.27136031788558806</v>
      </c>
      <c r="W78" s="3">
        <v>0.19182642337697861</v>
      </c>
      <c r="X78" s="3">
        <v>1.8554429675617871E-2</v>
      </c>
      <c r="AB78">
        <v>1</v>
      </c>
      <c r="AC78">
        <v>0</v>
      </c>
      <c r="AD78">
        <v>1</v>
      </c>
    </row>
    <row r="79" spans="1:30" x14ac:dyDescent="0.3">
      <c r="A79" s="1">
        <v>45415</v>
      </c>
      <c r="B79" s="3">
        <v>0.11740735300000001</v>
      </c>
      <c r="C79" s="3">
        <v>3.1483783000000001E-2</v>
      </c>
      <c r="D79" s="3">
        <v>0.13035432</v>
      </c>
      <c r="E79" s="3">
        <v>4.4451251999999997E-2</v>
      </c>
      <c r="F79" s="3">
        <v>5.8128491999999997E-2</v>
      </c>
      <c r="G79" s="3">
        <v>4.0808661000000003E-2</v>
      </c>
      <c r="H79" s="3">
        <v>4.8564682999999997E-2</v>
      </c>
      <c r="I79" s="3">
        <v>6.3959572000000006E-2</v>
      </c>
      <c r="J79" s="3">
        <v>9.3297900000000003E-2</v>
      </c>
      <c r="K79" s="3">
        <v>6.5972692999999999E-2</v>
      </c>
      <c r="L79" s="3">
        <v>8.9230742000000002E-2</v>
      </c>
      <c r="M79" s="3">
        <v>5.4632806999999999E-2</v>
      </c>
      <c r="N79" s="3">
        <v>5.7918731000000001E-2</v>
      </c>
      <c r="O79" s="3">
        <v>4.2931736999999998E-2</v>
      </c>
      <c r="P79" s="3">
        <v>0.14368460399999999</v>
      </c>
      <c r="Q79" s="3">
        <v>5.5461495E-2</v>
      </c>
      <c r="R79" s="3">
        <v>8.2034452999999993E-2</v>
      </c>
      <c r="S79" s="3">
        <v>3.8446636999999999E-2</v>
      </c>
      <c r="T79" s="3">
        <v>0.14229805000000001</v>
      </c>
      <c r="U79" s="3">
        <v>5.2124469999999999E-2</v>
      </c>
      <c r="V79" s="3">
        <v>0.27136031788558806</v>
      </c>
      <c r="W79" s="3">
        <v>0.19155859242658793</v>
      </c>
      <c r="X79" s="3">
        <v>0</v>
      </c>
      <c r="AB79">
        <v>1</v>
      </c>
      <c r="AC79">
        <v>0</v>
      </c>
      <c r="AD79">
        <v>1</v>
      </c>
    </row>
    <row r="80" spans="1:30" x14ac:dyDescent="0.3">
      <c r="A80" s="1">
        <v>45418</v>
      </c>
      <c r="B80" s="3">
        <v>0.113970038</v>
      </c>
      <c r="C80" s="3">
        <v>4.4747856000000003E-2</v>
      </c>
      <c r="D80" s="3">
        <v>0.13339157600000001</v>
      </c>
      <c r="E80" s="3">
        <v>6.6624140999999998E-2</v>
      </c>
      <c r="F80" s="3">
        <v>0.11740735300000001</v>
      </c>
      <c r="G80" s="3">
        <v>3.1483783000000001E-2</v>
      </c>
      <c r="H80" s="3">
        <v>0.13035432</v>
      </c>
      <c r="I80" s="3">
        <v>4.4451251999999997E-2</v>
      </c>
      <c r="J80" s="3">
        <v>5.8128491999999997E-2</v>
      </c>
      <c r="K80" s="3">
        <v>4.0808661000000003E-2</v>
      </c>
      <c r="L80" s="3">
        <v>4.8564682999999997E-2</v>
      </c>
      <c r="M80" s="3">
        <v>6.3959572000000006E-2</v>
      </c>
      <c r="N80" s="3">
        <v>9.3297900000000003E-2</v>
      </c>
      <c r="O80" s="3">
        <v>6.5972692999999999E-2</v>
      </c>
      <c r="P80" s="3">
        <v>8.9230742000000002E-2</v>
      </c>
      <c r="Q80" s="3">
        <v>5.4632806999999999E-2</v>
      </c>
      <c r="R80" s="3">
        <v>5.7918731000000001E-2</v>
      </c>
      <c r="S80" s="3">
        <v>4.2931736999999998E-2</v>
      </c>
      <c r="T80" s="3">
        <v>0.14368460399999999</v>
      </c>
      <c r="U80" s="3">
        <v>5.5461495E-2</v>
      </c>
      <c r="V80" s="3">
        <v>0.33273962057777251</v>
      </c>
      <c r="W80" s="3">
        <v>0.19175541314983782</v>
      </c>
      <c r="X80" s="3">
        <v>0</v>
      </c>
      <c r="AB80">
        <v>1</v>
      </c>
      <c r="AC80">
        <v>0</v>
      </c>
      <c r="AD80">
        <v>1</v>
      </c>
    </row>
    <row r="81" spans="1:30" x14ac:dyDescent="0.3">
      <c r="A81" s="1">
        <v>45419</v>
      </c>
      <c r="B81" s="3">
        <v>6.8045674E-2</v>
      </c>
      <c r="C81" s="3">
        <v>4.1079883999999997E-2</v>
      </c>
      <c r="D81" s="3">
        <v>0.110181874</v>
      </c>
      <c r="E81" s="3">
        <v>5.7574274000000002E-2</v>
      </c>
      <c r="F81" s="3">
        <v>0.113970038</v>
      </c>
      <c r="G81" s="3">
        <v>4.4747856000000003E-2</v>
      </c>
      <c r="H81" s="3">
        <v>0.13339157600000001</v>
      </c>
      <c r="I81" s="3">
        <v>6.6624140999999998E-2</v>
      </c>
      <c r="J81" s="3">
        <v>0.11740735300000001</v>
      </c>
      <c r="K81" s="3">
        <v>3.1483783000000001E-2</v>
      </c>
      <c r="L81" s="3">
        <v>0.13035432</v>
      </c>
      <c r="M81" s="3">
        <v>4.4451251999999997E-2</v>
      </c>
      <c r="N81" s="3">
        <v>5.8128491999999997E-2</v>
      </c>
      <c r="O81" s="3">
        <v>4.0808661000000003E-2</v>
      </c>
      <c r="P81" s="3">
        <v>4.8564682999999997E-2</v>
      </c>
      <c r="Q81" s="3">
        <v>6.3959572000000006E-2</v>
      </c>
      <c r="R81" s="3">
        <v>9.3297900000000003E-2</v>
      </c>
      <c r="S81" s="3">
        <v>6.5972692999999999E-2</v>
      </c>
      <c r="T81" s="3">
        <v>8.9230742000000002E-2</v>
      </c>
      <c r="U81" s="3">
        <v>5.4632806999999999E-2</v>
      </c>
      <c r="V81" s="3">
        <v>0.33273962057777251</v>
      </c>
      <c r="W81" s="3">
        <v>0.1920276486211081</v>
      </c>
      <c r="X81" s="3">
        <v>0</v>
      </c>
      <c r="AB81">
        <v>1</v>
      </c>
      <c r="AC81">
        <v>0</v>
      </c>
      <c r="AD81">
        <v>1</v>
      </c>
    </row>
    <row r="82" spans="1:30" x14ac:dyDescent="0.3">
      <c r="A82" s="1">
        <v>45420</v>
      </c>
      <c r="B82" s="3">
        <v>3.3417930999999998E-2</v>
      </c>
      <c r="C82" s="3">
        <v>4.9843088000000001E-2</v>
      </c>
      <c r="D82" s="3">
        <v>9.0953687000000005E-2</v>
      </c>
      <c r="E82" s="3">
        <v>7.4562852999999998E-2</v>
      </c>
      <c r="F82" s="3">
        <v>6.8045674E-2</v>
      </c>
      <c r="G82" s="3">
        <v>4.1079883999999997E-2</v>
      </c>
      <c r="H82" s="3">
        <v>0.110181874</v>
      </c>
      <c r="I82" s="3">
        <v>5.7574274000000002E-2</v>
      </c>
      <c r="J82" s="3">
        <v>0.113970038</v>
      </c>
      <c r="K82" s="3">
        <v>4.4747856000000003E-2</v>
      </c>
      <c r="L82" s="3">
        <v>0.13339157600000001</v>
      </c>
      <c r="M82" s="3">
        <v>6.6624140999999998E-2</v>
      </c>
      <c r="N82" s="3">
        <v>0.11740735300000001</v>
      </c>
      <c r="O82" s="3">
        <v>3.1483783000000001E-2</v>
      </c>
      <c r="P82" s="3">
        <v>0.13035432</v>
      </c>
      <c r="Q82" s="3">
        <v>4.4451251999999997E-2</v>
      </c>
      <c r="R82" s="3">
        <v>5.8128491999999997E-2</v>
      </c>
      <c r="S82" s="3">
        <v>4.0808661000000003E-2</v>
      </c>
      <c r="T82" s="3">
        <v>4.8564682999999997E-2</v>
      </c>
      <c r="U82" s="3">
        <v>6.3959572000000006E-2</v>
      </c>
      <c r="V82" s="3">
        <v>0.45416240661896373</v>
      </c>
      <c r="W82" s="3">
        <v>0.19138848070188216</v>
      </c>
      <c r="X82" s="3">
        <v>0</v>
      </c>
      <c r="AB82">
        <v>1</v>
      </c>
      <c r="AC82">
        <v>0</v>
      </c>
      <c r="AD82">
        <v>1</v>
      </c>
    </row>
    <row r="83" spans="1:30" x14ac:dyDescent="0.3">
      <c r="A83" s="1">
        <v>45421</v>
      </c>
      <c r="B83" s="3">
        <v>0.17598382400000001</v>
      </c>
      <c r="C83" s="3">
        <v>4.8549006999999998E-2</v>
      </c>
      <c r="D83" s="3">
        <v>0.16082950100000001</v>
      </c>
      <c r="E83" s="3">
        <v>0.11330348</v>
      </c>
      <c r="F83" s="3">
        <v>3.3417930999999998E-2</v>
      </c>
      <c r="G83" s="3">
        <v>4.9843088000000001E-2</v>
      </c>
      <c r="H83" s="3">
        <v>9.0953687000000005E-2</v>
      </c>
      <c r="I83" s="3">
        <v>7.4562852999999998E-2</v>
      </c>
      <c r="J83" s="3">
        <v>6.8045674E-2</v>
      </c>
      <c r="K83" s="3">
        <v>4.1079883999999997E-2</v>
      </c>
      <c r="L83" s="3">
        <v>0.110181874</v>
      </c>
      <c r="M83" s="3">
        <v>5.7574274000000002E-2</v>
      </c>
      <c r="N83" s="3">
        <v>0.113970038</v>
      </c>
      <c r="O83" s="3">
        <v>4.4747856000000003E-2</v>
      </c>
      <c r="P83" s="3">
        <v>0.13339157600000001</v>
      </c>
      <c r="Q83" s="3">
        <v>6.6624140999999998E-2</v>
      </c>
      <c r="R83" s="3">
        <v>0.11740735300000001</v>
      </c>
      <c r="S83" s="3">
        <v>3.1483783000000001E-2</v>
      </c>
      <c r="T83" s="3">
        <v>0.13035432</v>
      </c>
      <c r="U83" s="3">
        <v>4.4451251999999997E-2</v>
      </c>
      <c r="V83" s="3">
        <v>0.45416240661896373</v>
      </c>
      <c r="W83" s="3">
        <v>0.19100400540269852</v>
      </c>
      <c r="X83" s="3">
        <v>2.0911250905920185E-2</v>
      </c>
      <c r="AB83">
        <v>1</v>
      </c>
      <c r="AC83">
        <v>0</v>
      </c>
      <c r="AD83">
        <v>1</v>
      </c>
    </row>
    <row r="84" spans="1:30" x14ac:dyDescent="0.3">
      <c r="A84" s="1">
        <v>45422</v>
      </c>
      <c r="B84" s="3">
        <v>0.13598068599999999</v>
      </c>
      <c r="C84" s="3">
        <v>4.3285793000000003E-2</v>
      </c>
      <c r="D84" s="3">
        <v>0.17722248299999999</v>
      </c>
      <c r="E84" s="3">
        <v>6.0347314999999999E-2</v>
      </c>
      <c r="F84" s="3">
        <v>0.17598382400000001</v>
      </c>
      <c r="G84" s="3">
        <v>4.8549006999999998E-2</v>
      </c>
      <c r="H84" s="3">
        <v>0.16082950100000001</v>
      </c>
      <c r="I84" s="3">
        <v>0.11330348</v>
      </c>
      <c r="J84" s="3">
        <v>3.3417930999999998E-2</v>
      </c>
      <c r="K84" s="3">
        <v>4.9843088000000001E-2</v>
      </c>
      <c r="L84" s="3">
        <v>9.0953687000000005E-2</v>
      </c>
      <c r="M84" s="3">
        <v>7.4562852999999998E-2</v>
      </c>
      <c r="N84" s="3">
        <v>6.8045674E-2</v>
      </c>
      <c r="O84" s="3">
        <v>4.1079883999999997E-2</v>
      </c>
      <c r="P84" s="3">
        <v>0.110181874</v>
      </c>
      <c r="Q84" s="3">
        <v>5.7574274000000002E-2</v>
      </c>
      <c r="R84" s="3">
        <v>0.113970038</v>
      </c>
      <c r="S84" s="3">
        <v>4.4747856000000003E-2</v>
      </c>
      <c r="T84" s="3">
        <v>0.13339157600000001</v>
      </c>
      <c r="U84" s="3">
        <v>6.6624140999999998E-2</v>
      </c>
      <c r="V84" s="3">
        <v>0.45416240661896373</v>
      </c>
      <c r="W84" s="3">
        <v>0.19137026293895493</v>
      </c>
      <c r="X84" s="3">
        <v>0</v>
      </c>
      <c r="AB84">
        <v>1</v>
      </c>
      <c r="AC84">
        <v>0</v>
      </c>
      <c r="AD84">
        <v>1</v>
      </c>
    </row>
    <row r="85" spans="1:30" x14ac:dyDescent="0.3">
      <c r="A85" s="1">
        <v>45425</v>
      </c>
      <c r="B85" s="3">
        <v>0.22227635000000001</v>
      </c>
      <c r="C85" s="3">
        <v>8.6516868999999996E-2</v>
      </c>
      <c r="D85" s="3">
        <v>0.23557518999999999</v>
      </c>
      <c r="E85" s="3">
        <v>0.139658106</v>
      </c>
      <c r="F85" s="3">
        <v>0.13598068599999999</v>
      </c>
      <c r="G85" s="3">
        <v>4.3285793000000003E-2</v>
      </c>
      <c r="H85" s="3">
        <v>0.17722248299999999</v>
      </c>
      <c r="I85" s="3">
        <v>6.0347314999999999E-2</v>
      </c>
      <c r="J85" s="3">
        <v>0.17598382400000001</v>
      </c>
      <c r="K85" s="3">
        <v>4.8549006999999998E-2</v>
      </c>
      <c r="L85" s="3">
        <v>0.16082950100000001</v>
      </c>
      <c r="M85" s="3">
        <v>0.11330348</v>
      </c>
      <c r="N85" s="3">
        <v>3.3417930999999998E-2</v>
      </c>
      <c r="O85" s="3">
        <v>4.9843088000000001E-2</v>
      </c>
      <c r="P85" s="3">
        <v>9.0953687000000005E-2</v>
      </c>
      <c r="Q85" s="3">
        <v>7.4562852999999998E-2</v>
      </c>
      <c r="R85" s="3">
        <v>6.8045674E-2</v>
      </c>
      <c r="S85" s="3">
        <v>4.1079883999999997E-2</v>
      </c>
      <c r="T85" s="3">
        <v>0.110181874</v>
      </c>
      <c r="U85" s="3">
        <v>5.7574274000000002E-2</v>
      </c>
      <c r="V85" s="3">
        <v>0.45416240661896373</v>
      </c>
      <c r="W85" s="3">
        <v>0.19128093578220032</v>
      </c>
      <c r="X85" s="3">
        <v>0</v>
      </c>
      <c r="AB85">
        <v>1</v>
      </c>
      <c r="AC85">
        <v>0</v>
      </c>
      <c r="AD85">
        <v>1</v>
      </c>
    </row>
    <row r="86" spans="1:30" x14ac:dyDescent="0.3">
      <c r="A86" s="1">
        <v>45426</v>
      </c>
      <c r="B86" s="3">
        <v>0.17553903500000001</v>
      </c>
      <c r="C86" s="3">
        <v>0.13677713499999999</v>
      </c>
      <c r="D86" s="3">
        <v>0.26340530600000001</v>
      </c>
      <c r="E86" s="3">
        <v>0.137158434</v>
      </c>
      <c r="F86" s="3">
        <v>0.22227635000000001</v>
      </c>
      <c r="G86" s="3">
        <v>8.6516868999999996E-2</v>
      </c>
      <c r="H86" s="3">
        <v>0.23557518999999999</v>
      </c>
      <c r="I86" s="3">
        <v>0.139658106</v>
      </c>
      <c r="J86" s="3">
        <v>0.13598068599999999</v>
      </c>
      <c r="K86" s="3">
        <v>4.3285793000000003E-2</v>
      </c>
      <c r="L86" s="3">
        <v>0.17722248299999999</v>
      </c>
      <c r="M86" s="3">
        <v>6.0347314999999999E-2</v>
      </c>
      <c r="N86" s="3">
        <v>0.17598382400000001</v>
      </c>
      <c r="O86" s="3">
        <v>4.8549006999999998E-2</v>
      </c>
      <c r="P86" s="3">
        <v>0.16082950100000001</v>
      </c>
      <c r="Q86" s="3">
        <v>0.11330348</v>
      </c>
      <c r="R86" s="3">
        <v>3.3417930999999998E-2</v>
      </c>
      <c r="S86" s="3">
        <v>4.9843088000000001E-2</v>
      </c>
      <c r="T86" s="3">
        <v>9.0953687000000005E-2</v>
      </c>
      <c r="U86" s="3">
        <v>7.4562852999999998E-2</v>
      </c>
      <c r="V86" s="3">
        <v>0.61701505381163568</v>
      </c>
      <c r="W86" s="3">
        <v>0.19158013513427255</v>
      </c>
      <c r="X86" s="3">
        <v>0</v>
      </c>
      <c r="AB86">
        <v>0</v>
      </c>
      <c r="AC86">
        <v>0</v>
      </c>
      <c r="AD86">
        <v>0</v>
      </c>
    </row>
    <row r="87" spans="1:30" x14ac:dyDescent="0.3">
      <c r="A87" s="1">
        <v>45427</v>
      </c>
      <c r="B87" s="3">
        <v>2.5094666000000002E-2</v>
      </c>
      <c r="C87" s="3">
        <v>3.1555321999999997E-2</v>
      </c>
      <c r="D87" s="3">
        <v>2.6996353000000001E-2</v>
      </c>
      <c r="E87" s="3">
        <v>3.3716775999999997E-2</v>
      </c>
      <c r="F87" s="3">
        <v>0.17553903500000001</v>
      </c>
      <c r="G87" s="3">
        <v>0.13677713499999999</v>
      </c>
      <c r="H87" s="3">
        <v>0.26340530600000001</v>
      </c>
      <c r="I87" s="3">
        <v>0.137158434</v>
      </c>
      <c r="J87" s="3">
        <v>0.22227635000000001</v>
      </c>
      <c r="K87" s="3">
        <v>8.6516868999999996E-2</v>
      </c>
      <c r="L87" s="3">
        <v>0.23557518999999999</v>
      </c>
      <c r="M87" s="3">
        <v>0.139658106</v>
      </c>
      <c r="N87" s="3">
        <v>0.13598068599999999</v>
      </c>
      <c r="O87" s="3">
        <v>4.3285793000000003E-2</v>
      </c>
      <c r="P87" s="3">
        <v>0.17722248299999999</v>
      </c>
      <c r="Q87" s="3">
        <v>6.0347314999999999E-2</v>
      </c>
      <c r="R87" s="3">
        <v>0.17598382400000001</v>
      </c>
      <c r="S87" s="3">
        <v>4.8549006999999998E-2</v>
      </c>
      <c r="T87" s="3">
        <v>0.16082950100000001</v>
      </c>
      <c r="U87" s="3">
        <v>0.11330348</v>
      </c>
      <c r="V87" s="3">
        <v>0.61701505381163568</v>
      </c>
      <c r="W87" s="3">
        <v>0.1911912275649563</v>
      </c>
      <c r="X87" s="3">
        <v>0</v>
      </c>
      <c r="AB87">
        <v>1</v>
      </c>
      <c r="AC87">
        <v>0</v>
      </c>
      <c r="AD87">
        <v>1</v>
      </c>
    </row>
    <row r="88" spans="1:30" x14ac:dyDescent="0.3">
      <c r="A88" s="1">
        <v>45428</v>
      </c>
      <c r="B88" s="3">
        <v>8.1518215000000005E-2</v>
      </c>
      <c r="C88" s="3">
        <v>3.3187130000000002E-2</v>
      </c>
      <c r="D88" s="3">
        <v>7.7597911000000006E-2</v>
      </c>
      <c r="E88" s="3">
        <v>4.7915543999999997E-2</v>
      </c>
      <c r="F88" s="3">
        <v>2.5094666000000002E-2</v>
      </c>
      <c r="G88" s="3">
        <v>3.1555321999999997E-2</v>
      </c>
      <c r="H88" s="3">
        <v>2.6996353000000001E-2</v>
      </c>
      <c r="I88" s="3">
        <v>3.3716775999999997E-2</v>
      </c>
      <c r="J88" s="3">
        <v>0.17553903500000001</v>
      </c>
      <c r="K88" s="3">
        <v>0.13677713499999999</v>
      </c>
      <c r="L88" s="3">
        <v>0.26340530600000001</v>
      </c>
      <c r="M88" s="3">
        <v>0.137158434</v>
      </c>
      <c r="N88" s="3">
        <v>0.22227635000000001</v>
      </c>
      <c r="O88" s="3">
        <v>8.6516868999999996E-2</v>
      </c>
      <c r="P88" s="3">
        <v>0.23557518999999999</v>
      </c>
      <c r="Q88" s="3">
        <v>0.139658106</v>
      </c>
      <c r="R88" s="3">
        <v>0.13598068599999999</v>
      </c>
      <c r="S88" s="3">
        <v>4.3285793000000003E-2</v>
      </c>
      <c r="T88" s="3">
        <v>0.17722248299999999</v>
      </c>
      <c r="U88" s="3">
        <v>6.0347314999999999E-2</v>
      </c>
      <c r="V88" s="3">
        <v>0.76677487762724683</v>
      </c>
      <c r="W88" s="3">
        <v>0.19144383318015037</v>
      </c>
      <c r="X88" s="3">
        <v>0</v>
      </c>
      <c r="AB88">
        <v>0</v>
      </c>
      <c r="AC88">
        <v>0</v>
      </c>
      <c r="AD88">
        <v>0</v>
      </c>
    </row>
    <row r="89" spans="1:30" x14ac:dyDescent="0.3">
      <c r="A89" s="1">
        <v>45429</v>
      </c>
      <c r="B89" s="3">
        <v>6.6826531999999994E-2</v>
      </c>
      <c r="C89" s="3">
        <v>1.9820343000000001E-2</v>
      </c>
      <c r="D89" s="3">
        <v>7.0305185000000006E-2</v>
      </c>
      <c r="E89" s="3">
        <v>5.1755040000000002E-2</v>
      </c>
      <c r="F89" s="3">
        <v>8.1518215000000005E-2</v>
      </c>
      <c r="G89" s="3">
        <v>3.3187130000000002E-2</v>
      </c>
      <c r="H89" s="3">
        <v>7.7597911000000006E-2</v>
      </c>
      <c r="I89" s="3">
        <v>4.7915543999999997E-2</v>
      </c>
      <c r="J89" s="3">
        <v>2.5094666000000002E-2</v>
      </c>
      <c r="K89" s="3">
        <v>3.1555321999999997E-2</v>
      </c>
      <c r="L89" s="3">
        <v>2.6996353000000001E-2</v>
      </c>
      <c r="M89" s="3">
        <v>3.3716775999999997E-2</v>
      </c>
      <c r="N89" s="3">
        <v>0.17553903500000001</v>
      </c>
      <c r="O89" s="3">
        <v>0.13677713499999999</v>
      </c>
      <c r="P89" s="3">
        <v>0.26340530600000001</v>
      </c>
      <c r="Q89" s="3">
        <v>0.137158434</v>
      </c>
      <c r="R89" s="3">
        <v>0.22227635000000001</v>
      </c>
      <c r="S89" s="3">
        <v>8.6516868999999996E-2</v>
      </c>
      <c r="T89" s="3">
        <v>0.23557518999999999</v>
      </c>
      <c r="U89" s="3">
        <v>0.139658106</v>
      </c>
      <c r="V89" s="3">
        <v>0.76677487762724683</v>
      </c>
      <c r="W89" s="3">
        <v>0.19169422287609914</v>
      </c>
      <c r="X89" s="3">
        <v>9.9799212851870572E-3</v>
      </c>
      <c r="AB89">
        <v>0</v>
      </c>
      <c r="AC89">
        <v>0</v>
      </c>
      <c r="AD89">
        <v>0</v>
      </c>
    </row>
    <row r="90" spans="1:30" x14ac:dyDescent="0.3">
      <c r="A90" s="1">
        <v>45432</v>
      </c>
      <c r="B90" s="3">
        <v>5.6439283E-2</v>
      </c>
      <c r="C90" s="3">
        <v>2.7016505E-2</v>
      </c>
      <c r="D90" s="3">
        <v>6.6362123999999995E-2</v>
      </c>
      <c r="E90" s="3">
        <v>4.5300099000000003E-2</v>
      </c>
      <c r="F90" s="3">
        <v>6.6826531999999994E-2</v>
      </c>
      <c r="G90" s="3">
        <v>1.9820343000000001E-2</v>
      </c>
      <c r="H90" s="3">
        <v>7.0305185000000006E-2</v>
      </c>
      <c r="I90" s="3">
        <v>5.1755040000000002E-2</v>
      </c>
      <c r="J90" s="3">
        <v>8.1518215000000005E-2</v>
      </c>
      <c r="K90" s="3">
        <v>3.3187130000000002E-2</v>
      </c>
      <c r="L90" s="3">
        <v>7.7597911000000006E-2</v>
      </c>
      <c r="M90" s="3">
        <v>4.7915543999999997E-2</v>
      </c>
      <c r="N90" s="3">
        <v>2.5094666000000002E-2</v>
      </c>
      <c r="O90" s="3">
        <v>3.1555321999999997E-2</v>
      </c>
      <c r="P90" s="3">
        <v>2.6996353000000001E-2</v>
      </c>
      <c r="Q90" s="3">
        <v>3.3716775999999997E-2</v>
      </c>
      <c r="R90" s="3">
        <v>0.17553903500000001</v>
      </c>
      <c r="S90" s="3">
        <v>0.13677713499999999</v>
      </c>
      <c r="T90" s="3">
        <v>0.26340530600000001</v>
      </c>
      <c r="U90" s="3">
        <v>0.137158434</v>
      </c>
      <c r="V90" s="3">
        <v>0.61701505381163568</v>
      </c>
      <c r="W90" s="3">
        <v>0.19141271314125499</v>
      </c>
      <c r="X90" s="3">
        <v>3.5483784646259901E-3</v>
      </c>
      <c r="AB90">
        <v>1</v>
      </c>
      <c r="AC90">
        <v>0</v>
      </c>
      <c r="AD90">
        <v>1</v>
      </c>
    </row>
    <row r="91" spans="1:30" x14ac:dyDescent="0.3">
      <c r="A91" s="1">
        <v>45433</v>
      </c>
      <c r="B91" s="3">
        <v>4.0336925000000003E-2</v>
      </c>
      <c r="C91" s="3">
        <v>2.1073648E-2</v>
      </c>
      <c r="D91" s="3">
        <v>5.0569436000000002E-2</v>
      </c>
      <c r="E91" s="3">
        <v>3.4193912E-2</v>
      </c>
      <c r="F91" s="3">
        <v>5.6439283E-2</v>
      </c>
      <c r="G91" s="3">
        <v>2.7016505E-2</v>
      </c>
      <c r="H91" s="3">
        <v>6.6362123999999995E-2</v>
      </c>
      <c r="I91" s="3">
        <v>4.5300099000000003E-2</v>
      </c>
      <c r="J91" s="3">
        <v>6.6826531999999994E-2</v>
      </c>
      <c r="K91" s="3">
        <v>1.9820343000000001E-2</v>
      </c>
      <c r="L91" s="3">
        <v>7.0305185000000006E-2</v>
      </c>
      <c r="M91" s="3">
        <v>5.1755040000000002E-2</v>
      </c>
      <c r="N91" s="3">
        <v>8.1518215000000005E-2</v>
      </c>
      <c r="O91" s="3">
        <v>3.3187130000000002E-2</v>
      </c>
      <c r="P91" s="3">
        <v>7.7597911000000006E-2</v>
      </c>
      <c r="Q91" s="3">
        <v>4.7915543999999997E-2</v>
      </c>
      <c r="R91" s="3">
        <v>2.5094666000000002E-2</v>
      </c>
      <c r="S91" s="3">
        <v>3.1555321999999997E-2</v>
      </c>
      <c r="T91" s="3">
        <v>2.6996353000000001E-2</v>
      </c>
      <c r="U91" s="3">
        <v>3.3716775999999997E-2</v>
      </c>
      <c r="V91" s="3">
        <v>0.61701505381163568</v>
      </c>
      <c r="W91" s="3">
        <v>0.19103863586525871</v>
      </c>
      <c r="X91" s="3">
        <v>8.5786206223719755E-3</v>
      </c>
      <c r="AB91">
        <v>1</v>
      </c>
      <c r="AC91">
        <v>0</v>
      </c>
      <c r="AD91">
        <v>1</v>
      </c>
    </row>
    <row r="92" spans="1:30" x14ac:dyDescent="0.3">
      <c r="A92" s="1">
        <v>45434</v>
      </c>
      <c r="B92" s="3">
        <v>1.378451E-2</v>
      </c>
      <c r="C92" s="3">
        <v>3.0534474999999998E-2</v>
      </c>
      <c r="D92" s="3">
        <v>4.5476689000000001E-2</v>
      </c>
      <c r="E92" s="3">
        <v>3.7847517999999997E-2</v>
      </c>
      <c r="F92" s="3">
        <v>4.0336925000000003E-2</v>
      </c>
      <c r="G92" s="3">
        <v>2.1073648E-2</v>
      </c>
      <c r="H92" s="3">
        <v>5.0569436000000002E-2</v>
      </c>
      <c r="I92" s="3">
        <v>3.4193912E-2</v>
      </c>
      <c r="J92" s="3">
        <v>5.6439283E-2</v>
      </c>
      <c r="K92" s="3">
        <v>2.7016505E-2</v>
      </c>
      <c r="L92" s="3">
        <v>6.6362123999999995E-2</v>
      </c>
      <c r="M92" s="3">
        <v>4.5300099000000003E-2</v>
      </c>
      <c r="N92" s="3">
        <v>6.6826531999999994E-2</v>
      </c>
      <c r="O92" s="3">
        <v>1.9820343000000001E-2</v>
      </c>
      <c r="P92" s="3">
        <v>7.0305185000000006E-2</v>
      </c>
      <c r="Q92" s="3">
        <v>5.1755040000000002E-2</v>
      </c>
      <c r="R92" s="3">
        <v>8.1518215000000005E-2</v>
      </c>
      <c r="S92" s="3">
        <v>3.3187130000000002E-2</v>
      </c>
      <c r="T92" s="3">
        <v>7.7597911000000006E-2</v>
      </c>
      <c r="U92" s="3">
        <v>4.7915543999999997E-2</v>
      </c>
      <c r="V92" s="3">
        <v>0.61701505381163568</v>
      </c>
      <c r="W92" s="3">
        <v>0.19278624229002223</v>
      </c>
      <c r="X92" s="3">
        <v>0</v>
      </c>
      <c r="AB92">
        <v>0</v>
      </c>
      <c r="AC92">
        <v>0</v>
      </c>
      <c r="AD92">
        <v>0</v>
      </c>
    </row>
    <row r="93" spans="1:30" x14ac:dyDescent="0.3">
      <c r="A93" s="1">
        <v>45435</v>
      </c>
      <c r="B93" s="3">
        <v>6.9573968999999999E-2</v>
      </c>
      <c r="C93" s="3">
        <v>2.3139047999999999E-2</v>
      </c>
      <c r="D93" s="3">
        <v>0.116115837</v>
      </c>
      <c r="E93" s="3">
        <v>7.1902981000000005E-2</v>
      </c>
      <c r="F93" s="3">
        <v>1.378451E-2</v>
      </c>
      <c r="G93" s="3">
        <v>3.0534474999999998E-2</v>
      </c>
      <c r="H93" s="3">
        <v>4.5476689000000001E-2</v>
      </c>
      <c r="I93" s="3">
        <v>3.7847517999999997E-2</v>
      </c>
      <c r="J93" s="3">
        <v>4.0336925000000003E-2</v>
      </c>
      <c r="K93" s="3">
        <v>2.1073648E-2</v>
      </c>
      <c r="L93" s="3">
        <v>5.0569436000000002E-2</v>
      </c>
      <c r="M93" s="3">
        <v>3.4193912E-2</v>
      </c>
      <c r="N93" s="3">
        <v>5.6439283E-2</v>
      </c>
      <c r="O93" s="3">
        <v>2.7016505E-2</v>
      </c>
      <c r="P93" s="3">
        <v>6.6362123999999995E-2</v>
      </c>
      <c r="Q93" s="3">
        <v>4.5300099000000003E-2</v>
      </c>
      <c r="R93" s="3">
        <v>6.6826531999999994E-2</v>
      </c>
      <c r="S93" s="3">
        <v>1.9820343000000001E-2</v>
      </c>
      <c r="T93" s="3">
        <v>7.0305185000000006E-2</v>
      </c>
      <c r="U93" s="3">
        <v>5.1755040000000002E-2</v>
      </c>
      <c r="V93" s="3">
        <v>0.67955249376785154</v>
      </c>
      <c r="W93" s="3">
        <v>0.19279292435800327</v>
      </c>
      <c r="X93" s="3">
        <v>0</v>
      </c>
      <c r="AB93">
        <v>0</v>
      </c>
      <c r="AC93">
        <v>0</v>
      </c>
      <c r="AD93">
        <v>0</v>
      </c>
    </row>
    <row r="94" spans="1:30" x14ac:dyDescent="0.3">
      <c r="A94" s="1">
        <v>45436</v>
      </c>
      <c r="B94" s="3">
        <v>5.9373624999999999E-2</v>
      </c>
      <c r="C94" s="3">
        <v>2.4137733000000001E-2</v>
      </c>
      <c r="D94" s="3">
        <v>8.9207641000000004E-2</v>
      </c>
      <c r="E94" s="3">
        <v>3.0323479E-2</v>
      </c>
      <c r="F94" s="3">
        <v>6.9573968999999999E-2</v>
      </c>
      <c r="G94" s="3">
        <v>2.3139047999999999E-2</v>
      </c>
      <c r="H94" s="3">
        <v>0.116115837</v>
      </c>
      <c r="I94" s="3">
        <v>7.1902981000000005E-2</v>
      </c>
      <c r="J94" s="3">
        <v>1.378451E-2</v>
      </c>
      <c r="K94" s="3">
        <v>3.0534474999999998E-2</v>
      </c>
      <c r="L94" s="3">
        <v>4.5476689000000001E-2</v>
      </c>
      <c r="M94" s="3">
        <v>3.7847517999999997E-2</v>
      </c>
      <c r="N94" s="3">
        <v>4.0336925000000003E-2</v>
      </c>
      <c r="O94" s="3">
        <v>2.1073648E-2</v>
      </c>
      <c r="P94" s="3">
        <v>5.0569436000000002E-2</v>
      </c>
      <c r="Q94" s="3">
        <v>3.4193912E-2</v>
      </c>
      <c r="R94" s="3">
        <v>5.6439283E-2</v>
      </c>
      <c r="S94" s="3">
        <v>2.7016505E-2</v>
      </c>
      <c r="T94" s="3">
        <v>6.6362123999999995E-2</v>
      </c>
      <c r="U94" s="3">
        <v>4.5300099000000003E-2</v>
      </c>
      <c r="V94" s="3">
        <v>0.67955249376785154</v>
      </c>
      <c r="W94" s="3">
        <v>0.19303104213668545</v>
      </c>
      <c r="X94" s="3">
        <v>9.4315640415417734E-3</v>
      </c>
      <c r="AB94">
        <v>0</v>
      </c>
      <c r="AC94">
        <v>1</v>
      </c>
      <c r="AD94">
        <v>1</v>
      </c>
    </row>
    <row r="95" spans="1:30" x14ac:dyDescent="0.3">
      <c r="A95" s="1">
        <v>45439</v>
      </c>
      <c r="B95" s="3">
        <v>4.5741417999999999E-2</v>
      </c>
      <c r="C95" s="3">
        <v>3.3711820000000003E-2</v>
      </c>
      <c r="D95" s="3">
        <v>7.9283925000000005E-2</v>
      </c>
      <c r="E95" s="3">
        <v>4.7169068000000001E-2</v>
      </c>
      <c r="F95" s="3">
        <v>5.9373624999999999E-2</v>
      </c>
      <c r="G95" s="3">
        <v>2.4137733000000001E-2</v>
      </c>
      <c r="H95" s="3">
        <v>8.9207641000000004E-2</v>
      </c>
      <c r="I95" s="3">
        <v>3.0323479E-2</v>
      </c>
      <c r="J95" s="3">
        <v>6.9573968999999999E-2</v>
      </c>
      <c r="K95" s="3">
        <v>2.3139047999999999E-2</v>
      </c>
      <c r="L95" s="3">
        <v>0.116115837</v>
      </c>
      <c r="M95" s="3">
        <v>7.1902981000000005E-2</v>
      </c>
      <c r="N95" s="3">
        <v>1.378451E-2</v>
      </c>
      <c r="O95" s="3">
        <v>3.0534474999999998E-2</v>
      </c>
      <c r="P95" s="3">
        <v>4.5476689000000001E-2</v>
      </c>
      <c r="Q95" s="3">
        <v>3.7847517999999997E-2</v>
      </c>
      <c r="R95" s="3">
        <v>4.0336925000000003E-2</v>
      </c>
      <c r="S95" s="3">
        <v>2.1073648E-2</v>
      </c>
      <c r="T95" s="3">
        <v>5.0569436000000002E-2</v>
      </c>
      <c r="U95" s="3">
        <v>3.4193912E-2</v>
      </c>
      <c r="V95" s="3">
        <v>0.85040543580851213</v>
      </c>
      <c r="W95" s="3">
        <v>0.19256999827616039</v>
      </c>
      <c r="X95" s="3">
        <v>0</v>
      </c>
      <c r="AB95">
        <v>0</v>
      </c>
      <c r="AC95">
        <v>0</v>
      </c>
      <c r="AD95">
        <v>0</v>
      </c>
    </row>
    <row r="96" spans="1:30" x14ac:dyDescent="0.3">
      <c r="A96" s="1">
        <v>45440</v>
      </c>
      <c r="B96" s="3">
        <v>4.6135847000000001E-2</v>
      </c>
      <c r="C96" s="3">
        <v>3.1692451000000003E-2</v>
      </c>
      <c r="D96" s="3">
        <v>4.9886919000000002E-2</v>
      </c>
      <c r="E96" s="3">
        <v>4.2015112E-2</v>
      </c>
      <c r="F96" s="3">
        <v>4.5741417999999999E-2</v>
      </c>
      <c r="G96" s="3">
        <v>3.3711820000000003E-2</v>
      </c>
      <c r="H96" s="3">
        <v>7.9283925000000005E-2</v>
      </c>
      <c r="I96" s="3">
        <v>4.7169068000000001E-2</v>
      </c>
      <c r="J96" s="3">
        <v>5.9373624999999999E-2</v>
      </c>
      <c r="K96" s="3">
        <v>2.4137733000000001E-2</v>
      </c>
      <c r="L96" s="3">
        <v>8.9207641000000004E-2</v>
      </c>
      <c r="M96" s="3">
        <v>3.0323479E-2</v>
      </c>
      <c r="N96" s="3">
        <v>6.9573968999999999E-2</v>
      </c>
      <c r="O96" s="3">
        <v>2.3139047999999999E-2</v>
      </c>
      <c r="P96" s="3">
        <v>0.116115837</v>
      </c>
      <c r="Q96" s="3">
        <v>7.1902981000000005E-2</v>
      </c>
      <c r="R96" s="3">
        <v>1.378451E-2</v>
      </c>
      <c r="S96" s="3">
        <v>3.0534474999999998E-2</v>
      </c>
      <c r="T96" s="3">
        <v>4.5476689000000001E-2</v>
      </c>
      <c r="U96" s="3">
        <v>3.7847517999999997E-2</v>
      </c>
      <c r="V96" s="3">
        <v>0.85040543580851213</v>
      </c>
      <c r="W96" s="3">
        <v>0.19249884193063013</v>
      </c>
      <c r="X96" s="3">
        <v>0</v>
      </c>
      <c r="AB96">
        <v>0</v>
      </c>
      <c r="AC96">
        <v>1</v>
      </c>
      <c r="AD96">
        <v>1</v>
      </c>
    </row>
    <row r="97" spans="1:30" x14ac:dyDescent="0.3">
      <c r="A97" s="1">
        <v>45441</v>
      </c>
      <c r="B97" s="3">
        <v>4.2686235000000003E-2</v>
      </c>
      <c r="C97" s="3">
        <v>3.3493555000000001E-2</v>
      </c>
      <c r="D97" s="3">
        <v>2.1937915999999998E-2</v>
      </c>
      <c r="E97" s="3">
        <v>5.3166616E-2</v>
      </c>
      <c r="F97" s="3">
        <v>4.6135847000000001E-2</v>
      </c>
      <c r="G97" s="3">
        <v>3.1692451000000003E-2</v>
      </c>
      <c r="H97" s="3">
        <v>4.9886919000000002E-2</v>
      </c>
      <c r="I97" s="3">
        <v>4.2015112E-2</v>
      </c>
      <c r="J97" s="3">
        <v>4.5741417999999999E-2</v>
      </c>
      <c r="K97" s="3">
        <v>3.3711820000000003E-2</v>
      </c>
      <c r="L97" s="3">
        <v>7.9283925000000005E-2</v>
      </c>
      <c r="M97" s="3">
        <v>4.7169068000000001E-2</v>
      </c>
      <c r="N97" s="3">
        <v>5.9373624999999999E-2</v>
      </c>
      <c r="O97" s="3">
        <v>2.4137733000000001E-2</v>
      </c>
      <c r="P97" s="3">
        <v>8.9207641000000004E-2</v>
      </c>
      <c r="Q97" s="3">
        <v>3.0323479E-2</v>
      </c>
      <c r="R97" s="3">
        <v>6.9573968999999999E-2</v>
      </c>
      <c r="S97" s="3">
        <v>2.3139047999999999E-2</v>
      </c>
      <c r="T97" s="3">
        <v>0.116115837</v>
      </c>
      <c r="U97" s="3">
        <v>7.1902981000000005E-2</v>
      </c>
      <c r="V97" s="3">
        <v>0.85040543580851213</v>
      </c>
      <c r="W97" s="3">
        <v>0.1942186810035671</v>
      </c>
      <c r="X97" s="3">
        <v>2.6919581703015307E-2</v>
      </c>
      <c r="AB97">
        <v>0</v>
      </c>
      <c r="AC97">
        <v>0</v>
      </c>
      <c r="AD97">
        <v>0</v>
      </c>
    </row>
    <row r="98" spans="1:30" x14ac:dyDescent="0.3">
      <c r="A98" s="1">
        <v>45442</v>
      </c>
      <c r="B98" s="3">
        <v>0.105204267</v>
      </c>
      <c r="C98" s="3">
        <v>4.0520935000000001E-2</v>
      </c>
      <c r="D98" s="3">
        <v>9.1903179000000002E-2</v>
      </c>
      <c r="E98" s="3">
        <v>3.7626481000000003E-2</v>
      </c>
      <c r="F98" s="3">
        <v>4.2686235000000003E-2</v>
      </c>
      <c r="G98" s="3">
        <v>3.3493555000000001E-2</v>
      </c>
      <c r="H98" s="3">
        <v>2.1937915999999998E-2</v>
      </c>
      <c r="I98" s="3">
        <v>5.3166616E-2</v>
      </c>
      <c r="J98" s="3">
        <v>4.6135847000000001E-2</v>
      </c>
      <c r="K98" s="3">
        <v>3.1692451000000003E-2</v>
      </c>
      <c r="L98" s="3">
        <v>4.9886919000000002E-2</v>
      </c>
      <c r="M98" s="3">
        <v>4.2015112E-2</v>
      </c>
      <c r="N98" s="3">
        <v>4.5741417999999999E-2</v>
      </c>
      <c r="O98" s="3">
        <v>3.3711820000000003E-2</v>
      </c>
      <c r="P98" s="3">
        <v>7.9283925000000005E-2</v>
      </c>
      <c r="Q98" s="3">
        <v>4.7169068000000001E-2</v>
      </c>
      <c r="R98" s="3">
        <v>5.9373624999999999E-2</v>
      </c>
      <c r="S98" s="3">
        <v>2.4137733000000001E-2</v>
      </c>
      <c r="T98" s="3">
        <v>8.9207641000000004E-2</v>
      </c>
      <c r="U98" s="3">
        <v>3.0323479E-2</v>
      </c>
      <c r="V98" s="3">
        <v>0.67955249376785154</v>
      </c>
      <c r="W98" s="3">
        <v>0.1966350114240287</v>
      </c>
      <c r="X98" s="3">
        <v>3.7853455371924027E-2</v>
      </c>
      <c r="AB98">
        <v>1</v>
      </c>
      <c r="AC98">
        <v>0</v>
      </c>
      <c r="AD98">
        <v>1</v>
      </c>
    </row>
    <row r="99" spans="1:30" x14ac:dyDescent="0.3">
      <c r="A99" s="1">
        <v>45443</v>
      </c>
      <c r="B99" s="3">
        <v>0.117837202</v>
      </c>
      <c r="C99" s="3">
        <v>2.9156423000000001E-2</v>
      </c>
      <c r="D99" s="3">
        <v>6.0759109999999998E-2</v>
      </c>
      <c r="E99" s="3">
        <v>5.933273E-2</v>
      </c>
      <c r="F99" s="3">
        <v>0.105204267</v>
      </c>
      <c r="G99" s="3">
        <v>4.0520935000000001E-2</v>
      </c>
      <c r="H99" s="3">
        <v>9.1903179000000002E-2</v>
      </c>
      <c r="I99" s="3">
        <v>3.7626481000000003E-2</v>
      </c>
      <c r="J99" s="3">
        <v>4.2686235000000003E-2</v>
      </c>
      <c r="K99" s="3">
        <v>3.3493555000000001E-2</v>
      </c>
      <c r="L99" s="3">
        <v>2.1937915999999998E-2</v>
      </c>
      <c r="M99" s="3">
        <v>5.3166616E-2</v>
      </c>
      <c r="N99" s="3">
        <v>4.6135847000000001E-2</v>
      </c>
      <c r="O99" s="3">
        <v>3.1692451000000003E-2</v>
      </c>
      <c r="P99" s="3">
        <v>4.9886919000000002E-2</v>
      </c>
      <c r="Q99" s="3">
        <v>4.2015112E-2</v>
      </c>
      <c r="R99" s="3">
        <v>4.5741417999999999E-2</v>
      </c>
      <c r="S99" s="3">
        <v>3.3711820000000003E-2</v>
      </c>
      <c r="T99" s="3">
        <v>7.9283925000000005E-2</v>
      </c>
      <c r="U99" s="3">
        <v>4.7169068000000001E-2</v>
      </c>
      <c r="V99" s="3">
        <v>0.40836988391104906</v>
      </c>
      <c r="W99" s="3">
        <v>0.19818126615863194</v>
      </c>
      <c r="X99" s="3">
        <v>2.5208022507478643E-2</v>
      </c>
      <c r="AB99">
        <v>1</v>
      </c>
      <c r="AC99">
        <v>0</v>
      </c>
      <c r="AD99">
        <v>1</v>
      </c>
    </row>
    <row r="100" spans="1:30" x14ac:dyDescent="0.3">
      <c r="A100" s="1">
        <v>45446</v>
      </c>
      <c r="B100" s="3">
        <v>6.2768146999999996E-2</v>
      </c>
      <c r="C100" s="3">
        <v>3.9253785999999999E-2</v>
      </c>
      <c r="D100" s="3">
        <v>0.10722953</v>
      </c>
      <c r="E100" s="3">
        <v>5.3801345E-2</v>
      </c>
      <c r="F100" s="3">
        <v>0.117837202</v>
      </c>
      <c r="G100" s="3">
        <v>2.9156423000000001E-2</v>
      </c>
      <c r="H100" s="3">
        <v>6.0759109999999998E-2</v>
      </c>
      <c r="I100" s="3">
        <v>5.933273E-2</v>
      </c>
      <c r="J100" s="3">
        <v>0.105204267</v>
      </c>
      <c r="K100" s="3">
        <v>4.0520935000000001E-2</v>
      </c>
      <c r="L100" s="3">
        <v>9.1903179000000002E-2</v>
      </c>
      <c r="M100" s="3">
        <v>3.7626481000000003E-2</v>
      </c>
      <c r="N100" s="3">
        <v>4.2686235000000003E-2</v>
      </c>
      <c r="O100" s="3">
        <v>3.3493555000000001E-2</v>
      </c>
      <c r="P100" s="3">
        <v>2.1937915999999998E-2</v>
      </c>
      <c r="Q100" s="3">
        <v>5.3166616E-2</v>
      </c>
      <c r="R100" s="3">
        <v>4.6135847000000001E-2</v>
      </c>
      <c r="S100" s="3">
        <v>3.1692451000000003E-2</v>
      </c>
      <c r="T100" s="3">
        <v>4.9886919000000002E-2</v>
      </c>
      <c r="U100" s="3">
        <v>4.2015112E-2</v>
      </c>
      <c r="V100" s="3">
        <v>0.40836988391104906</v>
      </c>
      <c r="W100" s="3">
        <v>0.19899230885029701</v>
      </c>
      <c r="X100" s="3">
        <v>0</v>
      </c>
      <c r="AB100">
        <v>0</v>
      </c>
      <c r="AC100">
        <v>0</v>
      </c>
      <c r="AD100">
        <v>0</v>
      </c>
    </row>
    <row r="101" spans="1:30" x14ac:dyDescent="0.3">
      <c r="A101" s="1">
        <v>45447</v>
      </c>
      <c r="B101" s="3">
        <v>7.2375842999999995E-2</v>
      </c>
      <c r="C101" s="3">
        <v>3.1774752000000003E-2</v>
      </c>
      <c r="D101" s="3">
        <v>6.2251649999999999E-2</v>
      </c>
      <c r="E101" s="3">
        <v>5.1612035000000001E-2</v>
      </c>
      <c r="F101" s="3">
        <v>6.2768146999999996E-2</v>
      </c>
      <c r="G101" s="3">
        <v>3.9253785999999999E-2</v>
      </c>
      <c r="H101" s="3">
        <v>0.10722953</v>
      </c>
      <c r="I101" s="3">
        <v>5.3801345E-2</v>
      </c>
      <c r="J101" s="3">
        <v>0.117837202</v>
      </c>
      <c r="K101" s="3">
        <v>2.9156423000000001E-2</v>
      </c>
      <c r="L101" s="3">
        <v>6.0759109999999998E-2</v>
      </c>
      <c r="M101" s="3">
        <v>5.933273E-2</v>
      </c>
      <c r="N101" s="3">
        <v>0.105204267</v>
      </c>
      <c r="O101" s="3">
        <v>4.0520935000000001E-2</v>
      </c>
      <c r="P101" s="3">
        <v>9.1903179000000002E-2</v>
      </c>
      <c r="Q101" s="3">
        <v>3.7626481000000003E-2</v>
      </c>
      <c r="R101" s="3">
        <v>4.2686235000000003E-2</v>
      </c>
      <c r="S101" s="3">
        <v>3.3493555000000001E-2</v>
      </c>
      <c r="T101" s="3">
        <v>2.1937915999999998E-2</v>
      </c>
      <c r="U101" s="3">
        <v>5.3166616E-2</v>
      </c>
      <c r="V101" s="3">
        <v>0.27136031788558806</v>
      </c>
      <c r="W101" s="3">
        <v>0.19924109593336081</v>
      </c>
      <c r="X101" s="3">
        <v>2.3274346866721057E-2</v>
      </c>
      <c r="AB101">
        <v>1</v>
      </c>
      <c r="AC101">
        <v>0</v>
      </c>
      <c r="AD101">
        <v>1</v>
      </c>
    </row>
    <row r="102" spans="1:30" x14ac:dyDescent="0.3">
      <c r="A102" s="1">
        <v>45448</v>
      </c>
      <c r="B102" s="3">
        <v>1.8520808999999999E-2</v>
      </c>
      <c r="C102" s="3">
        <v>2.9743019999999998E-2</v>
      </c>
      <c r="D102" s="3">
        <v>7.4993347000000002E-2</v>
      </c>
      <c r="E102" s="3">
        <v>6.6130216000000006E-2</v>
      </c>
      <c r="F102" s="3">
        <v>7.2375842999999995E-2</v>
      </c>
      <c r="G102" s="3">
        <v>3.1774752000000003E-2</v>
      </c>
      <c r="H102" s="3">
        <v>6.2251649999999999E-2</v>
      </c>
      <c r="I102" s="3">
        <v>5.1612035000000001E-2</v>
      </c>
      <c r="J102" s="3">
        <v>6.2768146999999996E-2</v>
      </c>
      <c r="K102" s="3">
        <v>3.9253785999999999E-2</v>
      </c>
      <c r="L102" s="3">
        <v>0.10722953</v>
      </c>
      <c r="M102" s="3">
        <v>5.3801345E-2</v>
      </c>
      <c r="N102" s="3">
        <v>0.117837202</v>
      </c>
      <c r="O102" s="3">
        <v>2.9156423000000001E-2</v>
      </c>
      <c r="P102" s="3">
        <v>6.0759109999999998E-2</v>
      </c>
      <c r="Q102" s="3">
        <v>5.933273E-2</v>
      </c>
      <c r="R102" s="3">
        <v>0.105204267</v>
      </c>
      <c r="S102" s="3">
        <v>4.0520935000000001E-2</v>
      </c>
      <c r="T102" s="3">
        <v>9.1903179000000002E-2</v>
      </c>
      <c r="U102" s="3">
        <v>3.7626481000000003E-2</v>
      </c>
      <c r="V102" s="3">
        <v>0.27136031788558806</v>
      </c>
      <c r="W102" s="3">
        <v>0.1994183348022146</v>
      </c>
      <c r="X102" s="3">
        <v>0</v>
      </c>
      <c r="AB102">
        <v>1</v>
      </c>
      <c r="AC102">
        <v>0</v>
      </c>
      <c r="AD102">
        <v>1</v>
      </c>
    </row>
    <row r="103" spans="1:30" x14ac:dyDescent="0.3">
      <c r="A103" s="1">
        <v>45449</v>
      </c>
      <c r="B103" s="3">
        <v>9.3969393999999998E-2</v>
      </c>
      <c r="C103" s="3">
        <v>6.2578002999999993E-2</v>
      </c>
      <c r="D103" s="3">
        <v>0.17560790100000001</v>
      </c>
      <c r="E103" s="3">
        <v>7.2916196000000003E-2</v>
      </c>
      <c r="F103" s="3">
        <v>1.8520808999999999E-2</v>
      </c>
      <c r="G103" s="3">
        <v>2.9743019999999998E-2</v>
      </c>
      <c r="H103" s="3">
        <v>7.4993347000000002E-2</v>
      </c>
      <c r="I103" s="3">
        <v>6.6130216000000006E-2</v>
      </c>
      <c r="J103" s="3">
        <v>7.2375842999999995E-2</v>
      </c>
      <c r="K103" s="3">
        <v>3.1774752000000003E-2</v>
      </c>
      <c r="L103" s="3">
        <v>6.2251649999999999E-2</v>
      </c>
      <c r="M103" s="3">
        <v>5.1612035000000001E-2</v>
      </c>
      <c r="N103" s="3">
        <v>6.2768146999999996E-2</v>
      </c>
      <c r="O103" s="3">
        <v>3.9253785999999999E-2</v>
      </c>
      <c r="P103" s="3">
        <v>0.10722953</v>
      </c>
      <c r="Q103" s="3">
        <v>5.3801345E-2</v>
      </c>
      <c r="R103" s="3">
        <v>0.117837202</v>
      </c>
      <c r="S103" s="3">
        <v>2.9156423000000001E-2</v>
      </c>
      <c r="T103" s="3">
        <v>6.0759109999999998E-2</v>
      </c>
      <c r="U103" s="3">
        <v>5.933273E-2</v>
      </c>
      <c r="V103" s="3">
        <v>0.40836988391104906</v>
      </c>
      <c r="W103" s="3">
        <v>0.20426343017050819</v>
      </c>
      <c r="X103" s="3">
        <v>0</v>
      </c>
      <c r="AB103">
        <v>1</v>
      </c>
      <c r="AC103">
        <v>0</v>
      </c>
      <c r="AD103">
        <v>1</v>
      </c>
    </row>
    <row r="104" spans="1:30" x14ac:dyDescent="0.3">
      <c r="A104" s="1">
        <v>45450</v>
      </c>
      <c r="B104" s="3">
        <v>9.6782594999999999E-2</v>
      </c>
      <c r="C104" s="3">
        <v>3.4585496E-2</v>
      </c>
      <c r="D104" s="3">
        <v>0.137257623</v>
      </c>
      <c r="E104" s="3">
        <v>5.3461670000000003E-2</v>
      </c>
      <c r="F104" s="3">
        <v>9.3969393999999998E-2</v>
      </c>
      <c r="G104" s="3">
        <v>6.2578002999999993E-2</v>
      </c>
      <c r="H104" s="3">
        <v>0.17560790100000001</v>
      </c>
      <c r="I104" s="3">
        <v>7.2916196000000003E-2</v>
      </c>
      <c r="J104" s="3">
        <v>1.8520808999999999E-2</v>
      </c>
      <c r="K104" s="3">
        <v>2.9743019999999998E-2</v>
      </c>
      <c r="L104" s="3">
        <v>7.4993347000000002E-2</v>
      </c>
      <c r="M104" s="3">
        <v>6.6130216000000006E-2</v>
      </c>
      <c r="N104" s="3">
        <v>7.2375842999999995E-2</v>
      </c>
      <c r="O104" s="3">
        <v>3.1774752000000003E-2</v>
      </c>
      <c r="P104" s="3">
        <v>6.2251649999999999E-2</v>
      </c>
      <c r="Q104" s="3">
        <v>5.1612035000000001E-2</v>
      </c>
      <c r="R104" s="3">
        <v>6.2768146999999996E-2</v>
      </c>
      <c r="S104" s="3">
        <v>3.9253785999999999E-2</v>
      </c>
      <c r="T104" s="3">
        <v>0.10722953</v>
      </c>
      <c r="U104" s="3">
        <v>5.3801345E-2</v>
      </c>
      <c r="V104" s="3">
        <v>0.27136031788558806</v>
      </c>
      <c r="W104" s="3">
        <v>0.20341318716723028</v>
      </c>
      <c r="X104" s="3">
        <v>7.997131162709217E-3</v>
      </c>
      <c r="AB104">
        <v>1</v>
      </c>
      <c r="AC104">
        <v>0</v>
      </c>
      <c r="AD104">
        <v>1</v>
      </c>
    </row>
    <row r="105" spans="1:30" x14ac:dyDescent="0.3">
      <c r="A105" s="1">
        <v>45454</v>
      </c>
      <c r="B105" s="3">
        <v>0.104009165</v>
      </c>
      <c r="C105" s="3">
        <v>5.9869732000000002E-2</v>
      </c>
      <c r="D105" s="3">
        <v>9.9619856000000007E-2</v>
      </c>
      <c r="E105" s="3">
        <v>7.0371113999999999E-2</v>
      </c>
      <c r="F105" s="3">
        <v>9.6782594999999999E-2</v>
      </c>
      <c r="G105" s="3">
        <v>3.4585496E-2</v>
      </c>
      <c r="H105" s="3">
        <v>0.137257623</v>
      </c>
      <c r="I105" s="3">
        <v>5.3461670000000003E-2</v>
      </c>
      <c r="J105" s="3">
        <v>9.3969393999999998E-2</v>
      </c>
      <c r="K105" s="3">
        <v>6.2578002999999993E-2</v>
      </c>
      <c r="L105" s="3">
        <v>0.17560790100000001</v>
      </c>
      <c r="M105" s="3">
        <v>7.2916196000000003E-2</v>
      </c>
      <c r="N105" s="3">
        <v>1.8520808999999999E-2</v>
      </c>
      <c r="O105" s="3">
        <v>2.9743019999999998E-2</v>
      </c>
      <c r="P105" s="3">
        <v>7.4993347000000002E-2</v>
      </c>
      <c r="Q105" s="3">
        <v>6.6130216000000006E-2</v>
      </c>
      <c r="R105" s="3">
        <v>7.2375842999999995E-2</v>
      </c>
      <c r="S105" s="3">
        <v>3.1774752000000003E-2</v>
      </c>
      <c r="T105" s="3">
        <v>6.2251649999999999E-2</v>
      </c>
      <c r="U105" s="3">
        <v>5.1612035000000001E-2</v>
      </c>
      <c r="V105" s="3">
        <v>0.22962749007753946</v>
      </c>
      <c r="W105" s="3">
        <v>0.20352159251023019</v>
      </c>
      <c r="X105" s="3">
        <v>6.6540163489521584E-3</v>
      </c>
      <c r="AB105">
        <v>1</v>
      </c>
      <c r="AC105">
        <v>0</v>
      </c>
      <c r="AD105">
        <v>1</v>
      </c>
    </row>
    <row r="106" spans="1:30" x14ac:dyDescent="0.3">
      <c r="A106" s="1">
        <v>45455</v>
      </c>
      <c r="B106" s="3">
        <v>2.4782581000000001E-2</v>
      </c>
      <c r="C106" s="3">
        <v>4.8496974999999998E-2</v>
      </c>
      <c r="D106" s="3">
        <v>0.110185254</v>
      </c>
      <c r="E106" s="3">
        <v>8.1334964999999995E-2</v>
      </c>
      <c r="F106" s="3">
        <v>0.104009165</v>
      </c>
      <c r="G106" s="3">
        <v>5.9869732000000002E-2</v>
      </c>
      <c r="H106" s="3">
        <v>9.9619856000000007E-2</v>
      </c>
      <c r="I106" s="3">
        <v>7.0371113999999999E-2</v>
      </c>
      <c r="J106" s="3">
        <v>9.6782594999999999E-2</v>
      </c>
      <c r="K106" s="3">
        <v>3.4585496E-2</v>
      </c>
      <c r="L106" s="3">
        <v>0.137257623</v>
      </c>
      <c r="M106" s="3">
        <v>5.3461670000000003E-2</v>
      </c>
      <c r="N106" s="3">
        <v>9.3969393999999998E-2</v>
      </c>
      <c r="O106" s="3">
        <v>6.2578002999999993E-2</v>
      </c>
      <c r="P106" s="3">
        <v>0.17560790100000001</v>
      </c>
      <c r="Q106" s="3">
        <v>7.2916196000000003E-2</v>
      </c>
      <c r="R106" s="3">
        <v>1.8520808999999999E-2</v>
      </c>
      <c r="S106" s="3">
        <v>2.9743019999999998E-2</v>
      </c>
      <c r="T106" s="3">
        <v>7.4993347000000002E-2</v>
      </c>
      <c r="U106" s="3">
        <v>6.6130216000000006E-2</v>
      </c>
      <c r="V106" s="3">
        <v>0.40836988391104906</v>
      </c>
      <c r="W106" s="3">
        <v>0.20516284076050395</v>
      </c>
      <c r="X106" s="3">
        <v>0</v>
      </c>
      <c r="AB106">
        <v>1</v>
      </c>
      <c r="AC106">
        <v>0</v>
      </c>
      <c r="AD106">
        <v>1</v>
      </c>
    </row>
    <row r="107" spans="1:30" x14ac:dyDescent="0.3">
      <c r="A107" s="1">
        <v>45456</v>
      </c>
      <c r="B107" s="3">
        <v>0.15235248500000001</v>
      </c>
      <c r="C107" s="3">
        <v>6.2109596000000003E-2</v>
      </c>
      <c r="D107" s="3">
        <v>0.21011105199999999</v>
      </c>
      <c r="E107" s="3">
        <v>8.6151247E-2</v>
      </c>
      <c r="F107" s="3">
        <v>2.4782581000000001E-2</v>
      </c>
      <c r="G107" s="3">
        <v>4.8496974999999998E-2</v>
      </c>
      <c r="H107" s="3">
        <v>0.110185254</v>
      </c>
      <c r="I107" s="3">
        <v>8.1334964999999995E-2</v>
      </c>
      <c r="J107" s="3">
        <v>0.104009165</v>
      </c>
      <c r="K107" s="3">
        <v>5.9869732000000002E-2</v>
      </c>
      <c r="L107" s="3">
        <v>9.9619856000000007E-2</v>
      </c>
      <c r="M107" s="3">
        <v>7.0371113999999999E-2</v>
      </c>
      <c r="N107" s="3">
        <v>9.6782594999999999E-2</v>
      </c>
      <c r="O107" s="3">
        <v>3.4585496E-2</v>
      </c>
      <c r="P107" s="3">
        <v>0.137257623</v>
      </c>
      <c r="Q107" s="3">
        <v>5.3461670000000003E-2</v>
      </c>
      <c r="R107" s="3">
        <v>9.3969393999999998E-2</v>
      </c>
      <c r="S107" s="3">
        <v>6.2578002999999993E-2</v>
      </c>
      <c r="T107" s="3">
        <v>0.17560790100000001</v>
      </c>
      <c r="U107" s="3">
        <v>7.2916196000000003E-2</v>
      </c>
      <c r="V107" s="3">
        <v>0.67955249376785154</v>
      </c>
      <c r="W107" s="3">
        <v>0.20359693435521378</v>
      </c>
      <c r="X107" s="3">
        <v>0</v>
      </c>
      <c r="AB107">
        <v>1</v>
      </c>
      <c r="AC107">
        <v>0</v>
      </c>
      <c r="AD107">
        <v>1</v>
      </c>
    </row>
    <row r="108" spans="1:30" x14ac:dyDescent="0.3">
      <c r="A108" s="1">
        <v>45457</v>
      </c>
      <c r="B108" s="3">
        <v>0.101346723</v>
      </c>
      <c r="C108" s="3">
        <v>7.5857421999999994E-2</v>
      </c>
      <c r="D108" s="3">
        <v>0.21642281499999999</v>
      </c>
      <c r="E108" s="3">
        <v>7.8397486000000002E-2</v>
      </c>
      <c r="F108" s="3">
        <v>0.15235248500000001</v>
      </c>
      <c r="G108" s="3">
        <v>6.2109596000000003E-2</v>
      </c>
      <c r="H108" s="3">
        <v>0.21011105199999999</v>
      </c>
      <c r="I108" s="3">
        <v>8.6151247E-2</v>
      </c>
      <c r="J108" s="3">
        <v>2.4782581000000001E-2</v>
      </c>
      <c r="K108" s="3">
        <v>4.8496974999999998E-2</v>
      </c>
      <c r="L108" s="3">
        <v>0.110185254</v>
      </c>
      <c r="M108" s="3">
        <v>8.1334964999999995E-2</v>
      </c>
      <c r="N108" s="3">
        <v>0.104009165</v>
      </c>
      <c r="O108" s="3">
        <v>5.9869732000000002E-2</v>
      </c>
      <c r="P108" s="3">
        <v>9.9619856000000007E-2</v>
      </c>
      <c r="Q108" s="3">
        <v>7.0371113999999999E-2</v>
      </c>
      <c r="R108" s="3">
        <v>9.6782594999999999E-2</v>
      </c>
      <c r="S108" s="3">
        <v>3.4585496E-2</v>
      </c>
      <c r="T108" s="3">
        <v>0.137257623</v>
      </c>
      <c r="U108" s="3">
        <v>5.3461670000000003E-2</v>
      </c>
      <c r="V108" s="3">
        <v>0.67955249376785154</v>
      </c>
      <c r="W108" s="3">
        <v>0.20406008185843472</v>
      </c>
      <c r="X108" s="3">
        <v>0</v>
      </c>
      <c r="AB108">
        <v>1</v>
      </c>
      <c r="AC108">
        <v>0</v>
      </c>
      <c r="AD108">
        <v>1</v>
      </c>
    </row>
    <row r="109" spans="1:30" x14ac:dyDescent="0.3">
      <c r="A109" s="1">
        <v>45460</v>
      </c>
      <c r="B109" s="3">
        <v>0.19288984100000001</v>
      </c>
      <c r="C109" s="3">
        <v>8.3092447999999999E-2</v>
      </c>
      <c r="D109" s="3">
        <v>0.26515245300000001</v>
      </c>
      <c r="E109" s="3">
        <v>0.120306959</v>
      </c>
      <c r="F109" s="3">
        <v>0.101346723</v>
      </c>
      <c r="G109" s="3">
        <v>7.5857421999999994E-2</v>
      </c>
      <c r="H109" s="3">
        <v>0.21642281499999999</v>
      </c>
      <c r="I109" s="3">
        <v>7.8397486000000002E-2</v>
      </c>
      <c r="J109" s="3">
        <v>0.15235248500000001</v>
      </c>
      <c r="K109" s="3">
        <v>6.2109596000000003E-2</v>
      </c>
      <c r="L109" s="3">
        <v>0.21011105199999999</v>
      </c>
      <c r="M109" s="3">
        <v>8.6151247E-2</v>
      </c>
      <c r="N109" s="3">
        <v>2.4782581000000001E-2</v>
      </c>
      <c r="O109" s="3">
        <v>4.8496974999999998E-2</v>
      </c>
      <c r="P109" s="3">
        <v>0.110185254</v>
      </c>
      <c r="Q109" s="3">
        <v>8.1334964999999995E-2</v>
      </c>
      <c r="R109" s="3">
        <v>0.104009165</v>
      </c>
      <c r="S109" s="3">
        <v>5.9869732000000002E-2</v>
      </c>
      <c r="T109" s="3">
        <v>9.9619856000000007E-2</v>
      </c>
      <c r="U109" s="3">
        <v>7.0371113999999999E-2</v>
      </c>
      <c r="V109" s="3">
        <v>0.67955249376785154</v>
      </c>
      <c r="W109" s="3">
        <v>0.20398931375113316</v>
      </c>
      <c r="X109" s="3">
        <v>5.0631110005980237E-3</v>
      </c>
      <c r="AB109">
        <v>0</v>
      </c>
      <c r="AC109">
        <v>0</v>
      </c>
      <c r="AD109">
        <v>0</v>
      </c>
    </row>
    <row r="110" spans="1:30" x14ac:dyDescent="0.3">
      <c r="A110" s="1">
        <v>45461</v>
      </c>
      <c r="B110" s="3">
        <v>0.18530988500000001</v>
      </c>
      <c r="C110" s="3">
        <v>0.29072243199999998</v>
      </c>
      <c r="D110" s="3">
        <v>0.35899301700000003</v>
      </c>
      <c r="E110" s="3">
        <v>0.22878411500000001</v>
      </c>
      <c r="F110" s="3">
        <v>0.19288984100000001</v>
      </c>
      <c r="G110" s="3">
        <v>8.3092447999999999E-2</v>
      </c>
      <c r="H110" s="3">
        <v>0.26515245300000001</v>
      </c>
      <c r="I110" s="3">
        <v>0.120306959</v>
      </c>
      <c r="J110" s="3">
        <v>0.101346723</v>
      </c>
      <c r="K110" s="3">
        <v>7.5857421999999994E-2</v>
      </c>
      <c r="L110" s="3">
        <v>0.21642281499999999</v>
      </c>
      <c r="M110" s="3">
        <v>7.8397486000000002E-2</v>
      </c>
      <c r="N110" s="3">
        <v>0.15235248500000001</v>
      </c>
      <c r="O110" s="3">
        <v>6.2109596000000003E-2</v>
      </c>
      <c r="P110" s="3">
        <v>0.21011105199999999</v>
      </c>
      <c r="Q110" s="3">
        <v>8.6151247E-2</v>
      </c>
      <c r="R110" s="3">
        <v>2.4782581000000001E-2</v>
      </c>
      <c r="S110" s="3">
        <v>4.8496974999999998E-2</v>
      </c>
      <c r="T110" s="3">
        <v>0.110185254</v>
      </c>
      <c r="U110" s="3">
        <v>8.1334964999999995E-2</v>
      </c>
      <c r="V110" s="3">
        <v>0.85040543580851213</v>
      </c>
      <c r="W110" s="3">
        <v>0.20489125201851119</v>
      </c>
      <c r="X110" s="3">
        <v>0</v>
      </c>
      <c r="AB110">
        <v>0</v>
      </c>
      <c r="AC110">
        <v>0</v>
      </c>
      <c r="AD110">
        <v>0</v>
      </c>
    </row>
    <row r="111" spans="1:30" x14ac:dyDescent="0.3">
      <c r="A111" s="1">
        <v>45462</v>
      </c>
      <c r="B111" s="3">
        <v>1.5501628999999999E-2</v>
      </c>
      <c r="C111" s="3">
        <v>4.9600553999999998E-2</v>
      </c>
      <c r="D111" s="3">
        <v>6.2446573999999998E-2</v>
      </c>
      <c r="E111" s="3">
        <v>4.9660688000000001E-2</v>
      </c>
      <c r="F111" s="3">
        <v>0.18530988500000001</v>
      </c>
      <c r="G111" s="3">
        <v>0.29072243199999998</v>
      </c>
      <c r="H111" s="3">
        <v>0.35899301700000003</v>
      </c>
      <c r="I111" s="3">
        <v>0.22878411500000001</v>
      </c>
      <c r="J111" s="3">
        <v>0.19288984100000001</v>
      </c>
      <c r="K111" s="3">
        <v>8.3092447999999999E-2</v>
      </c>
      <c r="L111" s="3">
        <v>0.26515245300000001</v>
      </c>
      <c r="M111" s="3">
        <v>0.120306959</v>
      </c>
      <c r="N111" s="3">
        <v>0.101346723</v>
      </c>
      <c r="O111" s="3">
        <v>7.5857421999999994E-2</v>
      </c>
      <c r="P111" s="3">
        <v>0.21642281499999999</v>
      </c>
      <c r="Q111" s="3">
        <v>7.8397486000000002E-2</v>
      </c>
      <c r="R111" s="3">
        <v>0.15235248500000001</v>
      </c>
      <c r="S111" s="3">
        <v>6.2109596000000003E-2</v>
      </c>
      <c r="T111" s="3">
        <v>0.21011105199999999</v>
      </c>
      <c r="U111" s="3">
        <v>8.6151247E-2</v>
      </c>
      <c r="V111" s="3">
        <v>0.85040543580851213</v>
      </c>
      <c r="W111" s="3">
        <v>0.20430526334870053</v>
      </c>
      <c r="X111" s="3">
        <v>0</v>
      </c>
      <c r="AB111">
        <v>0</v>
      </c>
      <c r="AC111">
        <v>0</v>
      </c>
      <c r="AD111">
        <v>0</v>
      </c>
    </row>
    <row r="112" spans="1:30" x14ac:dyDescent="0.3">
      <c r="A112" s="1">
        <v>45463</v>
      </c>
      <c r="B112" s="3">
        <v>7.0691365000000006E-2</v>
      </c>
      <c r="C112" s="3">
        <v>3.6887688000000002E-2</v>
      </c>
      <c r="D112" s="3">
        <v>0.12528816100000001</v>
      </c>
      <c r="E112" s="3">
        <v>5.5896451999999999E-2</v>
      </c>
      <c r="F112" s="3">
        <v>1.5501628999999999E-2</v>
      </c>
      <c r="G112" s="3">
        <v>4.9600553999999998E-2</v>
      </c>
      <c r="H112" s="3">
        <v>6.2446573999999998E-2</v>
      </c>
      <c r="I112" s="3">
        <v>4.9660688000000001E-2</v>
      </c>
      <c r="J112" s="3">
        <v>0.18530988500000001</v>
      </c>
      <c r="K112" s="3">
        <v>0.29072243199999998</v>
      </c>
      <c r="L112" s="3">
        <v>0.35899301700000003</v>
      </c>
      <c r="M112" s="3">
        <v>0.22878411500000001</v>
      </c>
      <c r="N112" s="3">
        <v>0.19288984100000001</v>
      </c>
      <c r="O112" s="3">
        <v>8.3092447999999999E-2</v>
      </c>
      <c r="P112" s="3">
        <v>0.26515245300000001</v>
      </c>
      <c r="Q112" s="3">
        <v>0.120306959</v>
      </c>
      <c r="R112" s="3">
        <v>0.101346723</v>
      </c>
      <c r="S112" s="3">
        <v>7.5857421999999994E-2</v>
      </c>
      <c r="T112" s="3">
        <v>0.21642281499999999</v>
      </c>
      <c r="U112" s="3">
        <v>7.8397486000000002E-2</v>
      </c>
      <c r="V112" s="3">
        <v>0.89252011189078828</v>
      </c>
      <c r="W112" s="3">
        <v>0.20489762895356364</v>
      </c>
      <c r="X112" s="3">
        <v>0</v>
      </c>
      <c r="AB112">
        <v>0</v>
      </c>
      <c r="AC112">
        <v>1</v>
      </c>
      <c r="AD112">
        <v>1</v>
      </c>
    </row>
    <row r="113" spans="1:30" x14ac:dyDescent="0.3">
      <c r="A113" s="1">
        <v>45464</v>
      </c>
      <c r="B113" s="3">
        <v>8.3091619000000005E-2</v>
      </c>
      <c r="C113" s="3">
        <v>2.4421083999999999E-2</v>
      </c>
      <c r="D113" s="3">
        <v>9.3856278000000001E-2</v>
      </c>
      <c r="E113" s="3">
        <v>3.9968964000000003E-2</v>
      </c>
      <c r="F113" s="3">
        <v>7.0691365000000006E-2</v>
      </c>
      <c r="G113" s="3">
        <v>3.6887688000000002E-2</v>
      </c>
      <c r="H113" s="3">
        <v>0.12528816100000001</v>
      </c>
      <c r="I113" s="3">
        <v>5.5896451999999999E-2</v>
      </c>
      <c r="J113" s="3">
        <v>1.5501628999999999E-2</v>
      </c>
      <c r="K113" s="3">
        <v>4.9600553999999998E-2</v>
      </c>
      <c r="L113" s="3">
        <v>6.2446573999999998E-2</v>
      </c>
      <c r="M113" s="3">
        <v>4.9660688000000001E-2</v>
      </c>
      <c r="N113" s="3">
        <v>0.18530988500000001</v>
      </c>
      <c r="O113" s="3">
        <v>0.29072243199999998</v>
      </c>
      <c r="P113" s="3">
        <v>0.35899301700000003</v>
      </c>
      <c r="Q113" s="3">
        <v>0.22878411500000001</v>
      </c>
      <c r="R113" s="3">
        <v>0.19288984100000001</v>
      </c>
      <c r="S113" s="3">
        <v>8.3092447999999999E-2</v>
      </c>
      <c r="T113" s="3">
        <v>0.26515245300000001</v>
      </c>
      <c r="U113" s="3">
        <v>0.120306959</v>
      </c>
      <c r="V113" s="3">
        <v>0.89252011189078828</v>
      </c>
      <c r="W113" s="3">
        <v>0.20588355190692395</v>
      </c>
      <c r="X113" s="3">
        <v>2.1330801243434883E-2</v>
      </c>
      <c r="AB113">
        <v>0</v>
      </c>
      <c r="AC113">
        <v>0</v>
      </c>
      <c r="AD113">
        <v>0</v>
      </c>
    </row>
    <row r="114" spans="1:30" x14ac:dyDescent="0.3">
      <c r="A114" s="1">
        <v>45467</v>
      </c>
      <c r="B114" s="3">
        <v>9.2921664000000001E-2</v>
      </c>
      <c r="C114" s="3">
        <v>3.3641520000000001E-2</v>
      </c>
      <c r="D114" s="3">
        <v>7.7089251999999997E-2</v>
      </c>
      <c r="E114" s="3">
        <v>4.3517805E-2</v>
      </c>
      <c r="F114" s="3">
        <v>8.3091619000000005E-2</v>
      </c>
      <c r="G114" s="3">
        <v>2.4421083999999999E-2</v>
      </c>
      <c r="H114" s="3">
        <v>9.3856278000000001E-2</v>
      </c>
      <c r="I114" s="3">
        <v>3.9968964000000003E-2</v>
      </c>
      <c r="J114" s="3">
        <v>7.0691365000000006E-2</v>
      </c>
      <c r="K114" s="3">
        <v>3.6887688000000002E-2</v>
      </c>
      <c r="L114" s="3">
        <v>0.12528816100000001</v>
      </c>
      <c r="M114" s="3">
        <v>5.5896451999999999E-2</v>
      </c>
      <c r="N114" s="3">
        <v>1.5501628999999999E-2</v>
      </c>
      <c r="O114" s="3">
        <v>4.9600553999999998E-2</v>
      </c>
      <c r="P114" s="3">
        <v>6.2446573999999998E-2</v>
      </c>
      <c r="Q114" s="3">
        <v>4.9660688000000001E-2</v>
      </c>
      <c r="R114" s="3">
        <v>0.18530988500000001</v>
      </c>
      <c r="S114" s="3">
        <v>0.29072243199999998</v>
      </c>
      <c r="T114" s="3">
        <v>0.35899301700000003</v>
      </c>
      <c r="U114" s="3">
        <v>0.22878411500000001</v>
      </c>
      <c r="V114" s="3">
        <v>0.89252011189078828</v>
      </c>
      <c r="W114" s="3">
        <v>0.20801286244900305</v>
      </c>
      <c r="X114" s="3">
        <v>3.2050874430647483E-2</v>
      </c>
      <c r="AB114">
        <v>0</v>
      </c>
      <c r="AC114">
        <v>0</v>
      </c>
      <c r="AD114">
        <v>0</v>
      </c>
    </row>
    <row r="115" spans="1:30" x14ac:dyDescent="0.3">
      <c r="A115" s="1">
        <v>45468</v>
      </c>
      <c r="B115" s="3">
        <v>4.7815495999999999E-2</v>
      </c>
      <c r="C115" s="3">
        <v>3.8665863000000002E-2</v>
      </c>
      <c r="D115" s="3">
        <v>9.1813906000000001E-2</v>
      </c>
      <c r="E115" s="3">
        <v>5.0562179999999998E-2</v>
      </c>
      <c r="F115" s="3">
        <v>9.2921664000000001E-2</v>
      </c>
      <c r="G115" s="3">
        <v>3.3641520000000001E-2</v>
      </c>
      <c r="H115" s="3">
        <v>7.7089251999999997E-2</v>
      </c>
      <c r="I115" s="3">
        <v>4.3517805E-2</v>
      </c>
      <c r="J115" s="3">
        <v>8.3091619000000005E-2</v>
      </c>
      <c r="K115" s="3">
        <v>2.4421083999999999E-2</v>
      </c>
      <c r="L115" s="3">
        <v>9.3856278000000001E-2</v>
      </c>
      <c r="M115" s="3">
        <v>3.9968964000000003E-2</v>
      </c>
      <c r="N115" s="3">
        <v>7.0691365000000006E-2</v>
      </c>
      <c r="O115" s="3">
        <v>3.6887688000000002E-2</v>
      </c>
      <c r="P115" s="3">
        <v>0.12528816100000001</v>
      </c>
      <c r="Q115" s="3">
        <v>5.5896451999999999E-2</v>
      </c>
      <c r="R115" s="3">
        <v>1.5501628999999999E-2</v>
      </c>
      <c r="S115" s="3">
        <v>4.9600553999999998E-2</v>
      </c>
      <c r="T115" s="3">
        <v>6.2446573999999998E-2</v>
      </c>
      <c r="U115" s="3">
        <v>4.9660688000000001E-2</v>
      </c>
      <c r="V115" s="3">
        <v>0.89252011189078828</v>
      </c>
      <c r="W115" s="3">
        <v>0.20797917898737073</v>
      </c>
      <c r="X115" s="3">
        <v>0</v>
      </c>
      <c r="AB115">
        <v>0</v>
      </c>
      <c r="AC115">
        <v>0</v>
      </c>
      <c r="AD115">
        <v>0</v>
      </c>
    </row>
    <row r="116" spans="1:30" x14ac:dyDescent="0.3">
      <c r="A116" s="1">
        <v>45469</v>
      </c>
      <c r="B116" s="3">
        <v>2.6143954E-2</v>
      </c>
      <c r="C116" s="3">
        <v>3.7594964000000002E-2</v>
      </c>
      <c r="D116" s="3">
        <v>4.7066806000000003E-2</v>
      </c>
      <c r="E116" s="3">
        <v>4.0082913999999997E-2</v>
      </c>
      <c r="F116" s="3">
        <v>4.7815495999999999E-2</v>
      </c>
      <c r="G116" s="3">
        <v>3.8665863000000002E-2</v>
      </c>
      <c r="H116" s="3">
        <v>9.1813906000000001E-2</v>
      </c>
      <c r="I116" s="3">
        <v>5.0562179999999998E-2</v>
      </c>
      <c r="J116" s="3">
        <v>9.2921664000000001E-2</v>
      </c>
      <c r="K116" s="3">
        <v>3.3641520000000001E-2</v>
      </c>
      <c r="L116" s="3">
        <v>7.7089251999999997E-2</v>
      </c>
      <c r="M116" s="3">
        <v>4.3517805E-2</v>
      </c>
      <c r="N116" s="3">
        <v>8.3091619000000005E-2</v>
      </c>
      <c r="O116" s="3">
        <v>2.4421083999999999E-2</v>
      </c>
      <c r="P116" s="3">
        <v>9.3856278000000001E-2</v>
      </c>
      <c r="Q116" s="3">
        <v>3.9968964000000003E-2</v>
      </c>
      <c r="R116" s="3">
        <v>7.0691365000000006E-2</v>
      </c>
      <c r="S116" s="3">
        <v>3.6887688000000002E-2</v>
      </c>
      <c r="T116" s="3">
        <v>0.12528816100000001</v>
      </c>
      <c r="U116" s="3">
        <v>5.5896451999999999E-2</v>
      </c>
      <c r="V116" s="3">
        <v>0.92698304950892541</v>
      </c>
      <c r="W116" s="3">
        <v>0.20777119029359825</v>
      </c>
      <c r="X116" s="3">
        <v>0</v>
      </c>
      <c r="AB116">
        <v>0</v>
      </c>
      <c r="AC116">
        <v>0</v>
      </c>
      <c r="AD116">
        <v>0</v>
      </c>
    </row>
    <row r="117" spans="1:30" x14ac:dyDescent="0.3">
      <c r="A117" s="1">
        <v>45470</v>
      </c>
      <c r="B117" s="3">
        <v>9.8519222000000004E-2</v>
      </c>
      <c r="C117" s="3">
        <v>3.0041399999999999E-2</v>
      </c>
      <c r="D117" s="3">
        <v>0.159092279</v>
      </c>
      <c r="E117" s="3">
        <v>6.6111408999999996E-2</v>
      </c>
      <c r="F117" s="3">
        <v>2.6143954E-2</v>
      </c>
      <c r="G117" s="3">
        <v>3.7594964000000002E-2</v>
      </c>
      <c r="H117" s="3">
        <v>4.7066806000000003E-2</v>
      </c>
      <c r="I117" s="3">
        <v>4.0082913999999997E-2</v>
      </c>
      <c r="J117" s="3">
        <v>4.7815495999999999E-2</v>
      </c>
      <c r="K117" s="3">
        <v>3.8665863000000002E-2</v>
      </c>
      <c r="L117" s="3">
        <v>9.1813906000000001E-2</v>
      </c>
      <c r="M117" s="3">
        <v>5.0562179999999998E-2</v>
      </c>
      <c r="N117" s="3">
        <v>9.2921664000000001E-2</v>
      </c>
      <c r="O117" s="3">
        <v>3.3641520000000001E-2</v>
      </c>
      <c r="P117" s="3">
        <v>7.7089251999999997E-2</v>
      </c>
      <c r="Q117" s="3">
        <v>4.3517805E-2</v>
      </c>
      <c r="R117" s="3">
        <v>8.3091619000000005E-2</v>
      </c>
      <c r="S117" s="3">
        <v>2.4421083999999999E-2</v>
      </c>
      <c r="T117" s="3">
        <v>9.3856278000000001E-2</v>
      </c>
      <c r="U117" s="3">
        <v>3.9968964000000003E-2</v>
      </c>
      <c r="V117" s="3">
        <v>0.89252011189078828</v>
      </c>
      <c r="W117" s="3">
        <v>0.20780145716575085</v>
      </c>
      <c r="X117" s="3">
        <v>1.3366766854918971E-2</v>
      </c>
      <c r="AB117">
        <v>1</v>
      </c>
      <c r="AC117">
        <v>0</v>
      </c>
      <c r="AD117">
        <v>1</v>
      </c>
    </row>
    <row r="118" spans="1:30" x14ac:dyDescent="0.3">
      <c r="A118" s="1">
        <v>45471</v>
      </c>
      <c r="B118" s="3">
        <v>8.5597187000000005E-2</v>
      </c>
      <c r="C118" s="3">
        <v>2.3322091E-2</v>
      </c>
      <c r="D118" s="3">
        <v>0.126385096</v>
      </c>
      <c r="E118" s="3">
        <v>4.5287342000000001E-2</v>
      </c>
      <c r="F118" s="3">
        <v>9.8519222000000004E-2</v>
      </c>
      <c r="G118" s="3">
        <v>3.0041399999999999E-2</v>
      </c>
      <c r="H118" s="3">
        <v>0.159092279</v>
      </c>
      <c r="I118" s="3">
        <v>6.6111408999999996E-2</v>
      </c>
      <c r="J118" s="3">
        <v>2.6143954E-2</v>
      </c>
      <c r="K118" s="3">
        <v>3.7594964000000002E-2</v>
      </c>
      <c r="L118" s="3">
        <v>4.7066806000000003E-2</v>
      </c>
      <c r="M118" s="3">
        <v>4.0082913999999997E-2</v>
      </c>
      <c r="N118" s="3">
        <v>4.7815495999999999E-2</v>
      </c>
      <c r="O118" s="3">
        <v>3.8665863000000002E-2</v>
      </c>
      <c r="P118" s="3">
        <v>9.1813906000000001E-2</v>
      </c>
      <c r="Q118" s="3">
        <v>5.0562179999999998E-2</v>
      </c>
      <c r="R118" s="3">
        <v>9.2921664000000001E-2</v>
      </c>
      <c r="S118" s="3">
        <v>3.3641520000000001E-2</v>
      </c>
      <c r="T118" s="3">
        <v>7.7089251999999997E-2</v>
      </c>
      <c r="U118" s="3">
        <v>4.3517805E-2</v>
      </c>
      <c r="V118" s="3">
        <v>0.92698304950892541</v>
      </c>
      <c r="W118" s="3">
        <v>0.20774657643729386</v>
      </c>
      <c r="X118" s="3">
        <v>0</v>
      </c>
      <c r="AB118">
        <v>1</v>
      </c>
      <c r="AC118">
        <v>0</v>
      </c>
      <c r="AD118">
        <v>1</v>
      </c>
    </row>
    <row r="119" spans="1:30" x14ac:dyDescent="0.3">
      <c r="A119" s="1">
        <v>45474</v>
      </c>
      <c r="B119" s="3">
        <v>8.6950705000000003E-2</v>
      </c>
      <c r="C119" s="3">
        <v>3.9075672999999998E-2</v>
      </c>
      <c r="D119" s="3">
        <v>9.6980701000000002E-2</v>
      </c>
      <c r="E119" s="3">
        <v>4.8933465000000002E-2</v>
      </c>
      <c r="F119" s="3">
        <v>8.5597187000000005E-2</v>
      </c>
      <c r="G119" s="3">
        <v>2.3322091E-2</v>
      </c>
      <c r="H119" s="3">
        <v>0.126385096</v>
      </c>
      <c r="I119" s="3">
        <v>4.5287342000000001E-2</v>
      </c>
      <c r="J119" s="3">
        <v>9.8519222000000004E-2</v>
      </c>
      <c r="K119" s="3">
        <v>3.0041399999999999E-2</v>
      </c>
      <c r="L119" s="3">
        <v>0.159092279</v>
      </c>
      <c r="M119" s="3">
        <v>6.6111408999999996E-2</v>
      </c>
      <c r="N119" s="3">
        <v>2.6143954E-2</v>
      </c>
      <c r="O119" s="3">
        <v>3.7594964000000002E-2</v>
      </c>
      <c r="P119" s="3">
        <v>4.7066806000000003E-2</v>
      </c>
      <c r="Q119" s="3">
        <v>4.0082913999999997E-2</v>
      </c>
      <c r="R119" s="3">
        <v>4.7815495999999999E-2</v>
      </c>
      <c r="S119" s="3">
        <v>3.8665863000000002E-2</v>
      </c>
      <c r="T119" s="3">
        <v>9.1813906000000001E-2</v>
      </c>
      <c r="U119" s="3">
        <v>5.0562179999999998E-2</v>
      </c>
      <c r="V119" s="3">
        <v>0.89252011189078828</v>
      </c>
      <c r="W119" s="3">
        <v>0.20625495072591699</v>
      </c>
      <c r="X119" s="3">
        <v>2.9091806775042232E-3</v>
      </c>
      <c r="AB119">
        <v>1</v>
      </c>
      <c r="AC119">
        <v>0</v>
      </c>
      <c r="AD119">
        <v>1</v>
      </c>
    </row>
    <row r="120" spans="1:30" x14ac:dyDescent="0.3">
      <c r="A120" s="1">
        <v>45475</v>
      </c>
      <c r="B120" s="3">
        <v>8.0376076000000005E-2</v>
      </c>
      <c r="C120" s="3">
        <v>3.8047420999999998E-2</v>
      </c>
      <c r="D120" s="3">
        <v>8.8546289E-2</v>
      </c>
      <c r="E120" s="3">
        <v>6.5125664999999999E-2</v>
      </c>
      <c r="F120" s="3">
        <v>8.6950705000000003E-2</v>
      </c>
      <c r="G120" s="3">
        <v>3.9075672999999998E-2</v>
      </c>
      <c r="H120" s="3">
        <v>9.6980701000000002E-2</v>
      </c>
      <c r="I120" s="3">
        <v>4.8933465000000002E-2</v>
      </c>
      <c r="J120" s="3">
        <v>8.5597187000000005E-2</v>
      </c>
      <c r="K120" s="3">
        <v>2.3322091E-2</v>
      </c>
      <c r="L120" s="3">
        <v>0.126385096</v>
      </c>
      <c r="M120" s="3">
        <v>4.5287342000000001E-2</v>
      </c>
      <c r="N120" s="3">
        <v>9.8519222000000004E-2</v>
      </c>
      <c r="O120" s="3">
        <v>3.0041399999999999E-2</v>
      </c>
      <c r="P120" s="3">
        <v>0.159092279</v>
      </c>
      <c r="Q120" s="3">
        <v>6.6111408999999996E-2</v>
      </c>
      <c r="R120" s="3">
        <v>2.6143954E-2</v>
      </c>
      <c r="S120" s="3">
        <v>3.7594964000000002E-2</v>
      </c>
      <c r="T120" s="3">
        <v>4.7066806000000003E-2</v>
      </c>
      <c r="U120" s="3">
        <v>4.0082913999999997E-2</v>
      </c>
      <c r="V120" s="3">
        <v>0.89252011189078828</v>
      </c>
      <c r="W120" s="3">
        <v>0.20664924941138132</v>
      </c>
      <c r="X120" s="3">
        <v>2.371751954858042E-2</v>
      </c>
      <c r="AB120">
        <v>1</v>
      </c>
      <c r="AC120">
        <v>0</v>
      </c>
      <c r="AD120">
        <v>1</v>
      </c>
    </row>
    <row r="121" spans="1:30" x14ac:dyDescent="0.3">
      <c r="A121" s="1">
        <v>45476</v>
      </c>
      <c r="B121" s="3">
        <v>2.3225138999999999E-2</v>
      </c>
      <c r="C121" s="3">
        <v>3.8930855E-2</v>
      </c>
      <c r="D121" s="3">
        <v>6.7805791000000004E-2</v>
      </c>
      <c r="E121" s="3">
        <v>5.0697103E-2</v>
      </c>
      <c r="F121" s="3">
        <v>8.0376076000000005E-2</v>
      </c>
      <c r="G121" s="3">
        <v>3.8047420999999998E-2</v>
      </c>
      <c r="H121" s="3">
        <v>8.8546289E-2</v>
      </c>
      <c r="I121" s="3">
        <v>6.5125664999999999E-2</v>
      </c>
      <c r="J121" s="3">
        <v>8.6950705000000003E-2</v>
      </c>
      <c r="K121" s="3">
        <v>3.9075672999999998E-2</v>
      </c>
      <c r="L121" s="3">
        <v>9.6980701000000002E-2</v>
      </c>
      <c r="M121" s="3">
        <v>4.8933465000000002E-2</v>
      </c>
      <c r="N121" s="3">
        <v>8.5597187000000005E-2</v>
      </c>
      <c r="O121" s="3">
        <v>2.3322091E-2</v>
      </c>
      <c r="P121" s="3">
        <v>0.126385096</v>
      </c>
      <c r="Q121" s="3">
        <v>4.5287342000000001E-2</v>
      </c>
      <c r="R121" s="3">
        <v>9.8519222000000004E-2</v>
      </c>
      <c r="S121" s="3">
        <v>3.0041399999999999E-2</v>
      </c>
      <c r="T121" s="3">
        <v>0.159092279</v>
      </c>
      <c r="U121" s="3">
        <v>6.6111408999999996E-2</v>
      </c>
      <c r="V121" s="3">
        <v>0.92698304950892541</v>
      </c>
      <c r="W121" s="3">
        <v>0.2083945757974231</v>
      </c>
      <c r="X121" s="3">
        <v>0</v>
      </c>
      <c r="AB121">
        <v>1</v>
      </c>
      <c r="AC121">
        <v>0</v>
      </c>
      <c r="AD121">
        <v>1</v>
      </c>
    </row>
    <row r="122" spans="1:30" x14ac:dyDescent="0.3">
      <c r="A122" s="1">
        <v>45477</v>
      </c>
      <c r="B122" s="3">
        <v>0.105192168</v>
      </c>
      <c r="C122" s="3">
        <v>4.1584287999999997E-2</v>
      </c>
      <c r="D122" s="3">
        <v>0.16080770899999999</v>
      </c>
      <c r="E122" s="3">
        <v>7.0436355000000006E-2</v>
      </c>
      <c r="F122" s="3">
        <v>2.3225138999999999E-2</v>
      </c>
      <c r="G122" s="3">
        <v>3.8930855E-2</v>
      </c>
      <c r="H122" s="3">
        <v>6.7805791000000004E-2</v>
      </c>
      <c r="I122" s="3">
        <v>5.0697103E-2</v>
      </c>
      <c r="J122" s="3">
        <v>8.0376076000000005E-2</v>
      </c>
      <c r="K122" s="3">
        <v>3.8047420999999998E-2</v>
      </c>
      <c r="L122" s="3">
        <v>8.8546289E-2</v>
      </c>
      <c r="M122" s="3">
        <v>6.5125664999999999E-2</v>
      </c>
      <c r="N122" s="3">
        <v>8.6950705000000003E-2</v>
      </c>
      <c r="O122" s="3">
        <v>3.9075672999999998E-2</v>
      </c>
      <c r="P122" s="3">
        <v>9.6980701000000002E-2</v>
      </c>
      <c r="Q122" s="3">
        <v>4.8933465000000002E-2</v>
      </c>
      <c r="R122" s="3">
        <v>8.5597187000000005E-2</v>
      </c>
      <c r="S122" s="3">
        <v>2.3322091E-2</v>
      </c>
      <c r="T122" s="3">
        <v>0.126385096</v>
      </c>
      <c r="U122" s="3">
        <v>4.5287342000000001E-2</v>
      </c>
      <c r="V122" s="3">
        <v>0.92698304950892541</v>
      </c>
      <c r="W122" s="3">
        <v>0.20691627392125028</v>
      </c>
      <c r="X122" s="3">
        <v>0</v>
      </c>
      <c r="Y122" s="3">
        <v>0.45416240661896373</v>
      </c>
      <c r="Z122" s="3">
        <v>0.17654822607154802</v>
      </c>
      <c r="AA122" s="3">
        <v>0</v>
      </c>
      <c r="AB122">
        <v>1</v>
      </c>
      <c r="AC122">
        <v>0</v>
      </c>
      <c r="AD122">
        <v>1</v>
      </c>
    </row>
    <row r="123" spans="1:30" x14ac:dyDescent="0.3">
      <c r="A123" s="1">
        <v>45478</v>
      </c>
      <c r="B123" s="3">
        <v>0.115430199</v>
      </c>
      <c r="C123" s="3">
        <v>3.3112299999999997E-2</v>
      </c>
      <c r="D123" s="3">
        <v>0.12604605399999999</v>
      </c>
      <c r="E123" s="3">
        <v>4.4768557E-2</v>
      </c>
      <c r="F123" s="3">
        <v>0.105192168</v>
      </c>
      <c r="G123" s="3">
        <v>4.1584287999999997E-2</v>
      </c>
      <c r="H123" s="3">
        <v>0.16080770899999999</v>
      </c>
      <c r="I123" s="3">
        <v>7.0436355000000006E-2</v>
      </c>
      <c r="J123" s="3">
        <v>2.3225138999999999E-2</v>
      </c>
      <c r="K123" s="3">
        <v>3.8930855E-2</v>
      </c>
      <c r="L123" s="3">
        <v>6.7805791000000004E-2</v>
      </c>
      <c r="M123" s="3">
        <v>5.0697103E-2</v>
      </c>
      <c r="N123" s="3">
        <v>8.0376076000000005E-2</v>
      </c>
      <c r="O123" s="3">
        <v>3.8047420999999998E-2</v>
      </c>
      <c r="P123" s="3">
        <v>8.8546289E-2</v>
      </c>
      <c r="Q123" s="3">
        <v>6.5125664999999999E-2</v>
      </c>
      <c r="R123" s="3">
        <v>8.6950705000000003E-2</v>
      </c>
      <c r="S123" s="3">
        <v>3.9075672999999998E-2</v>
      </c>
      <c r="T123" s="3">
        <v>9.6980701000000002E-2</v>
      </c>
      <c r="U123" s="3">
        <v>4.8933465000000002E-2</v>
      </c>
      <c r="V123" s="3">
        <v>0.92698304950892541</v>
      </c>
      <c r="W123" s="3">
        <v>0.20673307536649899</v>
      </c>
      <c r="X123" s="3">
        <v>1.3423091043242613E-3</v>
      </c>
      <c r="Y123" s="3">
        <v>0.52896036525002266</v>
      </c>
      <c r="Z123" s="3">
        <v>0.17352623883370863</v>
      </c>
      <c r="AA123" s="3">
        <v>1.0065134140216311E-3</v>
      </c>
      <c r="AB123">
        <v>1</v>
      </c>
      <c r="AC123">
        <v>0</v>
      </c>
      <c r="AD123">
        <v>1</v>
      </c>
    </row>
    <row r="124" spans="1:30" x14ac:dyDescent="0.3">
      <c r="A124" s="1">
        <v>45481</v>
      </c>
      <c r="B124" s="3">
        <v>7.9827845999999994E-2</v>
      </c>
      <c r="C124" s="3">
        <v>7.0218926000000001E-2</v>
      </c>
      <c r="D124" s="3">
        <v>0.14168579100000001</v>
      </c>
      <c r="E124" s="3">
        <v>5.3719446999999997E-2</v>
      </c>
      <c r="F124" s="3">
        <v>0.115430199</v>
      </c>
      <c r="G124" s="3">
        <v>3.3112299999999997E-2</v>
      </c>
      <c r="H124" s="3">
        <v>0.12604605399999999</v>
      </c>
      <c r="I124" s="3">
        <v>4.4768557E-2</v>
      </c>
      <c r="J124" s="3">
        <v>0.105192168</v>
      </c>
      <c r="K124" s="3">
        <v>4.1584287999999997E-2</v>
      </c>
      <c r="L124" s="3">
        <v>0.16080770899999999</v>
      </c>
      <c r="M124" s="3">
        <v>7.0436355000000006E-2</v>
      </c>
      <c r="N124" s="3">
        <v>2.3225138999999999E-2</v>
      </c>
      <c r="O124" s="3">
        <v>3.8930855E-2</v>
      </c>
      <c r="P124" s="3">
        <v>6.7805791000000004E-2</v>
      </c>
      <c r="Q124" s="3">
        <v>5.0697103E-2</v>
      </c>
      <c r="R124" s="3">
        <v>8.0376076000000005E-2</v>
      </c>
      <c r="S124" s="3">
        <v>3.8047420999999998E-2</v>
      </c>
      <c r="T124" s="3">
        <v>8.8546289E-2</v>
      </c>
      <c r="U124" s="3">
        <v>6.5125664999999999E-2</v>
      </c>
      <c r="V124" s="3">
        <v>0.96766741780328436</v>
      </c>
      <c r="W124" s="3">
        <v>0.20713252313110495</v>
      </c>
      <c r="X124" s="3">
        <v>0</v>
      </c>
      <c r="Y124" s="3">
        <v>0.61701505381163568</v>
      </c>
      <c r="Z124" s="3">
        <v>0.17376003783852961</v>
      </c>
      <c r="AA124" s="3">
        <v>0</v>
      </c>
      <c r="AB124">
        <v>0</v>
      </c>
      <c r="AC124">
        <v>0</v>
      </c>
      <c r="AD124">
        <v>0</v>
      </c>
    </row>
    <row r="125" spans="1:30" x14ac:dyDescent="0.3">
      <c r="A125" s="1">
        <v>45482</v>
      </c>
      <c r="B125" s="3">
        <v>9.6675879000000006E-2</v>
      </c>
      <c r="C125" s="3">
        <v>6.3122709999999999E-2</v>
      </c>
      <c r="D125" s="3">
        <v>0.12811720500000001</v>
      </c>
      <c r="E125" s="3">
        <v>0.113797732</v>
      </c>
      <c r="F125" s="3">
        <v>7.9827845999999994E-2</v>
      </c>
      <c r="G125" s="3">
        <v>7.0218926000000001E-2</v>
      </c>
      <c r="H125" s="3">
        <v>0.14168579100000001</v>
      </c>
      <c r="I125" s="3">
        <v>5.3719446999999997E-2</v>
      </c>
      <c r="J125" s="3">
        <v>0.115430199</v>
      </c>
      <c r="K125" s="3">
        <v>3.3112299999999997E-2</v>
      </c>
      <c r="L125" s="3">
        <v>0.12604605399999999</v>
      </c>
      <c r="M125" s="3">
        <v>4.4768557E-2</v>
      </c>
      <c r="N125" s="3">
        <v>0.105192168</v>
      </c>
      <c r="O125" s="3">
        <v>4.1584287999999997E-2</v>
      </c>
      <c r="P125" s="3">
        <v>0.16080770899999999</v>
      </c>
      <c r="Q125" s="3">
        <v>7.0436355000000006E-2</v>
      </c>
      <c r="R125" s="3">
        <v>2.3225138999999999E-2</v>
      </c>
      <c r="S125" s="3">
        <v>3.8930855E-2</v>
      </c>
      <c r="T125" s="3">
        <v>6.7805791000000004E-2</v>
      </c>
      <c r="U125" s="3">
        <v>5.0697103E-2</v>
      </c>
      <c r="V125" s="3">
        <v>0.96766741780328436</v>
      </c>
      <c r="W125" s="3">
        <v>0.2070252695211123</v>
      </c>
      <c r="X125" s="3">
        <v>3.0598232805232415E-3</v>
      </c>
      <c r="Y125" s="3">
        <v>0.61701505381163568</v>
      </c>
      <c r="Z125" s="3">
        <v>0.17364195147923747</v>
      </c>
      <c r="AA125" s="3">
        <v>2.0893906034525392E-3</v>
      </c>
      <c r="AB125">
        <v>0</v>
      </c>
      <c r="AC125">
        <v>0</v>
      </c>
      <c r="AD125">
        <v>0</v>
      </c>
    </row>
    <row r="126" spans="1:30" x14ac:dyDescent="0.3">
      <c r="A126" s="1">
        <v>45483</v>
      </c>
      <c r="B126" s="3">
        <v>3.0483171999999999E-2</v>
      </c>
      <c r="C126" s="3">
        <v>5.8266842999999999E-2</v>
      </c>
      <c r="D126" s="3">
        <v>0.10265666900000001</v>
      </c>
      <c r="E126" s="3">
        <v>8.4842235000000002E-2</v>
      </c>
      <c r="F126" s="3">
        <v>9.6675879000000006E-2</v>
      </c>
      <c r="G126" s="3">
        <v>6.3122709999999999E-2</v>
      </c>
      <c r="H126" s="3">
        <v>0.12811720500000001</v>
      </c>
      <c r="I126" s="3">
        <v>0.113797732</v>
      </c>
      <c r="J126" s="3">
        <v>7.9827845999999994E-2</v>
      </c>
      <c r="K126" s="3">
        <v>7.0218926000000001E-2</v>
      </c>
      <c r="L126" s="3">
        <v>0.14168579100000001</v>
      </c>
      <c r="M126" s="3">
        <v>5.3719446999999997E-2</v>
      </c>
      <c r="N126" s="3">
        <v>0.115430199</v>
      </c>
      <c r="O126" s="3">
        <v>3.3112299999999997E-2</v>
      </c>
      <c r="P126" s="3">
        <v>0.12604605399999999</v>
      </c>
      <c r="Q126" s="3">
        <v>4.4768557E-2</v>
      </c>
      <c r="R126" s="3">
        <v>0.105192168</v>
      </c>
      <c r="S126" s="3">
        <v>4.1584287999999997E-2</v>
      </c>
      <c r="T126" s="3">
        <v>0.16080770899999999</v>
      </c>
      <c r="U126" s="3">
        <v>7.0436355000000006E-2</v>
      </c>
      <c r="V126" s="3">
        <v>1.0722052232362278</v>
      </c>
      <c r="W126" s="3">
        <v>0.20550603890797869</v>
      </c>
      <c r="X126" s="3">
        <v>0</v>
      </c>
      <c r="Y126" s="3">
        <v>0.76677487762724683</v>
      </c>
      <c r="Z126" s="3">
        <v>0.17368910882265753</v>
      </c>
      <c r="AA126" s="3">
        <v>0</v>
      </c>
      <c r="AB126">
        <v>0</v>
      </c>
      <c r="AC126">
        <v>0</v>
      </c>
      <c r="AD126">
        <v>0</v>
      </c>
    </row>
    <row r="127" spans="1:30" x14ac:dyDescent="0.3">
      <c r="A127" s="1">
        <v>45484</v>
      </c>
      <c r="B127" s="3">
        <v>0.16842484699999999</v>
      </c>
      <c r="C127" s="3">
        <v>7.9208102000000002E-2</v>
      </c>
      <c r="D127" s="3">
        <v>0.310754172</v>
      </c>
      <c r="E127" s="3">
        <v>0.193076846</v>
      </c>
      <c r="F127" s="3">
        <v>3.0483171999999999E-2</v>
      </c>
      <c r="G127" s="3">
        <v>5.8266842999999999E-2</v>
      </c>
      <c r="H127" s="3">
        <v>0.10265666900000001</v>
      </c>
      <c r="I127" s="3">
        <v>8.4842235000000002E-2</v>
      </c>
      <c r="J127" s="3">
        <v>9.6675879000000006E-2</v>
      </c>
      <c r="K127" s="3">
        <v>6.3122709999999999E-2</v>
      </c>
      <c r="L127" s="3">
        <v>0.12811720500000001</v>
      </c>
      <c r="M127" s="3">
        <v>0.113797732</v>
      </c>
      <c r="N127" s="3">
        <v>7.9827845999999994E-2</v>
      </c>
      <c r="O127" s="3">
        <v>7.0218926000000001E-2</v>
      </c>
      <c r="P127" s="3">
        <v>0.14168579100000001</v>
      </c>
      <c r="Q127" s="3">
        <v>5.3719446999999997E-2</v>
      </c>
      <c r="R127" s="3">
        <v>0.115430199</v>
      </c>
      <c r="S127" s="3">
        <v>3.3112299999999997E-2</v>
      </c>
      <c r="T127" s="3">
        <v>0.12604605399999999</v>
      </c>
      <c r="U127" s="3">
        <v>4.4768557E-2</v>
      </c>
      <c r="V127" s="3">
        <v>1.2436425936166</v>
      </c>
      <c r="W127" s="3">
        <v>0.19434925032132885</v>
      </c>
      <c r="X127" s="3">
        <v>0</v>
      </c>
      <c r="Y127" s="3">
        <v>0.83442272498241676</v>
      </c>
      <c r="Z127" s="3">
        <v>0.1751534250209634</v>
      </c>
      <c r="AA127" s="3">
        <v>0</v>
      </c>
      <c r="AB127">
        <v>0</v>
      </c>
      <c r="AC127">
        <v>1</v>
      </c>
      <c r="AD127">
        <v>1</v>
      </c>
    </row>
    <row r="128" spans="1:30" x14ac:dyDescent="0.3">
      <c r="A128" s="1">
        <v>45485</v>
      </c>
      <c r="B128" s="3">
        <v>0.246567341</v>
      </c>
      <c r="C128" s="3">
        <v>7.7472716999999997E-2</v>
      </c>
      <c r="D128" s="3">
        <v>0.225148133</v>
      </c>
      <c r="E128" s="3">
        <v>0.11211681799999999</v>
      </c>
      <c r="F128" s="3">
        <v>0.16842484699999999</v>
      </c>
      <c r="G128" s="3">
        <v>7.9208102000000002E-2</v>
      </c>
      <c r="H128" s="3">
        <v>0.310754172</v>
      </c>
      <c r="I128" s="3">
        <v>0.193076846</v>
      </c>
      <c r="J128" s="3">
        <v>3.0483171999999999E-2</v>
      </c>
      <c r="K128" s="3">
        <v>5.8266842999999999E-2</v>
      </c>
      <c r="L128" s="3">
        <v>0.10265666900000001</v>
      </c>
      <c r="M128" s="3">
        <v>8.4842235000000002E-2</v>
      </c>
      <c r="N128" s="3">
        <v>9.6675879000000006E-2</v>
      </c>
      <c r="O128" s="3">
        <v>6.3122709999999999E-2</v>
      </c>
      <c r="P128" s="3">
        <v>0.12811720500000001</v>
      </c>
      <c r="Q128" s="3">
        <v>0.113797732</v>
      </c>
      <c r="R128" s="3">
        <v>7.9827845999999994E-2</v>
      </c>
      <c r="S128" s="3">
        <v>7.0218926000000001E-2</v>
      </c>
      <c r="T128" s="3">
        <v>0.14168579100000001</v>
      </c>
      <c r="U128" s="3">
        <v>5.3719446999999997E-2</v>
      </c>
      <c r="V128" s="3">
        <v>1.0722052232362278</v>
      </c>
      <c r="W128" s="3">
        <v>0.19966663446125793</v>
      </c>
      <c r="X128" s="3">
        <v>5.4473880552650109E-2</v>
      </c>
      <c r="Y128" s="3">
        <v>0.83442272498241676</v>
      </c>
      <c r="Z128" s="3">
        <v>0.17893960922846897</v>
      </c>
      <c r="AA128" s="3">
        <v>3.7925812645352802E-2</v>
      </c>
      <c r="AB128">
        <v>0</v>
      </c>
      <c r="AC128">
        <v>1</v>
      </c>
      <c r="AD128">
        <v>1</v>
      </c>
    </row>
    <row r="129" spans="1:30" x14ac:dyDescent="0.3">
      <c r="A129" s="1">
        <v>45488</v>
      </c>
      <c r="B129" s="3">
        <v>0.33027124000000002</v>
      </c>
      <c r="C129" s="3">
        <v>0.133384277</v>
      </c>
      <c r="D129" s="3">
        <v>0.29298113599999998</v>
      </c>
      <c r="E129" s="3">
        <v>0.13159816999999999</v>
      </c>
      <c r="F129" s="3">
        <v>0.246567341</v>
      </c>
      <c r="G129" s="3">
        <v>7.7472716999999997E-2</v>
      </c>
      <c r="H129" s="3">
        <v>0.225148133</v>
      </c>
      <c r="I129" s="3">
        <v>0.11211681799999999</v>
      </c>
      <c r="J129" s="3">
        <v>0.16842484699999999</v>
      </c>
      <c r="K129" s="3">
        <v>7.9208102000000002E-2</v>
      </c>
      <c r="L129" s="3">
        <v>0.310754172</v>
      </c>
      <c r="M129" s="3">
        <v>0.193076846</v>
      </c>
      <c r="N129" s="3">
        <v>3.0483171999999999E-2</v>
      </c>
      <c r="O129" s="3">
        <v>5.8266842999999999E-2</v>
      </c>
      <c r="P129" s="3">
        <v>0.10265666900000001</v>
      </c>
      <c r="Q129" s="3">
        <v>8.4842235000000002E-2</v>
      </c>
      <c r="R129" s="3">
        <v>9.6675879000000006E-2</v>
      </c>
      <c r="S129" s="3">
        <v>6.3122709999999999E-2</v>
      </c>
      <c r="T129" s="3">
        <v>0.12811720500000001</v>
      </c>
      <c r="U129" s="3">
        <v>0.113797732</v>
      </c>
      <c r="V129" s="3">
        <v>0.96766741780328436</v>
      </c>
      <c r="W129" s="3">
        <v>0.19978676872187059</v>
      </c>
      <c r="X129" s="3">
        <v>8.1845894265979383E-3</v>
      </c>
      <c r="Y129" s="3">
        <v>0.76677487762724683</v>
      </c>
      <c r="Z129" s="3">
        <v>0.17896890444266114</v>
      </c>
      <c r="AA129" s="3">
        <v>5.2674563880054943E-3</v>
      </c>
      <c r="AB129">
        <v>0</v>
      </c>
      <c r="AC129">
        <v>1</v>
      </c>
      <c r="AD129">
        <v>1</v>
      </c>
    </row>
    <row r="130" spans="1:30" x14ac:dyDescent="0.3">
      <c r="A130" s="1">
        <v>45489</v>
      </c>
      <c r="B130" s="3">
        <v>0.28024129199999998</v>
      </c>
      <c r="C130" s="3">
        <v>0.14604470999999999</v>
      </c>
      <c r="D130" s="3">
        <v>0.31785735700000001</v>
      </c>
      <c r="E130" s="3">
        <v>0.152554408</v>
      </c>
      <c r="F130" s="3">
        <v>0.33027124000000002</v>
      </c>
      <c r="G130" s="3">
        <v>0.133384277</v>
      </c>
      <c r="H130" s="3">
        <v>0.29298113599999998</v>
      </c>
      <c r="I130" s="3">
        <v>0.13159816999999999</v>
      </c>
      <c r="J130" s="3">
        <v>0.246567341</v>
      </c>
      <c r="K130" s="3">
        <v>7.7472716999999997E-2</v>
      </c>
      <c r="L130" s="3">
        <v>0.225148133</v>
      </c>
      <c r="M130" s="3">
        <v>0.11211681799999999</v>
      </c>
      <c r="N130" s="3">
        <v>0.16842484699999999</v>
      </c>
      <c r="O130" s="3">
        <v>7.9208102000000002E-2</v>
      </c>
      <c r="P130" s="3">
        <v>0.310754172</v>
      </c>
      <c r="Q130" s="3">
        <v>0.193076846</v>
      </c>
      <c r="R130" s="3">
        <v>3.0483171999999999E-2</v>
      </c>
      <c r="S130" s="3">
        <v>5.8266842999999999E-2</v>
      </c>
      <c r="T130" s="3">
        <v>0.10265666900000001</v>
      </c>
      <c r="U130" s="3">
        <v>8.4842235000000002E-2</v>
      </c>
      <c r="V130" s="3">
        <v>1.0722052232362278</v>
      </c>
      <c r="W130" s="3">
        <v>0.17091170172728698</v>
      </c>
      <c r="X130" s="3">
        <v>0</v>
      </c>
      <c r="Y130" s="3">
        <v>0.83442272498241676</v>
      </c>
      <c r="Z130" s="3">
        <v>0.17889858216234961</v>
      </c>
      <c r="AA130" s="3">
        <v>0</v>
      </c>
      <c r="AB130">
        <v>0</v>
      </c>
      <c r="AC130">
        <v>1</v>
      </c>
      <c r="AD130">
        <v>1</v>
      </c>
    </row>
    <row r="131" spans="1:30" x14ac:dyDescent="0.3">
      <c r="A131" s="1">
        <v>45490</v>
      </c>
      <c r="B131" s="3">
        <v>3.7166560000000001E-2</v>
      </c>
      <c r="C131" s="3">
        <v>3.3885666000000002E-2</v>
      </c>
      <c r="D131" s="3">
        <v>2.7769495000000002E-2</v>
      </c>
      <c r="E131" s="3">
        <v>3.2583621E-2</v>
      </c>
      <c r="F131" s="3">
        <v>0.28024129199999998</v>
      </c>
      <c r="G131" s="3">
        <v>0.14604470999999999</v>
      </c>
      <c r="H131" s="3">
        <v>0.31785735700000001</v>
      </c>
      <c r="I131" s="3">
        <v>0.152554408</v>
      </c>
      <c r="J131" s="3">
        <v>0.33027124000000002</v>
      </c>
      <c r="K131" s="3">
        <v>0.133384277</v>
      </c>
      <c r="L131" s="3">
        <v>0.29298113599999998</v>
      </c>
      <c r="M131" s="3">
        <v>0.13159816999999999</v>
      </c>
      <c r="N131" s="3">
        <v>0.246567341</v>
      </c>
      <c r="O131" s="3">
        <v>7.7472716999999997E-2</v>
      </c>
      <c r="P131" s="3">
        <v>0.225148133</v>
      </c>
      <c r="Q131" s="3">
        <v>0.11211681799999999</v>
      </c>
      <c r="R131" s="3">
        <v>0.16842484699999999</v>
      </c>
      <c r="S131" s="3">
        <v>7.9208102000000002E-2</v>
      </c>
      <c r="T131" s="3">
        <v>0.310754172</v>
      </c>
      <c r="U131" s="3">
        <v>0.193076846</v>
      </c>
      <c r="V131" s="3">
        <v>1.0722052232362278</v>
      </c>
      <c r="W131" s="3">
        <v>0.17300686315303679</v>
      </c>
      <c r="X131" s="3">
        <v>3.0983061549538272E-2</v>
      </c>
      <c r="Y131" s="3">
        <v>0.83442272498241676</v>
      </c>
      <c r="Z131" s="3">
        <v>0.1800491636667492</v>
      </c>
      <c r="AA131" s="3">
        <v>2.0235985365812427E-2</v>
      </c>
      <c r="AB131">
        <v>0</v>
      </c>
      <c r="AC131">
        <v>1</v>
      </c>
      <c r="AD131">
        <v>1</v>
      </c>
    </row>
    <row r="132" spans="1:30" x14ac:dyDescent="0.3">
      <c r="A132" s="1">
        <v>45491</v>
      </c>
      <c r="B132" s="3">
        <v>0.12167866099999999</v>
      </c>
      <c r="C132" s="3">
        <v>4.8289339000000001E-2</v>
      </c>
      <c r="D132" s="3">
        <v>0.115123921</v>
      </c>
      <c r="E132" s="3">
        <v>3.0060824E-2</v>
      </c>
      <c r="F132" s="3">
        <v>3.7166560000000001E-2</v>
      </c>
      <c r="G132" s="3">
        <v>3.3885666000000002E-2</v>
      </c>
      <c r="H132" s="3">
        <v>2.7769495000000002E-2</v>
      </c>
      <c r="I132" s="3">
        <v>3.2583621E-2</v>
      </c>
      <c r="J132" s="3">
        <v>0.28024129199999998</v>
      </c>
      <c r="K132" s="3">
        <v>0.14604470999999999</v>
      </c>
      <c r="L132" s="3">
        <v>0.31785735700000001</v>
      </c>
      <c r="M132" s="3">
        <v>0.152554408</v>
      </c>
      <c r="N132" s="3">
        <v>0.33027124000000002</v>
      </c>
      <c r="O132" s="3">
        <v>0.133384277</v>
      </c>
      <c r="P132" s="3">
        <v>0.29298113599999998</v>
      </c>
      <c r="Q132" s="3">
        <v>0.13159816999999999</v>
      </c>
      <c r="R132" s="3">
        <v>0.246567341</v>
      </c>
      <c r="S132" s="3">
        <v>7.7472716999999997E-2</v>
      </c>
      <c r="T132" s="3">
        <v>0.225148133</v>
      </c>
      <c r="U132" s="3">
        <v>0.11211681799999999</v>
      </c>
      <c r="V132" s="3">
        <v>0.96766741780328436</v>
      </c>
      <c r="W132" s="3">
        <v>0.17826494469298315</v>
      </c>
      <c r="X132" s="3">
        <v>4.5289442732038401E-2</v>
      </c>
      <c r="Y132" s="3">
        <v>0.83442272498241676</v>
      </c>
      <c r="Z132" s="3">
        <v>0.18118923438162671</v>
      </c>
      <c r="AA132" s="3">
        <v>3.1027792042153154E-2</v>
      </c>
      <c r="AB132">
        <v>0</v>
      </c>
      <c r="AC132">
        <v>1</v>
      </c>
      <c r="AD132">
        <v>1</v>
      </c>
    </row>
    <row r="133" spans="1:30" x14ac:dyDescent="0.3">
      <c r="A133" s="1">
        <v>45492</v>
      </c>
      <c r="B133" s="3">
        <v>0.125289558</v>
      </c>
      <c r="C133" s="3">
        <v>4.4360204E-2</v>
      </c>
      <c r="D133" s="3">
        <v>8.4156304000000001E-2</v>
      </c>
      <c r="E133" s="3">
        <v>5.0089938000000001E-2</v>
      </c>
      <c r="F133" s="3">
        <v>0.12167866099999999</v>
      </c>
      <c r="G133" s="3">
        <v>4.8289339000000001E-2</v>
      </c>
      <c r="H133" s="3">
        <v>0.115123921</v>
      </c>
      <c r="I133" s="3">
        <v>3.0060824E-2</v>
      </c>
      <c r="J133" s="3">
        <v>3.7166560000000001E-2</v>
      </c>
      <c r="K133" s="3">
        <v>3.3885666000000002E-2</v>
      </c>
      <c r="L133" s="3">
        <v>2.7769495000000002E-2</v>
      </c>
      <c r="M133" s="3">
        <v>3.2583621E-2</v>
      </c>
      <c r="N133" s="3">
        <v>0.28024129199999998</v>
      </c>
      <c r="O133" s="3">
        <v>0.14604470999999999</v>
      </c>
      <c r="P133" s="3">
        <v>0.31785735700000001</v>
      </c>
      <c r="Q133" s="3">
        <v>0.152554408</v>
      </c>
      <c r="R133" s="3">
        <v>0.33027124000000002</v>
      </c>
      <c r="S133" s="3">
        <v>0.133384277</v>
      </c>
      <c r="T133" s="3">
        <v>0.29298113599999998</v>
      </c>
      <c r="U133" s="3">
        <v>0.13159816999999999</v>
      </c>
      <c r="V133" s="3">
        <v>0.92698304950892541</v>
      </c>
      <c r="W133" s="3">
        <v>0.17867523854245199</v>
      </c>
      <c r="X133" s="3">
        <v>6.0835130227180803E-2</v>
      </c>
      <c r="Y133" s="3">
        <v>0.83442272498241676</v>
      </c>
      <c r="Z133" s="3">
        <v>0.18501486672484155</v>
      </c>
      <c r="AA133" s="3">
        <v>4.3287781102461398E-2</v>
      </c>
      <c r="AB133">
        <v>0</v>
      </c>
      <c r="AC133">
        <v>1</v>
      </c>
      <c r="AD133">
        <v>1</v>
      </c>
    </row>
    <row r="134" spans="1:30" x14ac:dyDescent="0.3">
      <c r="A134" s="1">
        <v>45495</v>
      </c>
      <c r="B134" s="3">
        <v>0.12064143400000001</v>
      </c>
      <c r="C134" s="3">
        <v>4.0482642999999999E-2</v>
      </c>
      <c r="D134" s="3">
        <v>6.4608919000000001E-2</v>
      </c>
      <c r="E134" s="3">
        <v>6.7240616000000003E-2</v>
      </c>
      <c r="F134" s="3">
        <v>0.125289558</v>
      </c>
      <c r="G134" s="3">
        <v>4.4360204E-2</v>
      </c>
      <c r="H134" s="3">
        <v>8.4156304000000001E-2</v>
      </c>
      <c r="I134" s="3">
        <v>5.0089938000000001E-2</v>
      </c>
      <c r="J134" s="3">
        <v>0.12167866099999999</v>
      </c>
      <c r="K134" s="3">
        <v>4.8289339000000001E-2</v>
      </c>
      <c r="L134" s="3">
        <v>0.115123921</v>
      </c>
      <c r="M134" s="3">
        <v>3.0060824E-2</v>
      </c>
      <c r="N134" s="3">
        <v>3.7166560000000001E-2</v>
      </c>
      <c r="O134" s="3">
        <v>3.3885666000000002E-2</v>
      </c>
      <c r="P134" s="3">
        <v>2.7769495000000002E-2</v>
      </c>
      <c r="Q134" s="3">
        <v>3.2583621E-2</v>
      </c>
      <c r="R134" s="3">
        <v>0.28024129199999998</v>
      </c>
      <c r="S134" s="3">
        <v>0.14604470999999999</v>
      </c>
      <c r="T134" s="3">
        <v>0.31785735700000001</v>
      </c>
      <c r="U134" s="3">
        <v>0.152554408</v>
      </c>
      <c r="V134" s="3">
        <v>0.92698304950892541</v>
      </c>
      <c r="W134" s="3">
        <v>0.17978234588103922</v>
      </c>
      <c r="X134" s="3">
        <v>4.2974178169846548E-2</v>
      </c>
      <c r="Y134" s="3">
        <v>0.76677487762724683</v>
      </c>
      <c r="Z134" s="3">
        <v>0.18751290258620146</v>
      </c>
      <c r="AA134" s="3">
        <v>3.0431305046932196E-2</v>
      </c>
      <c r="AB134">
        <v>0</v>
      </c>
      <c r="AC134">
        <v>0</v>
      </c>
      <c r="AD134">
        <v>0</v>
      </c>
    </row>
    <row r="135" spans="1:30" x14ac:dyDescent="0.3">
      <c r="A135" s="1">
        <v>45496</v>
      </c>
      <c r="B135" s="3">
        <v>3.5198118E-2</v>
      </c>
      <c r="C135" s="3">
        <v>4.4103753000000002E-2</v>
      </c>
      <c r="D135" s="3">
        <v>9.4471526E-2</v>
      </c>
      <c r="E135" s="3">
        <v>4.3293577999999999E-2</v>
      </c>
      <c r="F135" s="3">
        <v>0.12064143400000001</v>
      </c>
      <c r="G135" s="3">
        <v>4.0482642999999999E-2</v>
      </c>
      <c r="H135" s="3">
        <v>6.4608919000000001E-2</v>
      </c>
      <c r="I135" s="3">
        <v>6.7240616000000003E-2</v>
      </c>
      <c r="J135" s="3">
        <v>0.125289558</v>
      </c>
      <c r="K135" s="3">
        <v>4.4360204E-2</v>
      </c>
      <c r="L135" s="3">
        <v>8.4156304000000001E-2</v>
      </c>
      <c r="M135" s="3">
        <v>5.0089938000000001E-2</v>
      </c>
      <c r="N135" s="3">
        <v>0.12167866099999999</v>
      </c>
      <c r="O135" s="3">
        <v>4.8289339000000001E-2</v>
      </c>
      <c r="P135" s="3">
        <v>0.115123921</v>
      </c>
      <c r="Q135" s="3">
        <v>3.0060824E-2</v>
      </c>
      <c r="R135" s="3">
        <v>3.7166560000000001E-2</v>
      </c>
      <c r="S135" s="3">
        <v>3.3885666000000002E-2</v>
      </c>
      <c r="T135" s="3">
        <v>2.7769495000000002E-2</v>
      </c>
      <c r="U135" s="3">
        <v>3.2583621E-2</v>
      </c>
      <c r="V135" s="3">
        <v>0.92698304950892541</v>
      </c>
      <c r="W135" s="3">
        <v>0.18846060407668386</v>
      </c>
      <c r="X135" s="3">
        <v>0</v>
      </c>
      <c r="Y135" s="3">
        <v>0.76677487762724683</v>
      </c>
      <c r="Z135" s="3">
        <v>0.18802171549844923</v>
      </c>
      <c r="AA135" s="3">
        <v>0</v>
      </c>
      <c r="AB135">
        <v>0</v>
      </c>
      <c r="AC135">
        <v>0</v>
      </c>
      <c r="AD135">
        <v>0</v>
      </c>
    </row>
    <row r="136" spans="1:30" x14ac:dyDescent="0.3">
      <c r="A136" s="1">
        <v>45499</v>
      </c>
      <c r="B136" s="3">
        <v>7.2142319999999996E-2</v>
      </c>
      <c r="C136" s="3">
        <v>6.2746130999999997E-2</v>
      </c>
      <c r="D136" s="3">
        <v>5.7581720000000003E-2</v>
      </c>
      <c r="E136" s="3">
        <v>6.9455778999999995E-2</v>
      </c>
      <c r="F136" s="3">
        <v>3.5198118E-2</v>
      </c>
      <c r="G136" s="3">
        <v>4.4103753000000002E-2</v>
      </c>
      <c r="H136" s="3">
        <v>9.4471526E-2</v>
      </c>
      <c r="I136" s="3">
        <v>4.3293577999999999E-2</v>
      </c>
      <c r="J136" s="3">
        <v>0.12064143400000001</v>
      </c>
      <c r="K136" s="3">
        <v>4.0482642999999999E-2</v>
      </c>
      <c r="L136" s="3">
        <v>6.4608919000000001E-2</v>
      </c>
      <c r="M136" s="3">
        <v>6.7240616000000003E-2</v>
      </c>
      <c r="N136" s="3">
        <v>0.125289558</v>
      </c>
      <c r="O136" s="3">
        <v>4.4360204E-2</v>
      </c>
      <c r="P136" s="3">
        <v>8.4156304000000001E-2</v>
      </c>
      <c r="Q136" s="3">
        <v>5.0089938000000001E-2</v>
      </c>
      <c r="R136" s="3">
        <v>0.12167866099999999</v>
      </c>
      <c r="S136" s="3">
        <v>4.8289339000000001E-2</v>
      </c>
      <c r="T136" s="3">
        <v>0.115123921</v>
      </c>
      <c r="U136" s="3">
        <v>3.0060824E-2</v>
      </c>
      <c r="V136" s="3">
        <v>0.89252011189078828</v>
      </c>
      <c r="W136" s="3">
        <v>0.19434137995119521</v>
      </c>
      <c r="X136" s="3">
        <v>5.1324114339183595E-2</v>
      </c>
      <c r="Y136" s="3">
        <v>0.61701505381163568</v>
      </c>
      <c r="Z136" s="3">
        <v>0.19153233350287022</v>
      </c>
      <c r="AA136" s="3">
        <v>3.6471832966918964E-2</v>
      </c>
      <c r="AB136">
        <v>0</v>
      </c>
      <c r="AC136">
        <v>1</v>
      </c>
      <c r="AD136">
        <v>1</v>
      </c>
    </row>
    <row r="137" spans="1:30" x14ac:dyDescent="0.3">
      <c r="A137" s="1">
        <v>45502</v>
      </c>
      <c r="B137" s="3">
        <v>0.1115907</v>
      </c>
      <c r="C137" s="3">
        <v>4.7753531000000002E-2</v>
      </c>
      <c r="D137" s="3">
        <v>0.103584841</v>
      </c>
      <c r="E137" s="3">
        <v>5.0123676999999998E-2</v>
      </c>
      <c r="F137" s="3">
        <v>7.2142319999999996E-2</v>
      </c>
      <c r="G137" s="3">
        <v>6.2746130999999997E-2</v>
      </c>
      <c r="H137" s="3">
        <v>5.7581720000000003E-2</v>
      </c>
      <c r="I137" s="3">
        <v>6.9455778999999995E-2</v>
      </c>
      <c r="J137" s="3">
        <v>3.5198118E-2</v>
      </c>
      <c r="K137" s="3">
        <v>4.4103753000000002E-2</v>
      </c>
      <c r="L137" s="3">
        <v>9.4471526E-2</v>
      </c>
      <c r="M137" s="3">
        <v>4.3293577999999999E-2</v>
      </c>
      <c r="N137" s="3">
        <v>0.12064143400000001</v>
      </c>
      <c r="O137" s="3">
        <v>4.0482642999999999E-2</v>
      </c>
      <c r="P137" s="3">
        <v>6.4608919000000001E-2</v>
      </c>
      <c r="Q137" s="3">
        <v>6.7240616000000003E-2</v>
      </c>
      <c r="R137" s="3">
        <v>0.125289558</v>
      </c>
      <c r="S137" s="3">
        <v>4.4360204E-2</v>
      </c>
      <c r="T137" s="3">
        <v>8.4156304000000001E-2</v>
      </c>
      <c r="U137" s="3">
        <v>5.0089938000000001E-2</v>
      </c>
      <c r="V137" s="3">
        <v>0.89252011189078828</v>
      </c>
      <c r="W137" s="3">
        <v>0.19369468516369195</v>
      </c>
      <c r="X137" s="3">
        <v>1.0123959729531403E-3</v>
      </c>
      <c r="Y137" s="3">
        <v>0.52896036525002266</v>
      </c>
      <c r="Z137" s="3">
        <v>0.19150916124780626</v>
      </c>
      <c r="AA137" s="3">
        <v>6.8983416157714485E-4</v>
      </c>
      <c r="AB137">
        <v>0</v>
      </c>
      <c r="AC137">
        <v>1</v>
      </c>
      <c r="AD137">
        <v>1</v>
      </c>
    </row>
    <row r="138" spans="1:30" x14ac:dyDescent="0.3">
      <c r="A138" s="1">
        <v>45503</v>
      </c>
      <c r="B138" s="3">
        <v>4.8857144999999998E-2</v>
      </c>
      <c r="C138" s="3">
        <v>4.0972456999999997E-2</v>
      </c>
      <c r="D138" s="3">
        <v>0.11852850600000001</v>
      </c>
      <c r="E138" s="3">
        <v>6.6844776999999994E-2</v>
      </c>
      <c r="F138" s="3">
        <v>0.1115907</v>
      </c>
      <c r="G138" s="3">
        <v>4.7753531000000002E-2</v>
      </c>
      <c r="H138" s="3">
        <v>0.103584841</v>
      </c>
      <c r="I138" s="3">
        <v>5.0123676999999998E-2</v>
      </c>
      <c r="J138" s="3">
        <v>7.2142319999999996E-2</v>
      </c>
      <c r="K138" s="3">
        <v>6.2746130999999997E-2</v>
      </c>
      <c r="L138" s="3">
        <v>5.7581720000000003E-2</v>
      </c>
      <c r="M138" s="3">
        <v>6.9455778999999995E-2</v>
      </c>
      <c r="N138" s="3">
        <v>3.5198118E-2</v>
      </c>
      <c r="O138" s="3">
        <v>4.4103753000000002E-2</v>
      </c>
      <c r="P138" s="3">
        <v>9.4471526E-2</v>
      </c>
      <c r="Q138" s="3">
        <v>4.3293577999999999E-2</v>
      </c>
      <c r="R138" s="3">
        <v>0.12064143400000001</v>
      </c>
      <c r="S138" s="3">
        <v>4.0482642999999999E-2</v>
      </c>
      <c r="T138" s="3">
        <v>6.4608919000000001E-2</v>
      </c>
      <c r="U138" s="3">
        <v>6.7240616000000003E-2</v>
      </c>
      <c r="V138" s="3">
        <v>0.92698304950892541</v>
      </c>
      <c r="W138" s="3">
        <v>0.19275469214310173</v>
      </c>
      <c r="X138" s="3">
        <v>0</v>
      </c>
      <c r="Y138" s="3">
        <v>0.61701505381163568</v>
      </c>
      <c r="Z138" s="3">
        <v>0.19149996996100685</v>
      </c>
      <c r="AA138" s="3">
        <v>0</v>
      </c>
      <c r="AB138">
        <v>0</v>
      </c>
      <c r="AC138">
        <v>1</v>
      </c>
      <c r="AD138">
        <v>1</v>
      </c>
    </row>
    <row r="139" spans="1:30" x14ac:dyDescent="0.3">
      <c r="A139" s="1">
        <v>45504</v>
      </c>
      <c r="B139" s="3">
        <v>4.0191985999999999E-2</v>
      </c>
      <c r="C139" s="3">
        <v>4.4173360000000002E-2</v>
      </c>
      <c r="D139" s="3">
        <v>5.6595075000000002E-2</v>
      </c>
      <c r="E139" s="3">
        <v>5.4205705E-2</v>
      </c>
      <c r="F139" s="3">
        <v>4.8857144999999998E-2</v>
      </c>
      <c r="G139" s="3">
        <v>4.0972456999999997E-2</v>
      </c>
      <c r="H139" s="3">
        <v>0.11852850600000001</v>
      </c>
      <c r="I139" s="3">
        <v>6.6844776999999994E-2</v>
      </c>
      <c r="J139" s="3">
        <v>0.1115907</v>
      </c>
      <c r="K139" s="3">
        <v>4.7753531000000002E-2</v>
      </c>
      <c r="L139" s="3">
        <v>0.103584841</v>
      </c>
      <c r="M139" s="3">
        <v>5.0123676999999998E-2</v>
      </c>
      <c r="N139" s="3">
        <v>7.2142319999999996E-2</v>
      </c>
      <c r="O139" s="3">
        <v>6.2746130999999997E-2</v>
      </c>
      <c r="P139" s="3">
        <v>5.7581720000000003E-2</v>
      </c>
      <c r="Q139" s="3">
        <v>6.9455778999999995E-2</v>
      </c>
      <c r="R139" s="3">
        <v>3.5198118E-2</v>
      </c>
      <c r="S139" s="3">
        <v>4.4103753000000002E-2</v>
      </c>
      <c r="T139" s="3">
        <v>9.4471526E-2</v>
      </c>
      <c r="U139" s="3">
        <v>4.3293577999999999E-2</v>
      </c>
      <c r="V139" s="3">
        <v>0.89252011189078828</v>
      </c>
      <c r="W139" s="3">
        <v>0.19266580919797621</v>
      </c>
      <c r="X139" s="3">
        <v>6.7091031999180597E-3</v>
      </c>
      <c r="Y139" s="3">
        <v>0.52896036525002266</v>
      </c>
      <c r="Z139" s="3">
        <v>0.19131369636231754</v>
      </c>
      <c r="AA139" s="3">
        <v>4.5698426714812475E-3</v>
      </c>
      <c r="AB139">
        <v>0</v>
      </c>
      <c r="AC139">
        <v>1</v>
      </c>
      <c r="AD139">
        <v>1</v>
      </c>
    </row>
    <row r="140" spans="1:30" x14ac:dyDescent="0.3">
      <c r="A140" s="1">
        <v>45505</v>
      </c>
      <c r="B140" s="3">
        <v>0.114866684</v>
      </c>
      <c r="C140" s="3">
        <v>4.3215178E-2</v>
      </c>
      <c r="D140" s="3">
        <v>0.17755933700000001</v>
      </c>
      <c r="E140" s="3">
        <v>7.8971951999999998E-2</v>
      </c>
      <c r="F140" s="3">
        <v>4.0191985999999999E-2</v>
      </c>
      <c r="G140" s="3">
        <v>4.4173360000000002E-2</v>
      </c>
      <c r="H140" s="3">
        <v>5.6595075000000002E-2</v>
      </c>
      <c r="I140" s="3">
        <v>5.4205705E-2</v>
      </c>
      <c r="J140" s="3">
        <v>4.8857144999999998E-2</v>
      </c>
      <c r="K140" s="3">
        <v>4.0972456999999997E-2</v>
      </c>
      <c r="L140" s="3">
        <v>0.11852850600000001</v>
      </c>
      <c r="M140" s="3">
        <v>6.6844776999999994E-2</v>
      </c>
      <c r="N140" s="3">
        <v>0.1115907</v>
      </c>
      <c r="O140" s="3">
        <v>4.7753531000000002E-2</v>
      </c>
      <c r="P140" s="3">
        <v>0.103584841</v>
      </c>
      <c r="Q140" s="3">
        <v>5.0123676999999998E-2</v>
      </c>
      <c r="R140" s="3">
        <v>7.2142319999999996E-2</v>
      </c>
      <c r="S140" s="3">
        <v>6.2746130999999997E-2</v>
      </c>
      <c r="T140" s="3">
        <v>5.7581720000000003E-2</v>
      </c>
      <c r="U140" s="3">
        <v>6.9455778999999995E-2</v>
      </c>
      <c r="V140" s="3">
        <v>0.89252011189078828</v>
      </c>
      <c r="W140" s="3">
        <v>0.19758382812305786</v>
      </c>
      <c r="X140" s="3">
        <v>0</v>
      </c>
      <c r="Y140" s="3">
        <v>0.61701505381163568</v>
      </c>
      <c r="Z140" s="3">
        <v>0.19389911591446804</v>
      </c>
      <c r="AA140" s="3">
        <v>0</v>
      </c>
      <c r="AB140">
        <v>0</v>
      </c>
      <c r="AC140">
        <v>1</v>
      </c>
      <c r="AD140">
        <v>1</v>
      </c>
    </row>
    <row r="141" spans="1:30" x14ac:dyDescent="0.3">
      <c r="A141" s="1">
        <v>45506</v>
      </c>
      <c r="B141" s="3">
        <v>0.18404969199999999</v>
      </c>
      <c r="C141" s="3">
        <v>5.8997447000000001E-2</v>
      </c>
      <c r="D141" s="3">
        <v>0.110864518</v>
      </c>
      <c r="E141" s="3">
        <v>9.1418342E-2</v>
      </c>
      <c r="F141" s="3">
        <v>0.114866684</v>
      </c>
      <c r="G141" s="3">
        <v>4.3215178E-2</v>
      </c>
      <c r="H141" s="3">
        <v>0.17755933700000001</v>
      </c>
      <c r="I141" s="3">
        <v>7.8971951999999998E-2</v>
      </c>
      <c r="J141" s="3">
        <v>4.0191985999999999E-2</v>
      </c>
      <c r="K141" s="3">
        <v>4.4173360000000002E-2</v>
      </c>
      <c r="L141" s="3">
        <v>5.6595075000000002E-2</v>
      </c>
      <c r="M141" s="3">
        <v>5.4205705E-2</v>
      </c>
      <c r="N141" s="3">
        <v>4.8857144999999998E-2</v>
      </c>
      <c r="O141" s="3">
        <v>4.0972456999999997E-2</v>
      </c>
      <c r="P141" s="3">
        <v>0.11852850600000001</v>
      </c>
      <c r="Q141" s="3">
        <v>6.6844776999999994E-2</v>
      </c>
      <c r="R141" s="3">
        <v>0.1115907</v>
      </c>
      <c r="S141" s="3">
        <v>4.7753531000000002E-2</v>
      </c>
      <c r="T141" s="3">
        <v>0.103584841</v>
      </c>
      <c r="U141" s="3">
        <v>5.0123676999999998E-2</v>
      </c>
      <c r="V141" s="3">
        <v>0.85040543580851213</v>
      </c>
      <c r="W141" s="3">
        <v>0.22899207365748656</v>
      </c>
      <c r="X141" s="3">
        <v>0.11435019100328915</v>
      </c>
      <c r="Y141" s="3">
        <v>0.52896036525002266</v>
      </c>
      <c r="Z141" s="3">
        <v>0.21049850704950451</v>
      </c>
      <c r="AA141" s="3">
        <v>8.1346393581933019E-2</v>
      </c>
      <c r="AB141">
        <v>0</v>
      </c>
      <c r="AC141">
        <v>0</v>
      </c>
      <c r="AD141">
        <v>0</v>
      </c>
    </row>
    <row r="142" spans="1:30" x14ac:dyDescent="0.3">
      <c r="A142" s="1">
        <v>45509</v>
      </c>
      <c r="B142" s="3">
        <v>0.31770805699999999</v>
      </c>
      <c r="C142" s="3">
        <v>8.2990792999999993E-2</v>
      </c>
      <c r="D142" s="3">
        <v>0.13894313899999999</v>
      </c>
      <c r="E142" s="3">
        <v>0.18910701899999999</v>
      </c>
      <c r="F142" s="3">
        <v>0.18404969199999999</v>
      </c>
      <c r="G142" s="3">
        <v>5.8997447000000001E-2</v>
      </c>
      <c r="H142" s="3">
        <v>0.110864518</v>
      </c>
      <c r="I142" s="3">
        <v>9.1418342E-2</v>
      </c>
      <c r="J142" s="3">
        <v>0.114866684</v>
      </c>
      <c r="K142" s="3">
        <v>4.3215178E-2</v>
      </c>
      <c r="L142" s="3">
        <v>0.17755933700000001</v>
      </c>
      <c r="M142" s="3">
        <v>7.8971951999999998E-2</v>
      </c>
      <c r="N142" s="3">
        <v>4.0191985999999999E-2</v>
      </c>
      <c r="O142" s="3">
        <v>4.4173360000000002E-2</v>
      </c>
      <c r="P142" s="3">
        <v>5.6595075000000002E-2</v>
      </c>
      <c r="Q142" s="3">
        <v>5.4205705E-2</v>
      </c>
      <c r="R142" s="3">
        <v>4.8857144999999998E-2</v>
      </c>
      <c r="S142" s="3">
        <v>4.0972456999999997E-2</v>
      </c>
      <c r="T142" s="3">
        <v>0.11852850600000001</v>
      </c>
      <c r="U142" s="3">
        <v>6.6844776999999994E-2</v>
      </c>
      <c r="V142" s="3">
        <v>0.69981330729068325</v>
      </c>
      <c r="W142" s="3">
        <v>0.26165032686648526</v>
      </c>
      <c r="X142" s="3">
        <v>0.12451345097398363</v>
      </c>
      <c r="Y142" s="3">
        <v>0.52896036525002266</v>
      </c>
      <c r="Z142" s="3">
        <v>0.22874827763961586</v>
      </c>
      <c r="AA142" s="3">
        <v>8.9399105811581808E-2</v>
      </c>
      <c r="AB142">
        <v>1</v>
      </c>
      <c r="AC142">
        <v>0</v>
      </c>
      <c r="AD142">
        <v>1</v>
      </c>
    </row>
    <row r="143" spans="1:30" x14ac:dyDescent="0.3">
      <c r="A143" s="1">
        <v>45510</v>
      </c>
      <c r="B143" s="3">
        <v>0.16732070600000001</v>
      </c>
      <c r="C143" s="3">
        <v>8.9314034E-2</v>
      </c>
      <c r="D143" s="3">
        <v>0.39867625099999998</v>
      </c>
      <c r="E143" s="3">
        <v>0.216321228</v>
      </c>
      <c r="F143" s="3">
        <v>0.31770805699999999</v>
      </c>
      <c r="G143" s="3">
        <v>8.2990792999999993E-2</v>
      </c>
      <c r="H143" s="3">
        <v>0.13894313899999999</v>
      </c>
      <c r="I143" s="3">
        <v>0.18910701899999999</v>
      </c>
      <c r="J143" s="3">
        <v>0.18404969199999999</v>
      </c>
      <c r="K143" s="3">
        <v>5.8997447000000001E-2</v>
      </c>
      <c r="L143" s="3">
        <v>0.110864518</v>
      </c>
      <c r="M143" s="3">
        <v>9.1418342E-2</v>
      </c>
      <c r="N143" s="3">
        <v>0.114866684</v>
      </c>
      <c r="O143" s="3">
        <v>4.3215178E-2</v>
      </c>
      <c r="P143" s="3">
        <v>0.17755933700000001</v>
      </c>
      <c r="Q143" s="3">
        <v>7.8971951999999998E-2</v>
      </c>
      <c r="R143" s="3">
        <v>4.0191985999999999E-2</v>
      </c>
      <c r="S143" s="3">
        <v>4.4173360000000002E-2</v>
      </c>
      <c r="T143" s="3">
        <v>5.6595075000000002E-2</v>
      </c>
      <c r="U143" s="3">
        <v>5.4205705E-2</v>
      </c>
      <c r="V143" s="3">
        <v>0.89252011189078828</v>
      </c>
      <c r="W143" s="3">
        <v>0.27346108894617133</v>
      </c>
      <c r="X143" s="3">
        <v>0</v>
      </c>
      <c r="Y143" s="3">
        <v>0.61701505381163568</v>
      </c>
      <c r="Z143" s="3">
        <v>0.23503236534110974</v>
      </c>
      <c r="AA143" s="3">
        <v>0</v>
      </c>
      <c r="AB143">
        <v>1</v>
      </c>
      <c r="AC143">
        <v>0</v>
      </c>
      <c r="AD143">
        <v>1</v>
      </c>
    </row>
    <row r="144" spans="1:30" x14ac:dyDescent="0.3">
      <c r="A144" s="1">
        <v>45511</v>
      </c>
      <c r="B144" s="3">
        <v>3.8496496999999998E-2</v>
      </c>
      <c r="C144" s="3">
        <v>8.1828937000000004E-2</v>
      </c>
      <c r="D144" s="3">
        <v>0.164873257</v>
      </c>
      <c r="E144" s="3">
        <v>0.14909308800000001</v>
      </c>
      <c r="F144" s="3">
        <v>0.16732070600000001</v>
      </c>
      <c r="G144" s="3">
        <v>8.9314034E-2</v>
      </c>
      <c r="H144" s="3">
        <v>0.39867625099999998</v>
      </c>
      <c r="I144" s="3">
        <v>0.216321228</v>
      </c>
      <c r="J144" s="3">
        <v>0.31770805699999999</v>
      </c>
      <c r="K144" s="3">
        <v>8.2990792999999993E-2</v>
      </c>
      <c r="L144" s="3">
        <v>0.13894313899999999</v>
      </c>
      <c r="M144" s="3">
        <v>0.18910701899999999</v>
      </c>
      <c r="N144" s="3">
        <v>0.18404969199999999</v>
      </c>
      <c r="O144" s="3">
        <v>5.8997447000000001E-2</v>
      </c>
      <c r="P144" s="3">
        <v>0.110864518</v>
      </c>
      <c r="Q144" s="3">
        <v>9.1418342E-2</v>
      </c>
      <c r="R144" s="3">
        <v>0.114866684</v>
      </c>
      <c r="S144" s="3">
        <v>4.3215178E-2</v>
      </c>
      <c r="T144" s="3">
        <v>0.17755933700000001</v>
      </c>
      <c r="U144" s="3">
        <v>7.8971951999999998E-2</v>
      </c>
      <c r="V144" s="3">
        <v>0.89252011189078828</v>
      </c>
      <c r="W144" s="3">
        <v>0.28809526545151598</v>
      </c>
      <c r="X144" s="3">
        <v>0</v>
      </c>
      <c r="Y144" s="3">
        <v>0.61701505381163568</v>
      </c>
      <c r="Z144" s="3">
        <v>0.24356935703086796</v>
      </c>
      <c r="AA144" s="3">
        <v>0</v>
      </c>
      <c r="AB144">
        <v>1</v>
      </c>
      <c r="AC144">
        <v>0</v>
      </c>
      <c r="AD144">
        <v>1</v>
      </c>
    </row>
    <row r="145" spans="1:30" x14ac:dyDescent="0.3">
      <c r="A145" s="1">
        <v>45512</v>
      </c>
      <c r="B145" s="3">
        <v>0.29258849799999997</v>
      </c>
      <c r="C145" s="3">
        <v>7.1122171999999997E-2</v>
      </c>
      <c r="D145" s="3">
        <v>0.369687137</v>
      </c>
      <c r="E145" s="3">
        <v>0.108648037</v>
      </c>
      <c r="F145" s="3">
        <v>3.8496496999999998E-2</v>
      </c>
      <c r="G145" s="3">
        <v>8.1828937000000004E-2</v>
      </c>
      <c r="H145" s="3">
        <v>0.164873257</v>
      </c>
      <c r="I145" s="3">
        <v>0.14909308800000001</v>
      </c>
      <c r="J145" s="3">
        <v>0.16732070600000001</v>
      </c>
      <c r="K145" s="3">
        <v>8.9314034E-2</v>
      </c>
      <c r="L145" s="3">
        <v>0.39867625099999998</v>
      </c>
      <c r="M145" s="3">
        <v>0.216321228</v>
      </c>
      <c r="N145" s="3">
        <v>0.31770805699999999</v>
      </c>
      <c r="O145" s="3">
        <v>8.2990792999999993E-2</v>
      </c>
      <c r="P145" s="3">
        <v>0.13894313899999999</v>
      </c>
      <c r="Q145" s="3">
        <v>0.18910701899999999</v>
      </c>
      <c r="R145" s="3">
        <v>0.18404969199999999</v>
      </c>
      <c r="S145" s="3">
        <v>5.8997447000000001E-2</v>
      </c>
      <c r="T145" s="3">
        <v>0.110864518</v>
      </c>
      <c r="U145" s="3">
        <v>9.1418342E-2</v>
      </c>
      <c r="V145" s="3">
        <v>0.72083486514790984</v>
      </c>
      <c r="W145" s="3">
        <v>0.29281815605281458</v>
      </c>
      <c r="X145" s="3">
        <v>5.1975572252851737E-2</v>
      </c>
      <c r="Y145" s="3">
        <v>0.52896036525002266</v>
      </c>
      <c r="Z145" s="3">
        <v>0.24640387077574502</v>
      </c>
      <c r="AA145" s="3">
        <v>3.7476271754434104E-2</v>
      </c>
      <c r="AB145">
        <v>1</v>
      </c>
      <c r="AC145">
        <v>0</v>
      </c>
      <c r="AD145">
        <v>1</v>
      </c>
    </row>
    <row r="146" spans="1:30" x14ac:dyDescent="0.3">
      <c r="A146" s="1">
        <v>45513</v>
      </c>
      <c r="B146" s="3">
        <v>0.19358076099999999</v>
      </c>
      <c r="C146" s="3">
        <v>0.10390400299999999</v>
      </c>
      <c r="D146" s="3">
        <v>0.33748066399999999</v>
      </c>
      <c r="E146" s="3">
        <v>9.0037787999999994E-2</v>
      </c>
      <c r="F146" s="3">
        <v>0.29258849799999997</v>
      </c>
      <c r="G146" s="3">
        <v>7.1122171999999997E-2</v>
      </c>
      <c r="H146" s="3">
        <v>0.369687137</v>
      </c>
      <c r="I146" s="3">
        <v>0.108648037</v>
      </c>
      <c r="J146" s="3">
        <v>3.8496496999999998E-2</v>
      </c>
      <c r="K146" s="3">
        <v>8.1828937000000004E-2</v>
      </c>
      <c r="L146" s="3">
        <v>0.164873257</v>
      </c>
      <c r="M146" s="3">
        <v>0.14909308800000001</v>
      </c>
      <c r="N146" s="3">
        <v>0.16732070600000001</v>
      </c>
      <c r="O146" s="3">
        <v>8.9314034E-2</v>
      </c>
      <c r="P146" s="3">
        <v>0.39867625099999998</v>
      </c>
      <c r="Q146" s="3">
        <v>0.216321228</v>
      </c>
      <c r="R146" s="3">
        <v>0.31770805699999999</v>
      </c>
      <c r="S146" s="3">
        <v>8.2990792999999993E-2</v>
      </c>
      <c r="T146" s="3">
        <v>0.13894313899999999</v>
      </c>
      <c r="U146" s="3">
        <v>0.18910701899999999</v>
      </c>
      <c r="V146" s="3">
        <v>0.72083486514790984</v>
      </c>
      <c r="W146" s="3">
        <v>0.30027239120459587</v>
      </c>
      <c r="X146" s="3">
        <v>0</v>
      </c>
      <c r="Y146" s="3">
        <v>0.61701505381163568</v>
      </c>
      <c r="Z146" s="3">
        <v>0.25085328389711936</v>
      </c>
      <c r="AA146" s="3">
        <v>0</v>
      </c>
      <c r="AB146">
        <v>1</v>
      </c>
      <c r="AC146">
        <v>0</v>
      </c>
      <c r="AD146">
        <v>1</v>
      </c>
    </row>
    <row r="147" spans="1:30" x14ac:dyDescent="0.3">
      <c r="A147" s="1">
        <v>45516</v>
      </c>
      <c r="B147" s="3">
        <v>0.18527592500000001</v>
      </c>
      <c r="C147" s="3">
        <v>7.1180139000000003E-2</v>
      </c>
      <c r="D147" s="3">
        <v>0.31131054499999999</v>
      </c>
      <c r="E147" s="3">
        <v>0.10153055499999999</v>
      </c>
      <c r="F147" s="3">
        <v>0.19358076099999999</v>
      </c>
      <c r="G147" s="3">
        <v>0.10390400299999999</v>
      </c>
      <c r="H147" s="3">
        <v>0.33748066399999999</v>
      </c>
      <c r="I147" s="3">
        <v>9.0037787999999994E-2</v>
      </c>
      <c r="J147" s="3">
        <v>0.29258849799999997</v>
      </c>
      <c r="K147" s="3">
        <v>7.1122171999999997E-2</v>
      </c>
      <c r="L147" s="3">
        <v>0.369687137</v>
      </c>
      <c r="M147" s="3">
        <v>0.108648037</v>
      </c>
      <c r="N147" s="3">
        <v>3.8496496999999998E-2</v>
      </c>
      <c r="O147" s="3">
        <v>8.1828937000000004E-2</v>
      </c>
      <c r="P147" s="3">
        <v>0.164873257</v>
      </c>
      <c r="Q147" s="3">
        <v>0.14909308800000001</v>
      </c>
      <c r="R147" s="3">
        <v>0.16732070600000001</v>
      </c>
      <c r="S147" s="3">
        <v>8.9314034E-2</v>
      </c>
      <c r="T147" s="3">
        <v>0.39867625099999998</v>
      </c>
      <c r="U147" s="3">
        <v>0.216321228</v>
      </c>
      <c r="V147" s="3">
        <v>0.72083486514790984</v>
      </c>
      <c r="W147" s="3">
        <v>0.3003357762694932</v>
      </c>
      <c r="X147" s="3">
        <v>0</v>
      </c>
      <c r="Y147" s="3">
        <v>0.61701505381163568</v>
      </c>
      <c r="Z147" s="3">
        <v>0.25073655377702414</v>
      </c>
      <c r="AA147" s="3">
        <v>0</v>
      </c>
      <c r="AB147">
        <v>1</v>
      </c>
      <c r="AC147">
        <v>0</v>
      </c>
      <c r="AD147">
        <v>1</v>
      </c>
    </row>
    <row r="148" spans="1:30" x14ac:dyDescent="0.3">
      <c r="A148" s="1">
        <v>45517</v>
      </c>
      <c r="B148" s="3">
        <v>0.13872525399999999</v>
      </c>
      <c r="C148" s="3">
        <v>7.8718827000000005E-2</v>
      </c>
      <c r="D148" s="3">
        <v>0.221824302</v>
      </c>
      <c r="E148" s="3">
        <v>0.1060487</v>
      </c>
      <c r="F148" s="3">
        <v>0.18527592500000001</v>
      </c>
      <c r="G148" s="3">
        <v>7.1180139000000003E-2</v>
      </c>
      <c r="H148" s="3">
        <v>0.31131054499999999</v>
      </c>
      <c r="I148" s="3">
        <v>0.10153055499999999</v>
      </c>
      <c r="J148" s="3">
        <v>0.19358076099999999</v>
      </c>
      <c r="K148" s="3">
        <v>0.10390400299999999</v>
      </c>
      <c r="L148" s="3">
        <v>0.33748066399999999</v>
      </c>
      <c r="M148" s="3">
        <v>9.0037787999999994E-2</v>
      </c>
      <c r="N148" s="3">
        <v>0.29258849799999997</v>
      </c>
      <c r="O148" s="3">
        <v>7.1122171999999997E-2</v>
      </c>
      <c r="P148" s="3">
        <v>0.369687137</v>
      </c>
      <c r="Q148" s="3">
        <v>0.108648037</v>
      </c>
      <c r="R148" s="3">
        <v>3.8496496999999998E-2</v>
      </c>
      <c r="S148" s="3">
        <v>8.1828937000000004E-2</v>
      </c>
      <c r="T148" s="3">
        <v>0.164873257</v>
      </c>
      <c r="U148" s="3">
        <v>0.14909308800000001</v>
      </c>
      <c r="V148" s="3">
        <v>0.45934022969350802</v>
      </c>
      <c r="W148" s="3">
        <v>0.29994377543009321</v>
      </c>
      <c r="X148" s="3">
        <v>2.636348327432273E-4</v>
      </c>
      <c r="Y148" s="3">
        <v>0.61701505381163568</v>
      </c>
      <c r="Z148" s="3">
        <v>0.25066077531945197</v>
      </c>
      <c r="AA148" s="3">
        <v>8.5643655826821694E-4</v>
      </c>
      <c r="AB148">
        <v>1</v>
      </c>
      <c r="AC148">
        <v>0</v>
      </c>
      <c r="AD148">
        <v>1</v>
      </c>
    </row>
    <row r="149" spans="1:30" x14ac:dyDescent="0.3">
      <c r="A149" s="1">
        <v>45518</v>
      </c>
      <c r="B149" s="3">
        <v>6.1666353E-2</v>
      </c>
      <c r="C149" s="3">
        <v>7.2749668000000003E-2</v>
      </c>
      <c r="D149" s="3">
        <v>0.15596806799999999</v>
      </c>
      <c r="E149" s="3">
        <v>0.14764295699999999</v>
      </c>
      <c r="F149" s="3">
        <v>0.13872525399999999</v>
      </c>
      <c r="G149" s="3">
        <v>7.8718827000000005E-2</v>
      </c>
      <c r="H149" s="3">
        <v>0.221824302</v>
      </c>
      <c r="I149" s="3">
        <v>0.1060487</v>
      </c>
      <c r="J149" s="3">
        <v>0.18527592500000001</v>
      </c>
      <c r="K149" s="3">
        <v>7.1180139000000003E-2</v>
      </c>
      <c r="L149" s="3">
        <v>0.31131054499999999</v>
      </c>
      <c r="M149" s="3">
        <v>0.10153055499999999</v>
      </c>
      <c r="N149" s="3">
        <v>0.19358076099999999</v>
      </c>
      <c r="O149" s="3">
        <v>0.10390400299999999</v>
      </c>
      <c r="P149" s="3">
        <v>0.33748066399999999</v>
      </c>
      <c r="Q149" s="3">
        <v>9.0037787999999994E-2</v>
      </c>
      <c r="R149" s="3">
        <v>0.29258849799999997</v>
      </c>
      <c r="S149" s="3">
        <v>7.1122171999999997E-2</v>
      </c>
      <c r="T149" s="3">
        <v>0.369687137</v>
      </c>
      <c r="U149" s="3">
        <v>0.108648037</v>
      </c>
      <c r="V149" s="3">
        <v>0.72083486514790984</v>
      </c>
      <c r="W149" s="3">
        <v>0.30070264255408902</v>
      </c>
      <c r="X149" s="3">
        <v>0</v>
      </c>
      <c r="Y149" s="3">
        <v>0.76677487762724683</v>
      </c>
      <c r="Z149" s="3">
        <v>0.25114468566168219</v>
      </c>
      <c r="AA149" s="3">
        <v>0</v>
      </c>
      <c r="AB149">
        <v>0</v>
      </c>
      <c r="AC149">
        <v>0</v>
      </c>
      <c r="AD149">
        <v>0</v>
      </c>
    </row>
    <row r="150" spans="1:30" x14ac:dyDescent="0.3">
      <c r="A150" s="1">
        <v>45519</v>
      </c>
      <c r="B150" s="3">
        <v>0.23789386000000001</v>
      </c>
      <c r="C150" s="3">
        <v>6.8635383999999994E-2</v>
      </c>
      <c r="D150" s="3">
        <v>0.309919579</v>
      </c>
      <c r="E150" s="3">
        <v>9.6393409999999999E-2</v>
      </c>
      <c r="F150" s="3">
        <v>6.1666353E-2</v>
      </c>
      <c r="G150" s="3">
        <v>7.2749668000000003E-2</v>
      </c>
      <c r="H150" s="3">
        <v>0.15596806799999999</v>
      </c>
      <c r="I150" s="3">
        <v>0.14764295699999999</v>
      </c>
      <c r="J150" s="3">
        <v>0.13872525399999999</v>
      </c>
      <c r="K150" s="3">
        <v>7.8718827000000005E-2</v>
      </c>
      <c r="L150" s="3">
        <v>0.221824302</v>
      </c>
      <c r="M150" s="3">
        <v>0.1060487</v>
      </c>
      <c r="N150" s="3">
        <v>0.18527592500000001</v>
      </c>
      <c r="O150" s="3">
        <v>7.1180139000000003E-2</v>
      </c>
      <c r="P150" s="3">
        <v>0.31131054499999999</v>
      </c>
      <c r="Q150" s="3">
        <v>0.10153055499999999</v>
      </c>
      <c r="R150" s="3">
        <v>0.19358076099999999</v>
      </c>
      <c r="S150" s="3">
        <v>0.10390400299999999</v>
      </c>
      <c r="T150" s="3">
        <v>0.33748066399999999</v>
      </c>
      <c r="U150" s="3">
        <v>9.0037787999999994E-2</v>
      </c>
      <c r="V150" s="3">
        <v>0.72083486514790984</v>
      </c>
      <c r="W150" s="3">
        <v>0.30124792905683812</v>
      </c>
      <c r="X150" s="3">
        <v>1.7995857116249143E-2</v>
      </c>
      <c r="Y150" s="3">
        <v>0.61701505381163568</v>
      </c>
      <c r="Z150" s="3">
        <v>0.25136353462015903</v>
      </c>
      <c r="AA150" s="3">
        <v>1.3173153083988351E-2</v>
      </c>
      <c r="AB150">
        <v>0</v>
      </c>
      <c r="AC150">
        <v>0</v>
      </c>
      <c r="AD150">
        <v>0</v>
      </c>
    </row>
    <row r="151" spans="1:30" x14ac:dyDescent="0.3">
      <c r="A151" s="1">
        <v>45520</v>
      </c>
      <c r="B151" s="3">
        <v>0.17378126199999999</v>
      </c>
      <c r="C151" s="3">
        <v>8.4030323000000004E-2</v>
      </c>
      <c r="D151" s="3">
        <v>0.33102964800000001</v>
      </c>
      <c r="E151" s="3">
        <v>0.121702965</v>
      </c>
      <c r="F151" s="3">
        <v>0.23789386000000001</v>
      </c>
      <c r="G151" s="3">
        <v>6.8635383999999994E-2</v>
      </c>
      <c r="H151" s="3">
        <v>0.309919579</v>
      </c>
      <c r="I151" s="3">
        <v>9.6393409999999999E-2</v>
      </c>
      <c r="J151" s="3">
        <v>6.1666353E-2</v>
      </c>
      <c r="K151" s="3">
        <v>7.2749668000000003E-2</v>
      </c>
      <c r="L151" s="3">
        <v>0.15596806799999999</v>
      </c>
      <c r="M151" s="3">
        <v>0.14764295699999999</v>
      </c>
      <c r="N151" s="3">
        <v>0.13872525399999999</v>
      </c>
      <c r="O151" s="3">
        <v>7.8718827000000005E-2</v>
      </c>
      <c r="P151" s="3">
        <v>0.221824302</v>
      </c>
      <c r="Q151" s="3">
        <v>0.1060487</v>
      </c>
      <c r="R151" s="3">
        <v>0.18527592500000001</v>
      </c>
      <c r="S151" s="3">
        <v>7.1180139000000003E-2</v>
      </c>
      <c r="T151" s="3">
        <v>0.31131054499999999</v>
      </c>
      <c r="U151" s="3">
        <v>0.10153055499999999</v>
      </c>
      <c r="V151" s="3">
        <v>0.92698304950892541</v>
      </c>
      <c r="W151" s="3">
        <v>0.30485868297342861</v>
      </c>
      <c r="X151" s="3">
        <v>0</v>
      </c>
      <c r="Y151" s="3">
        <v>0.76677487762724683</v>
      </c>
      <c r="Z151" s="3">
        <v>0.25333103255317929</v>
      </c>
      <c r="AA151" s="3">
        <v>0</v>
      </c>
      <c r="AB151">
        <v>0</v>
      </c>
      <c r="AC151">
        <v>0</v>
      </c>
      <c r="AD151">
        <v>0</v>
      </c>
    </row>
    <row r="152" spans="1:30" x14ac:dyDescent="0.3">
      <c r="A152" s="1">
        <v>45523</v>
      </c>
      <c r="B152" s="3">
        <v>0.23408738300000001</v>
      </c>
      <c r="C152" s="3">
        <v>9.6279255999999994E-2</v>
      </c>
      <c r="D152" s="3">
        <v>0.34835444799999998</v>
      </c>
      <c r="E152" s="3">
        <v>0.19898080300000001</v>
      </c>
      <c r="F152" s="3">
        <v>0.17378126199999999</v>
      </c>
      <c r="G152" s="3">
        <v>8.4030323000000004E-2</v>
      </c>
      <c r="H152" s="3">
        <v>0.33102964800000001</v>
      </c>
      <c r="I152" s="3">
        <v>0.121702965</v>
      </c>
      <c r="J152" s="3">
        <v>0.23789386000000001</v>
      </c>
      <c r="K152" s="3">
        <v>6.8635383999999994E-2</v>
      </c>
      <c r="L152" s="3">
        <v>0.309919579</v>
      </c>
      <c r="M152" s="3">
        <v>9.6393409999999999E-2</v>
      </c>
      <c r="N152" s="3">
        <v>6.1666353E-2</v>
      </c>
      <c r="O152" s="3">
        <v>7.2749668000000003E-2</v>
      </c>
      <c r="P152" s="3">
        <v>0.15596806799999999</v>
      </c>
      <c r="Q152" s="3">
        <v>0.14764295699999999</v>
      </c>
      <c r="R152" s="3">
        <v>0.13872525399999999</v>
      </c>
      <c r="S152" s="3">
        <v>7.8718827000000005E-2</v>
      </c>
      <c r="T152" s="3">
        <v>0.221824302</v>
      </c>
      <c r="U152" s="3">
        <v>0.1060487</v>
      </c>
      <c r="V152" s="3">
        <v>0.72083486514790984</v>
      </c>
      <c r="W152" s="3">
        <v>0.30308944854981101</v>
      </c>
      <c r="X152" s="3">
        <v>0</v>
      </c>
      <c r="Y152" s="3">
        <v>0.61701505381163568</v>
      </c>
      <c r="Z152" s="3">
        <v>0.25297265739872626</v>
      </c>
      <c r="AA152" s="3">
        <v>2.1496751055340865E-4</v>
      </c>
      <c r="AB152">
        <v>0</v>
      </c>
      <c r="AC152">
        <v>0</v>
      </c>
      <c r="AD152">
        <v>0</v>
      </c>
    </row>
    <row r="153" spans="1:30" x14ac:dyDescent="0.3">
      <c r="A153" s="1">
        <v>45524</v>
      </c>
      <c r="B153" s="3">
        <v>0.26118488699999998</v>
      </c>
      <c r="C153" s="3">
        <v>0.107499809</v>
      </c>
      <c r="D153" s="3">
        <v>0.34451004099999999</v>
      </c>
      <c r="E153" s="3">
        <v>0.27769774899999999</v>
      </c>
      <c r="F153" s="3">
        <v>0.23408738300000001</v>
      </c>
      <c r="G153" s="3">
        <v>9.6279255999999994E-2</v>
      </c>
      <c r="H153" s="3">
        <v>0.34835444799999998</v>
      </c>
      <c r="I153" s="3">
        <v>0.19898080300000001</v>
      </c>
      <c r="J153" s="3">
        <v>0.17378126199999999</v>
      </c>
      <c r="K153" s="3">
        <v>8.4030323000000004E-2</v>
      </c>
      <c r="L153" s="3">
        <v>0.33102964800000001</v>
      </c>
      <c r="M153" s="3">
        <v>0.121702965</v>
      </c>
      <c r="N153" s="3">
        <v>0.23789386000000001</v>
      </c>
      <c r="O153" s="3">
        <v>6.8635383999999994E-2</v>
      </c>
      <c r="P153" s="3">
        <v>0.309919579</v>
      </c>
      <c r="Q153" s="3">
        <v>9.6393409999999999E-2</v>
      </c>
      <c r="R153" s="3">
        <v>6.1666353E-2</v>
      </c>
      <c r="S153" s="3">
        <v>7.2749668000000003E-2</v>
      </c>
      <c r="T153" s="3">
        <v>0.15596806799999999</v>
      </c>
      <c r="U153" s="3">
        <v>0.14764295699999999</v>
      </c>
      <c r="V153" s="3">
        <v>0.45934022969350802</v>
      </c>
      <c r="W153" s="3">
        <v>0.30307882563544353</v>
      </c>
      <c r="X153" s="3">
        <v>1.3197991753900002E-3</v>
      </c>
      <c r="Y153" s="3">
        <v>0.52896036525002266</v>
      </c>
      <c r="Z153" s="3">
        <v>0.25297620190225018</v>
      </c>
      <c r="AA153" s="3">
        <v>1.3980269139515912E-3</v>
      </c>
      <c r="AB153">
        <v>0</v>
      </c>
      <c r="AC153">
        <v>0</v>
      </c>
      <c r="AD153">
        <v>0</v>
      </c>
    </row>
    <row r="154" spans="1:30" x14ac:dyDescent="0.3">
      <c r="A154" s="1">
        <v>45525</v>
      </c>
      <c r="B154" s="3">
        <v>3.1501016E-2</v>
      </c>
      <c r="C154" s="3">
        <v>3.2020897E-2</v>
      </c>
      <c r="D154" s="3">
        <v>4.4605983000000002E-2</v>
      </c>
      <c r="E154" s="3">
        <v>5.1599526E-2</v>
      </c>
      <c r="F154" s="3">
        <v>0.26118488699999998</v>
      </c>
      <c r="G154" s="3">
        <v>0.107499809</v>
      </c>
      <c r="H154" s="3">
        <v>0.34451004099999999</v>
      </c>
      <c r="I154" s="3">
        <v>0.27769774899999999</v>
      </c>
      <c r="J154" s="3">
        <v>0.23408738300000001</v>
      </c>
      <c r="K154" s="3">
        <v>9.6279255999999994E-2</v>
      </c>
      <c r="L154" s="3">
        <v>0.34835444799999998</v>
      </c>
      <c r="M154" s="3">
        <v>0.19898080300000001</v>
      </c>
      <c r="N154" s="3">
        <v>0.17378126199999999</v>
      </c>
      <c r="O154" s="3">
        <v>8.4030323000000004E-2</v>
      </c>
      <c r="P154" s="3">
        <v>0.33102964800000001</v>
      </c>
      <c r="Q154" s="3">
        <v>0.121702965</v>
      </c>
      <c r="R154" s="3">
        <v>0.23789386000000001</v>
      </c>
      <c r="S154" s="3">
        <v>6.8635383999999994E-2</v>
      </c>
      <c r="T154" s="3">
        <v>0.309919579</v>
      </c>
      <c r="U154" s="3">
        <v>9.6393409999999999E-2</v>
      </c>
      <c r="V154" s="3">
        <v>0.45934022969350802</v>
      </c>
      <c r="W154" s="3">
        <v>0.30396881852540353</v>
      </c>
      <c r="X154" s="3">
        <v>2.4306740534925656E-2</v>
      </c>
      <c r="Y154" s="3">
        <v>0.52896036525002266</v>
      </c>
      <c r="Z154" s="3">
        <v>0.25360454912019742</v>
      </c>
      <c r="AA154" s="3">
        <v>1.7693897879431673E-2</v>
      </c>
      <c r="AB154">
        <v>0</v>
      </c>
      <c r="AC154">
        <v>0</v>
      </c>
      <c r="AD154">
        <v>0</v>
      </c>
    </row>
    <row r="155" spans="1:30" x14ac:dyDescent="0.3">
      <c r="A155" s="1">
        <v>45526</v>
      </c>
      <c r="B155" s="3">
        <v>9.8552872999999999E-2</v>
      </c>
      <c r="C155" s="3">
        <v>2.9913506999999999E-2</v>
      </c>
      <c r="D155" s="3">
        <v>0.135720331</v>
      </c>
      <c r="E155" s="3">
        <v>6.1411360999999998E-2</v>
      </c>
      <c r="F155" s="3">
        <v>3.1501016E-2</v>
      </c>
      <c r="G155" s="3">
        <v>3.2020897E-2</v>
      </c>
      <c r="H155" s="3">
        <v>4.4605983000000002E-2</v>
      </c>
      <c r="I155" s="3">
        <v>5.1599526E-2</v>
      </c>
      <c r="J155" s="3">
        <v>0.26118488699999998</v>
      </c>
      <c r="K155" s="3">
        <v>0.107499809</v>
      </c>
      <c r="L155" s="3">
        <v>0.34451004099999999</v>
      </c>
      <c r="M155" s="3">
        <v>0.27769774899999999</v>
      </c>
      <c r="N155" s="3">
        <v>0.23408738300000001</v>
      </c>
      <c r="O155" s="3">
        <v>9.6279255999999994E-2</v>
      </c>
      <c r="P155" s="3">
        <v>0.34835444799999998</v>
      </c>
      <c r="Q155" s="3">
        <v>0.19898080300000001</v>
      </c>
      <c r="R155" s="3">
        <v>0.17378126199999999</v>
      </c>
      <c r="S155" s="3">
        <v>8.4030323000000004E-2</v>
      </c>
      <c r="T155" s="3">
        <v>0.33102964800000001</v>
      </c>
      <c r="U155" s="3">
        <v>0.121702965</v>
      </c>
      <c r="V155" s="3">
        <v>0.36280962546152595</v>
      </c>
      <c r="W155" s="3">
        <v>0.30397711447538861</v>
      </c>
      <c r="X155" s="3">
        <v>1.2661681722447063E-2</v>
      </c>
      <c r="Y155" s="3">
        <v>0.52896036525002266</v>
      </c>
      <c r="Z155" s="3">
        <v>0.25353542394519513</v>
      </c>
      <c r="AA155" s="3">
        <v>9.7744489913367174E-3</v>
      </c>
      <c r="AB155">
        <v>0</v>
      </c>
      <c r="AC155">
        <v>0</v>
      </c>
      <c r="AD155">
        <v>0</v>
      </c>
    </row>
    <row r="156" spans="1:30" x14ac:dyDescent="0.3">
      <c r="A156" s="1">
        <v>45527</v>
      </c>
      <c r="B156" s="3">
        <v>8.7647969000000006E-2</v>
      </c>
      <c r="C156" s="3">
        <v>4.4597244000000001E-2</v>
      </c>
      <c r="D156" s="3">
        <v>0.13605357500000001</v>
      </c>
      <c r="E156" s="3">
        <v>8.1338288999999994E-2</v>
      </c>
      <c r="F156" s="3">
        <v>9.8552872999999999E-2</v>
      </c>
      <c r="G156" s="3">
        <v>2.9913506999999999E-2</v>
      </c>
      <c r="H156" s="3">
        <v>0.135720331</v>
      </c>
      <c r="I156" s="3">
        <v>6.1411360999999998E-2</v>
      </c>
      <c r="J156" s="3">
        <v>3.1501016E-2</v>
      </c>
      <c r="K156" s="3">
        <v>3.2020897E-2</v>
      </c>
      <c r="L156" s="3">
        <v>4.4605983000000002E-2</v>
      </c>
      <c r="M156" s="3">
        <v>5.1599526E-2</v>
      </c>
      <c r="N156" s="3">
        <v>0.26118488699999998</v>
      </c>
      <c r="O156" s="3">
        <v>0.107499809</v>
      </c>
      <c r="P156" s="3">
        <v>0.34451004099999999</v>
      </c>
      <c r="Q156" s="3">
        <v>0.27769774899999999</v>
      </c>
      <c r="R156" s="3">
        <v>0.23408738300000001</v>
      </c>
      <c r="S156" s="3">
        <v>9.6279255999999994E-2</v>
      </c>
      <c r="T156" s="3">
        <v>0.34835444799999998</v>
      </c>
      <c r="U156" s="3">
        <v>0.19898080300000001</v>
      </c>
      <c r="V156" s="3">
        <v>0.3314448403948681</v>
      </c>
      <c r="W156" s="3">
        <v>0.30396198542796615</v>
      </c>
      <c r="X156" s="3">
        <v>1.6517749864053727E-3</v>
      </c>
      <c r="Y156" s="3">
        <v>0.45934022969350802</v>
      </c>
      <c r="Z156" s="3">
        <v>0.25350185645737372</v>
      </c>
      <c r="AA156" s="3">
        <v>1.9949102251498978E-3</v>
      </c>
      <c r="AB156">
        <v>0</v>
      </c>
      <c r="AC156">
        <v>0</v>
      </c>
      <c r="AD156">
        <v>0</v>
      </c>
    </row>
    <row r="157" spans="1:30" x14ac:dyDescent="0.3">
      <c r="A157" s="1">
        <v>45530</v>
      </c>
      <c r="B157" s="3">
        <v>9.0918555999999998E-2</v>
      </c>
      <c r="C157" s="3">
        <v>4.7327284999999997E-2</v>
      </c>
      <c r="D157" s="3">
        <v>0.104776314</v>
      </c>
      <c r="E157" s="3">
        <v>6.8132317999999997E-2</v>
      </c>
      <c r="F157" s="3">
        <v>8.7647969000000006E-2</v>
      </c>
      <c r="G157" s="3">
        <v>4.4597244000000001E-2</v>
      </c>
      <c r="H157" s="3">
        <v>0.13605357500000001</v>
      </c>
      <c r="I157" s="3">
        <v>8.1338288999999994E-2</v>
      </c>
      <c r="J157" s="3">
        <v>9.8552872999999999E-2</v>
      </c>
      <c r="K157" s="3">
        <v>2.9913506999999999E-2</v>
      </c>
      <c r="L157" s="3">
        <v>0.135720331</v>
      </c>
      <c r="M157" s="3">
        <v>6.1411360999999998E-2</v>
      </c>
      <c r="N157" s="3">
        <v>3.1501016E-2</v>
      </c>
      <c r="O157" s="3">
        <v>3.2020897E-2</v>
      </c>
      <c r="P157" s="3">
        <v>4.4605983000000002E-2</v>
      </c>
      <c r="Q157" s="3">
        <v>5.1599526E-2</v>
      </c>
      <c r="R157" s="3">
        <v>0.26118488699999998</v>
      </c>
      <c r="S157" s="3">
        <v>0.107499809</v>
      </c>
      <c r="T157" s="3">
        <v>0.34451004099999999</v>
      </c>
      <c r="U157" s="3">
        <v>0.27769774899999999</v>
      </c>
      <c r="V157" s="3">
        <v>0.36280962546152595</v>
      </c>
      <c r="W157" s="3">
        <v>0.3029145070915944</v>
      </c>
      <c r="X157" s="3">
        <v>0</v>
      </c>
      <c r="Y157" s="3">
        <v>0.48896507250867827</v>
      </c>
      <c r="Z157" s="3">
        <v>0.25344167153299541</v>
      </c>
      <c r="AA157" s="3">
        <v>0</v>
      </c>
      <c r="AB157">
        <v>0</v>
      </c>
      <c r="AC157">
        <v>0</v>
      </c>
      <c r="AD157">
        <v>0</v>
      </c>
    </row>
    <row r="158" spans="1:30" x14ac:dyDescent="0.3">
      <c r="A158" s="1">
        <v>45531</v>
      </c>
      <c r="B158" s="3">
        <v>5.2432246000000002E-2</v>
      </c>
      <c r="C158" s="3">
        <v>3.3288520000000002E-2</v>
      </c>
      <c r="D158" s="3">
        <v>8.5491295999999994E-2</v>
      </c>
      <c r="E158" s="3">
        <v>5.3185323E-2</v>
      </c>
      <c r="F158" s="3">
        <v>9.0918555999999998E-2</v>
      </c>
      <c r="G158" s="3">
        <v>4.7327284999999997E-2</v>
      </c>
      <c r="H158" s="3">
        <v>0.104776314</v>
      </c>
      <c r="I158" s="3">
        <v>6.8132317999999997E-2</v>
      </c>
      <c r="J158" s="3">
        <v>8.7647969000000006E-2</v>
      </c>
      <c r="K158" s="3">
        <v>4.4597244000000001E-2</v>
      </c>
      <c r="L158" s="3">
        <v>0.13605357500000001</v>
      </c>
      <c r="M158" s="3">
        <v>8.1338288999999994E-2</v>
      </c>
      <c r="N158" s="3">
        <v>9.8552872999999999E-2</v>
      </c>
      <c r="O158" s="3">
        <v>2.9913506999999999E-2</v>
      </c>
      <c r="P158" s="3">
        <v>0.135720331</v>
      </c>
      <c r="Q158" s="3">
        <v>6.1411360999999998E-2</v>
      </c>
      <c r="R158" s="3">
        <v>3.1501016E-2</v>
      </c>
      <c r="S158" s="3">
        <v>3.2020897E-2</v>
      </c>
      <c r="T158" s="3">
        <v>4.4605983000000002E-2</v>
      </c>
      <c r="U158" s="3">
        <v>5.1599526E-2</v>
      </c>
      <c r="V158" s="3">
        <v>0.36280962546152595</v>
      </c>
      <c r="W158" s="3">
        <v>0.30069230394310204</v>
      </c>
      <c r="X158" s="3">
        <v>9.7239899266535167E-3</v>
      </c>
      <c r="Y158" s="3">
        <v>0.42017724165438142</v>
      </c>
      <c r="Z158" s="3">
        <v>0.25297893114659814</v>
      </c>
      <c r="AA158" s="3">
        <v>6.9050541589748436E-3</v>
      </c>
      <c r="AB158">
        <v>0</v>
      </c>
      <c r="AC158">
        <v>0</v>
      </c>
      <c r="AD158">
        <v>0</v>
      </c>
    </row>
    <row r="159" spans="1:30" x14ac:dyDescent="0.3">
      <c r="A159" s="1">
        <v>45532</v>
      </c>
      <c r="B159" s="3">
        <v>2.101567E-2</v>
      </c>
      <c r="C159" s="3">
        <v>4.7348534999999997E-2</v>
      </c>
      <c r="D159" s="3">
        <v>7.1011695999999999E-2</v>
      </c>
      <c r="E159" s="3">
        <v>7.1169002999999995E-2</v>
      </c>
      <c r="F159" s="3">
        <v>5.2432246000000002E-2</v>
      </c>
      <c r="G159" s="3">
        <v>3.3288520000000002E-2</v>
      </c>
      <c r="H159" s="3">
        <v>8.5491295999999994E-2</v>
      </c>
      <c r="I159" s="3">
        <v>5.3185323E-2</v>
      </c>
      <c r="J159" s="3">
        <v>9.0918555999999998E-2</v>
      </c>
      <c r="K159" s="3">
        <v>4.7327284999999997E-2</v>
      </c>
      <c r="L159" s="3">
        <v>0.104776314</v>
      </c>
      <c r="M159" s="3">
        <v>6.8132317999999997E-2</v>
      </c>
      <c r="N159" s="3">
        <v>8.7647969000000006E-2</v>
      </c>
      <c r="O159" s="3">
        <v>4.4597244000000001E-2</v>
      </c>
      <c r="P159" s="3">
        <v>0.13605357500000001</v>
      </c>
      <c r="Q159" s="3">
        <v>8.1338288999999994E-2</v>
      </c>
      <c r="R159" s="3">
        <v>9.8552872999999999E-2</v>
      </c>
      <c r="S159" s="3">
        <v>2.9913506999999999E-2</v>
      </c>
      <c r="T159" s="3">
        <v>0.135720331</v>
      </c>
      <c r="U159" s="3">
        <v>6.1411360999999998E-2</v>
      </c>
      <c r="V159" s="3">
        <v>0.42017724165438142</v>
      </c>
      <c r="W159" s="3">
        <v>0.30001225947848892</v>
      </c>
      <c r="X159" s="3">
        <v>0</v>
      </c>
      <c r="Y159" s="3">
        <v>0.42017724165438142</v>
      </c>
      <c r="Z159" s="3">
        <v>0.25321739270498284</v>
      </c>
      <c r="AA159" s="3">
        <v>0</v>
      </c>
      <c r="AB159">
        <v>0</v>
      </c>
      <c r="AC159">
        <v>1</v>
      </c>
      <c r="AD159">
        <v>1</v>
      </c>
    </row>
    <row r="160" spans="1:30" x14ac:dyDescent="0.3">
      <c r="A160" s="1">
        <v>45533</v>
      </c>
      <c r="B160" s="3">
        <v>0.13642589899999999</v>
      </c>
      <c r="C160" s="3">
        <v>4.3230797000000001E-2</v>
      </c>
      <c r="D160" s="3">
        <v>0.18016298</v>
      </c>
      <c r="E160" s="3">
        <v>6.7140794000000004E-2</v>
      </c>
      <c r="F160" s="3">
        <v>2.101567E-2</v>
      </c>
      <c r="G160" s="3">
        <v>4.7348534999999997E-2</v>
      </c>
      <c r="H160" s="3">
        <v>7.1011695999999999E-2</v>
      </c>
      <c r="I160" s="3">
        <v>7.1169002999999995E-2</v>
      </c>
      <c r="J160" s="3">
        <v>5.2432246000000002E-2</v>
      </c>
      <c r="K160" s="3">
        <v>3.3288520000000002E-2</v>
      </c>
      <c r="L160" s="3">
        <v>8.5491295999999994E-2</v>
      </c>
      <c r="M160" s="3">
        <v>5.3185323E-2</v>
      </c>
      <c r="N160" s="3">
        <v>9.0918555999999998E-2</v>
      </c>
      <c r="O160" s="3">
        <v>4.7327284999999997E-2</v>
      </c>
      <c r="P160" s="3">
        <v>0.104776314</v>
      </c>
      <c r="Q160" s="3">
        <v>6.8132317999999997E-2</v>
      </c>
      <c r="R160" s="3">
        <v>8.7647969000000006E-2</v>
      </c>
      <c r="S160" s="3">
        <v>4.4597244000000001E-2</v>
      </c>
      <c r="T160" s="3">
        <v>0.13605357500000001</v>
      </c>
      <c r="U160" s="3">
        <v>8.1338288999999994E-2</v>
      </c>
      <c r="V160" s="3">
        <v>0.36280962546152595</v>
      </c>
      <c r="W160" s="3">
        <v>0.30018805231945389</v>
      </c>
      <c r="X160" s="3">
        <v>2.2282031526957617E-2</v>
      </c>
      <c r="Y160" s="3">
        <v>0.36280962546152595</v>
      </c>
      <c r="Z160" s="3">
        <v>0.25359745409525553</v>
      </c>
      <c r="AA160" s="3">
        <v>1.5653360440264823E-2</v>
      </c>
      <c r="AB160">
        <v>0</v>
      </c>
      <c r="AC160">
        <v>1</v>
      </c>
      <c r="AD160">
        <v>1</v>
      </c>
    </row>
    <row r="161" spans="1:30" x14ac:dyDescent="0.3">
      <c r="A161" s="1">
        <v>45534</v>
      </c>
      <c r="B161" s="3">
        <v>0.114481501</v>
      </c>
      <c r="C161" s="3">
        <v>3.8678034E-2</v>
      </c>
      <c r="D161" s="3">
        <v>0.13549625700000001</v>
      </c>
      <c r="E161" s="3">
        <v>8.5644565000000006E-2</v>
      </c>
      <c r="F161" s="3">
        <v>0.13642589899999999</v>
      </c>
      <c r="G161" s="3">
        <v>4.3230797000000001E-2</v>
      </c>
      <c r="H161" s="3">
        <v>0.18016298</v>
      </c>
      <c r="I161" s="3">
        <v>6.7140794000000004E-2</v>
      </c>
      <c r="J161" s="3">
        <v>2.101567E-2</v>
      </c>
      <c r="K161" s="3">
        <v>4.7348534999999997E-2</v>
      </c>
      <c r="L161" s="3">
        <v>7.1011695999999999E-2</v>
      </c>
      <c r="M161" s="3">
        <v>7.1169002999999995E-2</v>
      </c>
      <c r="N161" s="3">
        <v>5.2432246000000002E-2</v>
      </c>
      <c r="O161" s="3">
        <v>3.3288520000000002E-2</v>
      </c>
      <c r="P161" s="3">
        <v>8.5491295999999994E-2</v>
      </c>
      <c r="Q161" s="3">
        <v>5.3185323E-2</v>
      </c>
      <c r="R161" s="3">
        <v>9.0918555999999998E-2</v>
      </c>
      <c r="S161" s="3">
        <v>4.7327284999999997E-2</v>
      </c>
      <c r="T161" s="3">
        <v>0.104776314</v>
      </c>
      <c r="U161" s="3">
        <v>6.8132317999999997E-2</v>
      </c>
      <c r="V161" s="3">
        <v>0.42017724165438142</v>
      </c>
      <c r="W161" s="3">
        <v>0.29918638831576</v>
      </c>
      <c r="X161" s="3">
        <v>0</v>
      </c>
      <c r="Y161" s="3">
        <v>0.36280962546152595</v>
      </c>
      <c r="Z161" s="3">
        <v>0.2531725444826019</v>
      </c>
      <c r="AA161" s="3">
        <v>0</v>
      </c>
      <c r="AB161">
        <v>0</v>
      </c>
      <c r="AC161">
        <v>1</v>
      </c>
      <c r="AD161">
        <v>1</v>
      </c>
    </row>
    <row r="162" spans="1:30" x14ac:dyDescent="0.3">
      <c r="A162" s="1">
        <v>45537</v>
      </c>
      <c r="B162" s="3">
        <v>9.5254343000000005E-2</v>
      </c>
      <c r="C162" s="3">
        <v>4.4018928999999998E-2</v>
      </c>
      <c r="D162" s="3">
        <v>9.6256518999999999E-2</v>
      </c>
      <c r="E162" s="3">
        <v>6.9300004999999998E-2</v>
      </c>
      <c r="F162" s="3">
        <v>0.114481501</v>
      </c>
      <c r="G162" s="3">
        <v>3.8678034E-2</v>
      </c>
      <c r="H162" s="3">
        <v>0.13549625700000001</v>
      </c>
      <c r="I162" s="3">
        <v>8.5644565000000006E-2</v>
      </c>
      <c r="J162" s="3">
        <v>0.13642589899999999</v>
      </c>
      <c r="K162" s="3">
        <v>4.3230797000000001E-2</v>
      </c>
      <c r="L162" s="3">
        <v>0.18016298</v>
      </c>
      <c r="M162" s="3">
        <v>6.7140794000000004E-2</v>
      </c>
      <c r="N162" s="3">
        <v>2.101567E-2</v>
      </c>
      <c r="O162" s="3">
        <v>4.7348534999999997E-2</v>
      </c>
      <c r="P162" s="3">
        <v>7.1011695999999999E-2</v>
      </c>
      <c r="Q162" s="3">
        <v>7.1169002999999995E-2</v>
      </c>
      <c r="R162" s="3">
        <v>5.2432246000000002E-2</v>
      </c>
      <c r="S162" s="3">
        <v>3.3288520000000002E-2</v>
      </c>
      <c r="T162" s="3">
        <v>8.5491295999999994E-2</v>
      </c>
      <c r="U162" s="3">
        <v>5.3185323E-2</v>
      </c>
      <c r="V162" s="3">
        <v>0.36280962546152595</v>
      </c>
      <c r="W162" s="3">
        <v>0.29904855227561028</v>
      </c>
      <c r="X162" s="3">
        <v>5.8972049121148624E-3</v>
      </c>
      <c r="Y162" s="3">
        <v>0.3314448403948681</v>
      </c>
      <c r="Z162" s="3">
        <v>0.25313403062873213</v>
      </c>
      <c r="AA162" s="3">
        <v>3.7550544585121964E-3</v>
      </c>
      <c r="AB162">
        <v>0</v>
      </c>
      <c r="AC162">
        <v>1</v>
      </c>
      <c r="AD162">
        <v>1</v>
      </c>
    </row>
    <row r="163" spans="1:30" x14ac:dyDescent="0.3">
      <c r="A163" s="1">
        <v>45538</v>
      </c>
      <c r="B163" s="3">
        <v>8.6851495000000001E-2</v>
      </c>
      <c r="C163" s="3">
        <v>4.8255275E-2</v>
      </c>
      <c r="D163" s="3">
        <v>6.4403160000000001E-2</v>
      </c>
      <c r="E163" s="3">
        <v>6.6337509000000003E-2</v>
      </c>
      <c r="F163" s="3">
        <v>9.5254343000000005E-2</v>
      </c>
      <c r="G163" s="3">
        <v>4.4018928999999998E-2</v>
      </c>
      <c r="H163" s="3">
        <v>9.6256518999999999E-2</v>
      </c>
      <c r="I163" s="3">
        <v>6.9300004999999998E-2</v>
      </c>
      <c r="J163" s="3">
        <v>0.114481501</v>
      </c>
      <c r="K163" s="3">
        <v>3.8678034E-2</v>
      </c>
      <c r="L163" s="3">
        <v>0.13549625700000001</v>
      </c>
      <c r="M163" s="3">
        <v>8.5644565000000006E-2</v>
      </c>
      <c r="N163" s="3">
        <v>0.13642589899999999</v>
      </c>
      <c r="O163" s="3">
        <v>4.3230797000000001E-2</v>
      </c>
      <c r="P163" s="3">
        <v>0.18016298</v>
      </c>
      <c r="Q163" s="3">
        <v>6.7140794000000004E-2</v>
      </c>
      <c r="R163" s="3">
        <v>2.101567E-2</v>
      </c>
      <c r="S163" s="3">
        <v>4.7348534999999997E-2</v>
      </c>
      <c r="T163" s="3">
        <v>7.1011695999999999E-2</v>
      </c>
      <c r="U163" s="3">
        <v>7.1169002999999995E-2</v>
      </c>
      <c r="V163" s="3">
        <v>0.3314448403948681</v>
      </c>
      <c r="W163" s="3">
        <v>0.29633143565481074</v>
      </c>
      <c r="X163" s="3">
        <v>1.8630530501653753E-2</v>
      </c>
      <c r="Y163" s="3">
        <v>0.3314448403948681</v>
      </c>
      <c r="Z163" s="3">
        <v>0.25344050142073082</v>
      </c>
      <c r="AA163" s="3">
        <v>1.343758631079219E-2</v>
      </c>
      <c r="AB163">
        <v>0</v>
      </c>
      <c r="AC163">
        <v>1</v>
      </c>
      <c r="AD163">
        <v>1</v>
      </c>
    </row>
    <row r="164" spans="1:30" x14ac:dyDescent="0.3">
      <c r="A164" s="1">
        <v>45539</v>
      </c>
      <c r="B164" s="3">
        <v>0.13047326400000001</v>
      </c>
      <c r="C164" s="3">
        <v>8.0867751000000002E-2</v>
      </c>
      <c r="D164" s="3">
        <v>5.8605606999999997E-2</v>
      </c>
      <c r="E164" s="3">
        <v>0.11568223</v>
      </c>
      <c r="F164" s="3">
        <v>8.6851495000000001E-2</v>
      </c>
      <c r="G164" s="3">
        <v>4.8255275E-2</v>
      </c>
      <c r="H164" s="3">
        <v>6.4403160000000001E-2</v>
      </c>
      <c r="I164" s="3">
        <v>6.6337509000000003E-2</v>
      </c>
      <c r="J164" s="3">
        <v>9.5254343000000005E-2</v>
      </c>
      <c r="K164" s="3">
        <v>4.4018928999999998E-2</v>
      </c>
      <c r="L164" s="3">
        <v>9.6256518999999999E-2</v>
      </c>
      <c r="M164" s="3">
        <v>6.9300004999999998E-2</v>
      </c>
      <c r="N164" s="3">
        <v>0.114481501</v>
      </c>
      <c r="O164" s="3">
        <v>3.8678034E-2</v>
      </c>
      <c r="P164" s="3">
        <v>0.13549625700000001</v>
      </c>
      <c r="Q164" s="3">
        <v>8.5644565000000006E-2</v>
      </c>
      <c r="R164" s="3">
        <v>0.13642589899999999</v>
      </c>
      <c r="S164" s="3">
        <v>4.3230797000000001E-2</v>
      </c>
      <c r="T164" s="3">
        <v>0.18016298</v>
      </c>
      <c r="U164" s="3">
        <v>6.7140794000000004E-2</v>
      </c>
      <c r="V164" s="3">
        <v>0.3314448403948681</v>
      </c>
      <c r="W164" s="3">
        <v>0.31851264833017912</v>
      </c>
      <c r="X164" s="3">
        <v>0.11509497606229467</v>
      </c>
      <c r="Y164" s="3">
        <v>0.32240275535755841</v>
      </c>
      <c r="Z164" s="3">
        <v>0.26623239919723946</v>
      </c>
      <c r="AA164" s="3">
        <v>8.2124017315436684E-2</v>
      </c>
      <c r="AB164">
        <v>0</v>
      </c>
      <c r="AC164">
        <v>0</v>
      </c>
      <c r="AD164">
        <v>0</v>
      </c>
    </row>
    <row r="165" spans="1:30" x14ac:dyDescent="0.3">
      <c r="A165" s="1">
        <v>45540</v>
      </c>
      <c r="B165" s="3">
        <v>0.18979816799999999</v>
      </c>
      <c r="C165" s="3">
        <v>4.1561252E-2</v>
      </c>
      <c r="D165" s="3">
        <v>0.27645088299999998</v>
      </c>
      <c r="E165" s="3">
        <v>0.10141657</v>
      </c>
      <c r="F165" s="3">
        <v>0.13047326400000001</v>
      </c>
      <c r="G165" s="3">
        <v>8.0867751000000002E-2</v>
      </c>
      <c r="H165" s="3">
        <v>5.8605606999999997E-2</v>
      </c>
      <c r="I165" s="3">
        <v>0.11568223</v>
      </c>
      <c r="J165" s="3">
        <v>8.6851495000000001E-2</v>
      </c>
      <c r="K165" s="3">
        <v>4.8255275E-2</v>
      </c>
      <c r="L165" s="3">
        <v>6.4403160000000001E-2</v>
      </c>
      <c r="M165" s="3">
        <v>6.6337509000000003E-2</v>
      </c>
      <c r="N165" s="3">
        <v>9.5254343000000005E-2</v>
      </c>
      <c r="O165" s="3">
        <v>4.4018928999999998E-2</v>
      </c>
      <c r="P165" s="3">
        <v>9.6256518999999999E-2</v>
      </c>
      <c r="Q165" s="3">
        <v>6.9300004999999998E-2</v>
      </c>
      <c r="R165" s="3">
        <v>0.114481501</v>
      </c>
      <c r="S165" s="3">
        <v>3.8678034E-2</v>
      </c>
      <c r="T165" s="3">
        <v>0.13549625700000001</v>
      </c>
      <c r="U165" s="3">
        <v>8.5644565000000006E-2</v>
      </c>
      <c r="V165" s="3">
        <v>0.36280962546152595</v>
      </c>
      <c r="W165" s="3">
        <v>0.3186373124298702</v>
      </c>
      <c r="X165" s="3">
        <v>0</v>
      </c>
      <c r="Y165" s="3">
        <v>0.3314448403948681</v>
      </c>
      <c r="Z165" s="3">
        <v>0.26631047297470511</v>
      </c>
      <c r="AA165" s="3">
        <v>0</v>
      </c>
      <c r="AB165">
        <v>1</v>
      </c>
      <c r="AC165">
        <v>0</v>
      </c>
      <c r="AD165">
        <v>1</v>
      </c>
    </row>
    <row r="166" spans="1:30" x14ac:dyDescent="0.3">
      <c r="A166" s="1">
        <v>45541</v>
      </c>
      <c r="B166" s="3">
        <v>0.15633649599999999</v>
      </c>
      <c r="C166" s="3">
        <v>4.1672002E-2</v>
      </c>
      <c r="D166" s="3">
        <v>0.31226448299999998</v>
      </c>
      <c r="E166" s="3">
        <v>7.7892876999999999E-2</v>
      </c>
      <c r="F166" s="3">
        <v>0.18979816799999999</v>
      </c>
      <c r="G166" s="3">
        <v>4.1561252E-2</v>
      </c>
      <c r="H166" s="3">
        <v>0.27645088299999998</v>
      </c>
      <c r="I166" s="3">
        <v>0.10141657</v>
      </c>
      <c r="J166" s="3">
        <v>0.13047326400000001</v>
      </c>
      <c r="K166" s="3">
        <v>8.0867751000000002E-2</v>
      </c>
      <c r="L166" s="3">
        <v>5.8605606999999997E-2</v>
      </c>
      <c r="M166" s="3">
        <v>0.11568223</v>
      </c>
      <c r="N166" s="3">
        <v>8.6851495000000001E-2</v>
      </c>
      <c r="O166" s="3">
        <v>4.8255275E-2</v>
      </c>
      <c r="P166" s="3">
        <v>6.4403160000000001E-2</v>
      </c>
      <c r="Q166" s="3">
        <v>6.6337509000000003E-2</v>
      </c>
      <c r="R166" s="3">
        <v>9.5254343000000005E-2</v>
      </c>
      <c r="S166" s="3">
        <v>4.4018928999999998E-2</v>
      </c>
      <c r="T166" s="3">
        <v>9.6256518999999999E-2</v>
      </c>
      <c r="U166" s="3">
        <v>6.9300004999999998E-2</v>
      </c>
      <c r="V166" s="3">
        <v>0.36280962546152595</v>
      </c>
      <c r="W166" s="3">
        <v>0.31861463106322901</v>
      </c>
      <c r="X166" s="3">
        <v>0</v>
      </c>
      <c r="Y166" s="3">
        <v>0.36280962546152595</v>
      </c>
      <c r="Z166" s="3">
        <v>0.2669732232239207</v>
      </c>
      <c r="AA166" s="3">
        <v>0</v>
      </c>
      <c r="AB166">
        <v>1</v>
      </c>
      <c r="AC166">
        <v>0</v>
      </c>
      <c r="AD166">
        <v>1</v>
      </c>
    </row>
    <row r="167" spans="1:30" x14ac:dyDescent="0.3">
      <c r="A167" s="1">
        <v>45544</v>
      </c>
      <c r="B167" s="3">
        <v>0.17699506400000001</v>
      </c>
      <c r="C167" s="3">
        <v>9.7660188999999994E-2</v>
      </c>
      <c r="D167" s="3">
        <v>0.32339160700000003</v>
      </c>
      <c r="E167" s="3">
        <v>0.12245177</v>
      </c>
      <c r="F167" s="3">
        <v>0.15633649599999999</v>
      </c>
      <c r="G167" s="3">
        <v>4.1672002E-2</v>
      </c>
      <c r="H167" s="3">
        <v>0.31226448299999998</v>
      </c>
      <c r="I167" s="3">
        <v>7.7892876999999999E-2</v>
      </c>
      <c r="J167" s="3">
        <v>0.18979816799999999</v>
      </c>
      <c r="K167" s="3">
        <v>4.1561252E-2</v>
      </c>
      <c r="L167" s="3">
        <v>0.27645088299999998</v>
      </c>
      <c r="M167" s="3">
        <v>0.10141657</v>
      </c>
      <c r="N167" s="3">
        <v>0.13047326400000001</v>
      </c>
      <c r="O167" s="3">
        <v>8.0867751000000002E-2</v>
      </c>
      <c r="P167" s="3">
        <v>5.8605606999999997E-2</v>
      </c>
      <c r="Q167" s="3">
        <v>0.11568223</v>
      </c>
      <c r="R167" s="3">
        <v>8.6851495000000001E-2</v>
      </c>
      <c r="S167" s="3">
        <v>4.8255275E-2</v>
      </c>
      <c r="T167" s="3">
        <v>6.4403160000000001E-2</v>
      </c>
      <c r="U167" s="3">
        <v>6.6337509000000003E-2</v>
      </c>
      <c r="V167" s="3">
        <v>0.3314448403948681</v>
      </c>
      <c r="W167" s="3">
        <v>0.31796775908569153</v>
      </c>
      <c r="X167" s="3">
        <v>1.9788002777458485E-2</v>
      </c>
      <c r="Y167" s="3">
        <v>0.36280962546152595</v>
      </c>
      <c r="Z167" s="3">
        <v>0.26632060847455258</v>
      </c>
      <c r="AA167" s="3">
        <v>1.542391777037321E-2</v>
      </c>
      <c r="AB167">
        <v>1</v>
      </c>
      <c r="AC167">
        <v>0</v>
      </c>
      <c r="AD167">
        <v>1</v>
      </c>
    </row>
    <row r="168" spans="1:30" x14ac:dyDescent="0.3">
      <c r="A168" s="1">
        <v>45545</v>
      </c>
      <c r="B168" s="3">
        <v>0.14487836700000001</v>
      </c>
      <c r="C168" s="3">
        <v>5.5627878999999998E-2</v>
      </c>
      <c r="D168" s="3">
        <v>0.187221042</v>
      </c>
      <c r="E168" s="3">
        <v>9.0515024999999999E-2</v>
      </c>
      <c r="F168" s="3">
        <v>0.17699506400000001</v>
      </c>
      <c r="G168" s="3">
        <v>9.7660188999999994E-2</v>
      </c>
      <c r="H168" s="3">
        <v>0.32339160700000003</v>
      </c>
      <c r="I168" s="3">
        <v>0.12245177</v>
      </c>
      <c r="J168" s="3">
        <v>0.15633649599999999</v>
      </c>
      <c r="K168" s="3">
        <v>4.1672002E-2</v>
      </c>
      <c r="L168" s="3">
        <v>0.31226448299999998</v>
      </c>
      <c r="M168" s="3">
        <v>7.7892876999999999E-2</v>
      </c>
      <c r="N168" s="3">
        <v>0.18979816799999999</v>
      </c>
      <c r="O168" s="3">
        <v>4.1561252E-2</v>
      </c>
      <c r="P168" s="3">
        <v>0.27645088299999998</v>
      </c>
      <c r="Q168" s="3">
        <v>0.10141657</v>
      </c>
      <c r="R168" s="3">
        <v>0.13047326400000001</v>
      </c>
      <c r="S168" s="3">
        <v>8.0867751000000002E-2</v>
      </c>
      <c r="T168" s="3">
        <v>5.8605606999999997E-2</v>
      </c>
      <c r="U168" s="3">
        <v>0.11568223</v>
      </c>
      <c r="V168" s="3">
        <v>0.32240275535755841</v>
      </c>
      <c r="W168" s="3">
        <v>0.31739740054756443</v>
      </c>
      <c r="X168" s="3">
        <v>9.2220981980658968E-3</v>
      </c>
      <c r="Y168" s="3">
        <v>0.3314448403948681</v>
      </c>
      <c r="Z168" s="3">
        <v>0.26631431864489252</v>
      </c>
      <c r="AA168" s="3">
        <v>8.1742595032692055E-3</v>
      </c>
      <c r="AB168">
        <v>1</v>
      </c>
      <c r="AC168">
        <v>0</v>
      </c>
      <c r="AD168">
        <v>1</v>
      </c>
    </row>
    <row r="169" spans="1:30" x14ac:dyDescent="0.3">
      <c r="A169" s="1">
        <v>45546</v>
      </c>
      <c r="B169" s="3">
        <v>8.5615109999999994E-2</v>
      </c>
      <c r="C169" s="3">
        <v>6.3856277000000003E-2</v>
      </c>
      <c r="D169" s="3">
        <v>0.103233481</v>
      </c>
      <c r="E169" s="3">
        <v>0.12044395200000001</v>
      </c>
      <c r="F169" s="3">
        <v>0.14487836700000001</v>
      </c>
      <c r="G169" s="3">
        <v>5.5627878999999998E-2</v>
      </c>
      <c r="H169" s="3">
        <v>0.187221042</v>
      </c>
      <c r="I169" s="3">
        <v>9.0515024999999999E-2</v>
      </c>
      <c r="J169" s="3">
        <v>0.17699506400000001</v>
      </c>
      <c r="K169" s="3">
        <v>9.7660188999999994E-2</v>
      </c>
      <c r="L169" s="3">
        <v>0.32339160700000003</v>
      </c>
      <c r="M169" s="3">
        <v>0.12245177</v>
      </c>
      <c r="N169" s="3">
        <v>0.15633649599999999</v>
      </c>
      <c r="O169" s="3">
        <v>4.1672002E-2</v>
      </c>
      <c r="P169" s="3">
        <v>0.31226448299999998</v>
      </c>
      <c r="Q169" s="3">
        <v>7.7892876999999999E-2</v>
      </c>
      <c r="R169" s="3">
        <v>0.18979816799999999</v>
      </c>
      <c r="S169" s="3">
        <v>4.1561252E-2</v>
      </c>
      <c r="T169" s="3">
        <v>0.27645088299999998</v>
      </c>
      <c r="U169" s="3">
        <v>0.10141657</v>
      </c>
      <c r="V169" s="3">
        <v>0.32240275535755841</v>
      </c>
      <c r="W169" s="3">
        <v>0.31741891752252632</v>
      </c>
      <c r="X169" s="3">
        <v>3.6509536161229302E-3</v>
      </c>
      <c r="Y169" s="3">
        <v>0.3314448403948681</v>
      </c>
      <c r="Z169" s="3">
        <v>0.26632542182215779</v>
      </c>
      <c r="AA169" s="3">
        <v>4.2681674262852014E-3</v>
      </c>
      <c r="AB169">
        <v>1</v>
      </c>
      <c r="AC169">
        <v>0</v>
      </c>
      <c r="AD169">
        <v>1</v>
      </c>
    </row>
    <row r="170" spans="1:30" x14ac:dyDescent="0.3">
      <c r="A170" s="1">
        <v>45547</v>
      </c>
      <c r="B170" s="3">
        <v>0.19055033800000001</v>
      </c>
      <c r="C170" s="3">
        <v>0.104880864</v>
      </c>
      <c r="D170" s="3">
        <v>0.394777567</v>
      </c>
      <c r="E170" s="3">
        <v>0.14779725599999999</v>
      </c>
      <c r="F170" s="3">
        <v>8.5615109999999994E-2</v>
      </c>
      <c r="G170" s="3">
        <v>6.3856277000000003E-2</v>
      </c>
      <c r="H170" s="3">
        <v>0.103233481</v>
      </c>
      <c r="I170" s="3">
        <v>0.12044395200000001</v>
      </c>
      <c r="J170" s="3">
        <v>0.14487836700000001</v>
      </c>
      <c r="K170" s="3">
        <v>5.5627878999999998E-2</v>
      </c>
      <c r="L170" s="3">
        <v>0.187221042</v>
      </c>
      <c r="M170" s="3">
        <v>9.0515024999999999E-2</v>
      </c>
      <c r="N170" s="3">
        <v>0.17699506400000001</v>
      </c>
      <c r="O170" s="3">
        <v>9.7660188999999994E-2</v>
      </c>
      <c r="P170" s="3">
        <v>0.32339160700000003</v>
      </c>
      <c r="Q170" s="3">
        <v>0.12245177</v>
      </c>
      <c r="R170" s="3">
        <v>0.15633649599999999</v>
      </c>
      <c r="S170" s="3">
        <v>4.1672002E-2</v>
      </c>
      <c r="T170" s="3">
        <v>0.31226448299999998</v>
      </c>
      <c r="U170" s="3">
        <v>7.7892876999999999E-2</v>
      </c>
      <c r="V170" s="3">
        <v>0.32240275535755841</v>
      </c>
      <c r="W170" s="3">
        <v>0.32431436029479083</v>
      </c>
      <c r="X170" s="3">
        <v>0</v>
      </c>
      <c r="Y170" s="3">
        <v>0.36280962546152595</v>
      </c>
      <c r="Z170" s="3">
        <v>0.27072449953089767</v>
      </c>
      <c r="AA170" s="3">
        <v>0</v>
      </c>
      <c r="AB170">
        <v>1</v>
      </c>
      <c r="AC170">
        <v>0</v>
      </c>
      <c r="AD170">
        <v>1</v>
      </c>
    </row>
    <row r="171" spans="1:30" x14ac:dyDescent="0.3">
      <c r="A171" s="1">
        <v>45548</v>
      </c>
      <c r="B171" s="3">
        <v>0.19094851600000001</v>
      </c>
      <c r="C171" s="3">
        <v>6.2065059999999998E-2</v>
      </c>
      <c r="D171" s="3">
        <v>0.29247876299999997</v>
      </c>
      <c r="E171" s="3">
        <v>0.121679369</v>
      </c>
      <c r="F171" s="3">
        <v>0.19055033800000001</v>
      </c>
      <c r="G171" s="3">
        <v>0.104880864</v>
      </c>
      <c r="H171" s="3">
        <v>0.394777567</v>
      </c>
      <c r="I171" s="3">
        <v>0.14779725599999999</v>
      </c>
      <c r="J171" s="3">
        <v>8.5615109999999994E-2</v>
      </c>
      <c r="K171" s="3">
        <v>6.3856277000000003E-2</v>
      </c>
      <c r="L171" s="3">
        <v>0.103233481</v>
      </c>
      <c r="M171" s="3">
        <v>0.12044395200000001</v>
      </c>
      <c r="N171" s="3">
        <v>0.14487836700000001</v>
      </c>
      <c r="O171" s="3">
        <v>5.5627878999999998E-2</v>
      </c>
      <c r="P171" s="3">
        <v>0.187221042</v>
      </c>
      <c r="Q171" s="3">
        <v>9.0515024999999999E-2</v>
      </c>
      <c r="R171" s="3">
        <v>0.17699506400000001</v>
      </c>
      <c r="S171" s="3">
        <v>9.7660188999999994E-2</v>
      </c>
      <c r="T171" s="3">
        <v>0.32339160700000003</v>
      </c>
      <c r="U171" s="3">
        <v>0.12245177</v>
      </c>
      <c r="V171" s="3">
        <v>0.32240275535755841</v>
      </c>
      <c r="W171" s="3">
        <v>0.32085655665874108</v>
      </c>
      <c r="X171" s="3">
        <v>0</v>
      </c>
      <c r="Y171" s="3">
        <v>0.36280962546152595</v>
      </c>
      <c r="Z171" s="3">
        <v>0.26860971425434976</v>
      </c>
      <c r="AA171" s="3">
        <v>0</v>
      </c>
      <c r="AB171">
        <v>1</v>
      </c>
      <c r="AC171">
        <v>0</v>
      </c>
      <c r="AD171">
        <v>1</v>
      </c>
    </row>
    <row r="172" spans="1:30" x14ac:dyDescent="0.3">
      <c r="A172" s="1">
        <v>45551</v>
      </c>
      <c r="B172" s="3">
        <v>0.22542399699999999</v>
      </c>
      <c r="C172" s="3">
        <v>0.20866084600000001</v>
      </c>
      <c r="D172" s="3">
        <v>0.34871934300000001</v>
      </c>
      <c r="E172" s="3">
        <v>0.19005429500000001</v>
      </c>
      <c r="F172" s="3">
        <v>0.19094851600000001</v>
      </c>
      <c r="G172" s="3">
        <v>6.2065059999999998E-2</v>
      </c>
      <c r="H172" s="3">
        <v>0.29247876299999997</v>
      </c>
      <c r="I172" s="3">
        <v>0.121679369</v>
      </c>
      <c r="J172" s="3">
        <v>0.19055033800000001</v>
      </c>
      <c r="K172" s="3">
        <v>0.104880864</v>
      </c>
      <c r="L172" s="3">
        <v>0.394777567</v>
      </c>
      <c r="M172" s="3">
        <v>0.14779725599999999</v>
      </c>
      <c r="N172" s="3">
        <v>8.5615109999999994E-2</v>
      </c>
      <c r="O172" s="3">
        <v>6.3856277000000003E-2</v>
      </c>
      <c r="P172" s="3">
        <v>0.103233481</v>
      </c>
      <c r="Q172" s="3">
        <v>0.12044395200000001</v>
      </c>
      <c r="R172" s="3">
        <v>0.14487836700000001</v>
      </c>
      <c r="S172" s="3">
        <v>5.5627878999999998E-2</v>
      </c>
      <c r="T172" s="3">
        <v>0.187221042</v>
      </c>
      <c r="U172" s="3">
        <v>9.0515024999999999E-2</v>
      </c>
      <c r="V172" s="3">
        <v>0.32240275535755841</v>
      </c>
      <c r="W172" s="3">
        <v>0.32021459214989539</v>
      </c>
      <c r="X172" s="3">
        <v>0</v>
      </c>
      <c r="Y172" s="3">
        <v>0.36280962546152595</v>
      </c>
      <c r="Z172" s="3">
        <v>0.26861942431438657</v>
      </c>
      <c r="AA172" s="3">
        <v>0</v>
      </c>
      <c r="AB172">
        <v>1</v>
      </c>
      <c r="AC172">
        <v>0</v>
      </c>
      <c r="AD172">
        <v>1</v>
      </c>
    </row>
    <row r="173" spans="1:30" x14ac:dyDescent="0.3">
      <c r="A173" s="1">
        <v>45553</v>
      </c>
      <c r="B173" s="3">
        <v>3.2182054000000002E-2</v>
      </c>
      <c r="C173" s="3">
        <v>7.6645188000000003E-2</v>
      </c>
      <c r="D173" s="3">
        <v>3.5406699E-2</v>
      </c>
      <c r="E173" s="3">
        <v>5.4194052E-2</v>
      </c>
      <c r="F173" s="3">
        <v>0.22542399699999999</v>
      </c>
      <c r="G173" s="3">
        <v>0.20866084600000001</v>
      </c>
      <c r="H173" s="3">
        <v>0.34871934300000001</v>
      </c>
      <c r="I173" s="3">
        <v>0.19005429500000001</v>
      </c>
      <c r="J173" s="3">
        <v>0.19094851600000001</v>
      </c>
      <c r="K173" s="3">
        <v>6.2065059999999998E-2</v>
      </c>
      <c r="L173" s="3">
        <v>0.29247876299999997</v>
      </c>
      <c r="M173" s="3">
        <v>0.121679369</v>
      </c>
      <c r="N173" s="3">
        <v>0.19055033800000001</v>
      </c>
      <c r="O173" s="3">
        <v>0.104880864</v>
      </c>
      <c r="P173" s="3">
        <v>0.394777567</v>
      </c>
      <c r="Q173" s="3">
        <v>0.14779725599999999</v>
      </c>
      <c r="R173" s="3">
        <v>8.5615109999999994E-2</v>
      </c>
      <c r="S173" s="3">
        <v>6.3856277000000003E-2</v>
      </c>
      <c r="T173" s="3">
        <v>0.103233481</v>
      </c>
      <c r="U173" s="3">
        <v>0.12044395200000001</v>
      </c>
      <c r="V173" s="3">
        <v>0.32240275535755841</v>
      </c>
      <c r="W173" s="3">
        <v>0.32010225721780039</v>
      </c>
      <c r="X173" s="3">
        <v>1.3406032288615704E-2</v>
      </c>
      <c r="Y173" s="3">
        <v>0.36280962546152595</v>
      </c>
      <c r="Z173" s="3">
        <v>0.268841989524231</v>
      </c>
      <c r="AA173" s="3">
        <v>1.1424750449941252E-2</v>
      </c>
      <c r="AB173">
        <v>1</v>
      </c>
      <c r="AC173">
        <v>0</v>
      </c>
      <c r="AD173">
        <v>1</v>
      </c>
    </row>
    <row r="174" spans="1:30" x14ac:dyDescent="0.3">
      <c r="A174" s="1">
        <v>45554</v>
      </c>
      <c r="B174" s="3">
        <v>7.7846034999999994E-2</v>
      </c>
      <c r="C174" s="3">
        <v>3.7615014000000002E-2</v>
      </c>
      <c r="D174" s="3">
        <v>0.15145868200000001</v>
      </c>
      <c r="E174" s="3">
        <v>5.4145206000000001E-2</v>
      </c>
      <c r="F174" s="3">
        <v>3.2182054000000002E-2</v>
      </c>
      <c r="G174" s="3">
        <v>7.6645188000000003E-2</v>
      </c>
      <c r="H174" s="3">
        <v>3.5406699E-2</v>
      </c>
      <c r="I174" s="3">
        <v>5.4194052E-2</v>
      </c>
      <c r="J174" s="3">
        <v>0.22542399699999999</v>
      </c>
      <c r="K174" s="3">
        <v>0.20866084600000001</v>
      </c>
      <c r="L174" s="3">
        <v>0.34871934300000001</v>
      </c>
      <c r="M174" s="3">
        <v>0.19005429500000001</v>
      </c>
      <c r="N174" s="3">
        <v>0.19094851600000001</v>
      </c>
      <c r="O174" s="3">
        <v>6.2065059999999998E-2</v>
      </c>
      <c r="P174" s="3">
        <v>0.29247876299999997</v>
      </c>
      <c r="Q174" s="3">
        <v>0.121679369</v>
      </c>
      <c r="R174" s="3">
        <v>0.19055033800000001</v>
      </c>
      <c r="S174" s="3">
        <v>0.104880864</v>
      </c>
      <c r="T174" s="3">
        <v>0.394777567</v>
      </c>
      <c r="U174" s="3">
        <v>0.14779725599999999</v>
      </c>
      <c r="V174" s="3">
        <v>0.3314448403948681</v>
      </c>
      <c r="W174" s="3">
        <v>0.3215474427886767</v>
      </c>
      <c r="X174" s="3">
        <v>0</v>
      </c>
      <c r="Y174" s="3">
        <v>0.42017724165438142</v>
      </c>
      <c r="Z174" s="3">
        <v>0.27011555747334581</v>
      </c>
      <c r="AA174" s="3">
        <v>0</v>
      </c>
      <c r="AB174">
        <v>1</v>
      </c>
      <c r="AC174">
        <v>0</v>
      </c>
      <c r="AD174">
        <v>1</v>
      </c>
    </row>
    <row r="175" spans="1:30" x14ac:dyDescent="0.3">
      <c r="A175" s="1">
        <v>45555</v>
      </c>
      <c r="B175" s="3">
        <v>9.9797035000000006E-2</v>
      </c>
      <c r="C175" s="3">
        <v>3.9545980000000001E-2</v>
      </c>
      <c r="D175" s="3">
        <v>0.109406405</v>
      </c>
      <c r="E175" s="3">
        <v>7.7220523999999999E-2</v>
      </c>
      <c r="F175" s="3">
        <v>7.7846034999999994E-2</v>
      </c>
      <c r="G175" s="3">
        <v>3.7615014000000002E-2</v>
      </c>
      <c r="H175" s="3">
        <v>0.15145868200000001</v>
      </c>
      <c r="I175" s="3">
        <v>5.4145206000000001E-2</v>
      </c>
      <c r="J175" s="3">
        <v>3.2182054000000002E-2</v>
      </c>
      <c r="K175" s="3">
        <v>7.6645188000000003E-2</v>
      </c>
      <c r="L175" s="3">
        <v>3.5406699E-2</v>
      </c>
      <c r="M175" s="3">
        <v>5.4194052E-2</v>
      </c>
      <c r="N175" s="3">
        <v>0.22542399699999999</v>
      </c>
      <c r="O175" s="3">
        <v>0.20866084600000001</v>
      </c>
      <c r="P175" s="3">
        <v>0.34871934300000001</v>
      </c>
      <c r="Q175" s="3">
        <v>0.19005429500000001</v>
      </c>
      <c r="R175" s="3">
        <v>0.19094851600000001</v>
      </c>
      <c r="S175" s="3">
        <v>6.2065059999999998E-2</v>
      </c>
      <c r="T175" s="3">
        <v>0.29247876299999997</v>
      </c>
      <c r="U175" s="3">
        <v>0.121679369</v>
      </c>
      <c r="V175" s="3">
        <v>0.3314448403948681</v>
      </c>
      <c r="W175" s="3">
        <v>0.32172684884058889</v>
      </c>
      <c r="X175" s="3">
        <v>0</v>
      </c>
      <c r="Y175" s="3">
        <v>0.42017724165438142</v>
      </c>
      <c r="Z175" s="3">
        <v>0.27017675343383585</v>
      </c>
      <c r="AA175" s="3">
        <v>0</v>
      </c>
      <c r="AB175">
        <v>1</v>
      </c>
      <c r="AC175">
        <v>0</v>
      </c>
      <c r="AD175">
        <v>1</v>
      </c>
    </row>
    <row r="176" spans="1:30" x14ac:dyDescent="0.3">
      <c r="A176" s="1">
        <v>45558</v>
      </c>
      <c r="B176" s="3">
        <v>6.3212843000000005E-2</v>
      </c>
      <c r="C176" s="3">
        <v>4.4960900999999998E-2</v>
      </c>
      <c r="D176" s="3">
        <v>0.103986865</v>
      </c>
      <c r="E176" s="3">
        <v>6.3038267999999995E-2</v>
      </c>
      <c r="F176" s="3">
        <v>9.9797035000000006E-2</v>
      </c>
      <c r="G176" s="3">
        <v>3.9545980000000001E-2</v>
      </c>
      <c r="H176" s="3">
        <v>0.109406405</v>
      </c>
      <c r="I176" s="3">
        <v>7.7220523999999999E-2</v>
      </c>
      <c r="J176" s="3">
        <v>7.7846034999999994E-2</v>
      </c>
      <c r="K176" s="3">
        <v>3.7615014000000002E-2</v>
      </c>
      <c r="L176" s="3">
        <v>0.15145868200000001</v>
      </c>
      <c r="M176" s="3">
        <v>5.4145206000000001E-2</v>
      </c>
      <c r="N176" s="3">
        <v>3.2182054000000002E-2</v>
      </c>
      <c r="O176" s="3">
        <v>7.6645188000000003E-2</v>
      </c>
      <c r="P176" s="3">
        <v>3.5406699E-2</v>
      </c>
      <c r="Q176" s="3">
        <v>5.4194052E-2</v>
      </c>
      <c r="R176" s="3">
        <v>0.22542399699999999</v>
      </c>
      <c r="S176" s="3">
        <v>0.20866084600000001</v>
      </c>
      <c r="T176" s="3">
        <v>0.34871934300000001</v>
      </c>
      <c r="U176" s="3">
        <v>0.19005429500000001</v>
      </c>
      <c r="V176" s="3">
        <v>0.3314448403948681</v>
      </c>
      <c r="W176" s="3">
        <v>0.32161672262812607</v>
      </c>
      <c r="X176" s="3">
        <v>0</v>
      </c>
      <c r="Y176" s="3">
        <v>0.4771918139576104</v>
      </c>
      <c r="Z176" s="3">
        <v>0.27011741655551885</v>
      </c>
      <c r="AA176" s="3">
        <v>0</v>
      </c>
      <c r="AB176">
        <v>0</v>
      </c>
      <c r="AC176">
        <v>0</v>
      </c>
      <c r="AD176">
        <v>0</v>
      </c>
    </row>
    <row r="177" spans="1:30" x14ac:dyDescent="0.3">
      <c r="A177" s="1">
        <v>45559</v>
      </c>
      <c r="B177" s="3">
        <v>2.5010935000000001E-2</v>
      </c>
      <c r="C177" s="3">
        <v>4.1916720999999997E-2</v>
      </c>
      <c r="D177" s="3">
        <v>9.3730521999999997E-2</v>
      </c>
      <c r="E177" s="3">
        <v>7.433244E-2</v>
      </c>
      <c r="F177" s="3">
        <v>6.3212843000000005E-2</v>
      </c>
      <c r="G177" s="3">
        <v>4.4960900999999998E-2</v>
      </c>
      <c r="H177" s="3">
        <v>0.103986865</v>
      </c>
      <c r="I177" s="3">
        <v>6.3038267999999995E-2</v>
      </c>
      <c r="J177" s="3">
        <v>9.9797035000000006E-2</v>
      </c>
      <c r="K177" s="3">
        <v>3.9545980000000001E-2</v>
      </c>
      <c r="L177" s="3">
        <v>0.109406405</v>
      </c>
      <c r="M177" s="3">
        <v>7.7220523999999999E-2</v>
      </c>
      <c r="N177" s="3">
        <v>7.7846034999999994E-2</v>
      </c>
      <c r="O177" s="3">
        <v>3.7615014000000002E-2</v>
      </c>
      <c r="P177" s="3">
        <v>0.15145868200000001</v>
      </c>
      <c r="Q177" s="3">
        <v>5.4145206000000001E-2</v>
      </c>
      <c r="R177" s="3">
        <v>3.2182054000000002E-2</v>
      </c>
      <c r="S177" s="3">
        <v>7.6645188000000003E-2</v>
      </c>
      <c r="T177" s="3">
        <v>3.5406699E-2</v>
      </c>
      <c r="U177" s="3">
        <v>5.4194052E-2</v>
      </c>
      <c r="V177" s="3">
        <v>0.36280962546152595</v>
      </c>
      <c r="W177" s="3">
        <v>0.32182528669898175</v>
      </c>
      <c r="X177" s="3">
        <v>0</v>
      </c>
      <c r="Y177" s="3">
        <v>0.4771918139576104</v>
      </c>
      <c r="Z177" s="3">
        <v>0.27006723218995221</v>
      </c>
      <c r="AA177" s="3">
        <v>0</v>
      </c>
      <c r="AB177">
        <v>0</v>
      </c>
      <c r="AC177">
        <v>0</v>
      </c>
      <c r="AD177">
        <v>0</v>
      </c>
    </row>
    <row r="178" spans="1:30" x14ac:dyDescent="0.3">
      <c r="A178" s="1">
        <v>45560</v>
      </c>
      <c r="B178" s="3">
        <v>2.1491455E-2</v>
      </c>
      <c r="C178" s="3">
        <v>3.8836374999999999E-2</v>
      </c>
      <c r="D178" s="3">
        <v>6.0860662000000003E-2</v>
      </c>
      <c r="E178" s="3">
        <v>6.8410576000000001E-2</v>
      </c>
      <c r="F178" s="3">
        <v>2.5010935000000001E-2</v>
      </c>
      <c r="G178" s="3">
        <v>4.1916720999999997E-2</v>
      </c>
      <c r="H178" s="3">
        <v>9.3730521999999997E-2</v>
      </c>
      <c r="I178" s="3">
        <v>7.433244E-2</v>
      </c>
      <c r="J178" s="3">
        <v>6.3212843000000005E-2</v>
      </c>
      <c r="K178" s="3">
        <v>4.4960900999999998E-2</v>
      </c>
      <c r="L178" s="3">
        <v>0.103986865</v>
      </c>
      <c r="M178" s="3">
        <v>6.3038267999999995E-2</v>
      </c>
      <c r="N178" s="3">
        <v>9.9797035000000006E-2</v>
      </c>
      <c r="O178" s="3">
        <v>3.9545980000000001E-2</v>
      </c>
      <c r="P178" s="3">
        <v>0.109406405</v>
      </c>
      <c r="Q178" s="3">
        <v>7.7220523999999999E-2</v>
      </c>
      <c r="R178" s="3">
        <v>7.7846034999999994E-2</v>
      </c>
      <c r="S178" s="3">
        <v>3.7615014000000002E-2</v>
      </c>
      <c r="T178" s="3">
        <v>0.15145868200000001</v>
      </c>
      <c r="U178" s="3">
        <v>5.4145206000000001E-2</v>
      </c>
      <c r="V178" s="3">
        <v>0.36280962546152595</v>
      </c>
      <c r="W178" s="3">
        <v>0.32347455115697626</v>
      </c>
      <c r="X178" s="3">
        <v>0</v>
      </c>
      <c r="Y178" s="3">
        <v>0.516354801996737</v>
      </c>
      <c r="Z178" s="3">
        <v>0.27100952183070948</v>
      </c>
      <c r="AA178" s="3">
        <v>0</v>
      </c>
      <c r="AB178">
        <v>0</v>
      </c>
      <c r="AC178">
        <v>1</v>
      </c>
      <c r="AD178">
        <v>1</v>
      </c>
    </row>
    <row r="179" spans="1:30" x14ac:dyDescent="0.3">
      <c r="A179" s="1">
        <v>45561</v>
      </c>
      <c r="B179" s="3">
        <v>0.120718933</v>
      </c>
      <c r="C179" s="3">
        <v>4.4981439999999998E-2</v>
      </c>
      <c r="D179" s="3">
        <v>0.13939986300000001</v>
      </c>
      <c r="E179" s="3">
        <v>7.0558184999999995E-2</v>
      </c>
      <c r="F179" s="3">
        <v>2.1491455E-2</v>
      </c>
      <c r="G179" s="3">
        <v>3.8836374999999999E-2</v>
      </c>
      <c r="H179" s="3">
        <v>6.0860662000000003E-2</v>
      </c>
      <c r="I179" s="3">
        <v>6.8410576000000001E-2</v>
      </c>
      <c r="J179" s="3">
        <v>2.5010935000000001E-2</v>
      </c>
      <c r="K179" s="3">
        <v>4.1916720999999997E-2</v>
      </c>
      <c r="L179" s="3">
        <v>9.3730521999999997E-2</v>
      </c>
      <c r="M179" s="3">
        <v>7.433244E-2</v>
      </c>
      <c r="N179" s="3">
        <v>6.3212843000000005E-2</v>
      </c>
      <c r="O179" s="3">
        <v>4.4960900999999998E-2</v>
      </c>
      <c r="P179" s="3">
        <v>0.103986865</v>
      </c>
      <c r="Q179" s="3">
        <v>6.3038267999999995E-2</v>
      </c>
      <c r="R179" s="3">
        <v>9.9797035000000006E-2</v>
      </c>
      <c r="S179" s="3">
        <v>3.9545980000000001E-2</v>
      </c>
      <c r="T179" s="3">
        <v>0.109406405</v>
      </c>
      <c r="U179" s="3">
        <v>7.7220523999999999E-2</v>
      </c>
      <c r="V179" s="3">
        <v>0.42017724165438142</v>
      </c>
      <c r="W179" s="3">
        <v>0.32359588426773767</v>
      </c>
      <c r="X179" s="3">
        <v>0</v>
      </c>
      <c r="Y179" s="3">
        <v>0.516354801996737</v>
      </c>
      <c r="Z179" s="3">
        <v>0.27041138499243789</v>
      </c>
      <c r="AA179" s="3">
        <v>0</v>
      </c>
      <c r="AB179">
        <v>0</v>
      </c>
      <c r="AC179">
        <v>0</v>
      </c>
      <c r="AD179">
        <v>0</v>
      </c>
    </row>
    <row r="180" spans="1:30" x14ac:dyDescent="0.3">
      <c r="A180" s="1">
        <v>45562</v>
      </c>
      <c r="B180" s="3">
        <v>0.13476965399999999</v>
      </c>
      <c r="C180" s="3">
        <v>4.0269267999999997E-2</v>
      </c>
      <c r="D180" s="3">
        <v>9.6426781000000003E-2</v>
      </c>
      <c r="E180" s="3">
        <v>7.1781782000000002E-2</v>
      </c>
      <c r="F180" s="3">
        <v>0.120718933</v>
      </c>
      <c r="G180" s="3">
        <v>4.4981439999999998E-2</v>
      </c>
      <c r="H180" s="3">
        <v>0.13939986300000001</v>
      </c>
      <c r="I180" s="3">
        <v>7.0558184999999995E-2</v>
      </c>
      <c r="J180" s="3">
        <v>2.1491455E-2</v>
      </c>
      <c r="K180" s="3">
        <v>3.8836374999999999E-2</v>
      </c>
      <c r="L180" s="3">
        <v>6.0860662000000003E-2</v>
      </c>
      <c r="M180" s="3">
        <v>6.8410576000000001E-2</v>
      </c>
      <c r="N180" s="3">
        <v>2.5010935000000001E-2</v>
      </c>
      <c r="O180" s="3">
        <v>4.1916720999999997E-2</v>
      </c>
      <c r="P180" s="3">
        <v>9.3730521999999997E-2</v>
      </c>
      <c r="Q180" s="3">
        <v>7.433244E-2</v>
      </c>
      <c r="R180" s="3">
        <v>6.3212843000000005E-2</v>
      </c>
      <c r="S180" s="3">
        <v>4.4960900999999998E-2</v>
      </c>
      <c r="T180" s="3">
        <v>0.103986865</v>
      </c>
      <c r="U180" s="3">
        <v>6.3038267999999995E-2</v>
      </c>
      <c r="V180" s="3">
        <v>0.42017724165438142</v>
      </c>
      <c r="W180" s="3">
        <v>0.32294422089050367</v>
      </c>
      <c r="X180" s="3">
        <v>5.9436930771316881E-3</v>
      </c>
      <c r="Y180" s="3">
        <v>0.516354801996737</v>
      </c>
      <c r="Z180" s="3">
        <v>0.27012854734521008</v>
      </c>
      <c r="AA180" s="3">
        <v>5.0586219129497107E-3</v>
      </c>
      <c r="AB180">
        <v>0</v>
      </c>
      <c r="AC180">
        <v>0</v>
      </c>
      <c r="AD180">
        <v>0</v>
      </c>
    </row>
    <row r="181" spans="1:30" x14ac:dyDescent="0.3">
      <c r="A181" s="1">
        <v>45565</v>
      </c>
      <c r="B181" s="3">
        <v>0.15681120200000001</v>
      </c>
      <c r="C181" s="3">
        <v>4.9246195E-2</v>
      </c>
      <c r="D181" s="3">
        <v>7.8069585999999996E-2</v>
      </c>
      <c r="E181" s="3">
        <v>8.4669717000000005E-2</v>
      </c>
      <c r="F181" s="3">
        <v>0.13476965399999999</v>
      </c>
      <c r="G181" s="3">
        <v>4.0269267999999997E-2</v>
      </c>
      <c r="H181" s="3">
        <v>9.6426781000000003E-2</v>
      </c>
      <c r="I181" s="3">
        <v>7.1781782000000002E-2</v>
      </c>
      <c r="J181" s="3">
        <v>0.120718933</v>
      </c>
      <c r="K181" s="3">
        <v>4.4981439999999998E-2</v>
      </c>
      <c r="L181" s="3">
        <v>0.13939986300000001</v>
      </c>
      <c r="M181" s="3">
        <v>7.0558184999999995E-2</v>
      </c>
      <c r="N181" s="3">
        <v>2.1491455E-2</v>
      </c>
      <c r="O181" s="3">
        <v>3.8836374999999999E-2</v>
      </c>
      <c r="P181" s="3">
        <v>6.0860662000000003E-2</v>
      </c>
      <c r="Q181" s="3">
        <v>6.8410576000000001E-2</v>
      </c>
      <c r="R181" s="3">
        <v>2.5010935000000001E-2</v>
      </c>
      <c r="S181" s="3">
        <v>4.1916720999999997E-2</v>
      </c>
      <c r="T181" s="3">
        <v>9.3730521999999997E-2</v>
      </c>
      <c r="U181" s="3">
        <v>7.433244E-2</v>
      </c>
      <c r="V181" s="3">
        <v>0.36280962546152595</v>
      </c>
      <c r="W181" s="3">
        <v>0.32396570512728423</v>
      </c>
      <c r="X181" s="3">
        <v>3.8725530449664668E-2</v>
      </c>
      <c r="Y181" s="3">
        <v>0.516354801996737</v>
      </c>
      <c r="Z181" s="3">
        <v>0.2716848338773068</v>
      </c>
      <c r="AA181" s="3">
        <v>2.8806175139089635E-2</v>
      </c>
      <c r="AB181">
        <v>1</v>
      </c>
      <c r="AC181">
        <v>0</v>
      </c>
      <c r="AD181">
        <v>1</v>
      </c>
    </row>
    <row r="182" spans="1:30" x14ac:dyDescent="0.3">
      <c r="A182" s="1">
        <v>45566</v>
      </c>
      <c r="B182" s="3">
        <v>9.0738482999999995E-2</v>
      </c>
      <c r="C182" s="3">
        <v>6.3837503000000004E-2</v>
      </c>
      <c r="D182" s="3">
        <v>0.16567206400000001</v>
      </c>
      <c r="E182" s="3">
        <v>6.8942248999999997E-2</v>
      </c>
      <c r="F182" s="3">
        <v>0.15681120200000001</v>
      </c>
      <c r="G182" s="3">
        <v>4.9246195E-2</v>
      </c>
      <c r="H182" s="3">
        <v>7.8069585999999996E-2</v>
      </c>
      <c r="I182" s="3">
        <v>8.4669717000000005E-2</v>
      </c>
      <c r="J182" s="3">
        <v>0.13476965399999999</v>
      </c>
      <c r="K182" s="3">
        <v>4.0269267999999997E-2</v>
      </c>
      <c r="L182" s="3">
        <v>9.6426781000000003E-2</v>
      </c>
      <c r="M182" s="3">
        <v>7.1781782000000002E-2</v>
      </c>
      <c r="N182" s="3">
        <v>0.120718933</v>
      </c>
      <c r="O182" s="3">
        <v>4.4981439999999998E-2</v>
      </c>
      <c r="P182" s="3">
        <v>0.13939986300000001</v>
      </c>
      <c r="Q182" s="3">
        <v>7.0558184999999995E-2</v>
      </c>
      <c r="R182" s="3">
        <v>2.1491455E-2</v>
      </c>
      <c r="S182" s="3">
        <v>3.8836374999999999E-2</v>
      </c>
      <c r="T182" s="3">
        <v>6.0860662000000003E-2</v>
      </c>
      <c r="U182" s="3">
        <v>6.8410576000000001E-2</v>
      </c>
      <c r="V182" s="3">
        <v>0.36280962546152595</v>
      </c>
      <c r="W182" s="3">
        <v>0.32238624144718314</v>
      </c>
      <c r="X182" s="3">
        <v>0</v>
      </c>
      <c r="Y182" s="3">
        <v>0.516354801996737</v>
      </c>
      <c r="Z182" s="3">
        <v>0.2702286216055223</v>
      </c>
      <c r="AA182" s="3">
        <v>0</v>
      </c>
      <c r="AB182">
        <v>1</v>
      </c>
      <c r="AC182">
        <v>0</v>
      </c>
      <c r="AD182">
        <v>1</v>
      </c>
    </row>
    <row r="183" spans="1:30" x14ac:dyDescent="0.3">
      <c r="A183" s="1">
        <v>45569</v>
      </c>
      <c r="B183" s="3">
        <v>5.8154681E-2</v>
      </c>
      <c r="C183" s="3">
        <v>5.8006121000000001E-2</v>
      </c>
      <c r="D183" s="3">
        <v>9.2998559999999994E-2</v>
      </c>
      <c r="E183" s="3">
        <v>9.7126978000000003E-2</v>
      </c>
      <c r="F183" s="3">
        <v>9.0738482999999995E-2</v>
      </c>
      <c r="G183" s="3">
        <v>6.3837503000000004E-2</v>
      </c>
      <c r="H183" s="3">
        <v>0.16567206400000001</v>
      </c>
      <c r="I183" s="3">
        <v>6.8942248999999997E-2</v>
      </c>
      <c r="J183" s="3">
        <v>0.15681120200000001</v>
      </c>
      <c r="K183" s="3">
        <v>4.9246195E-2</v>
      </c>
      <c r="L183" s="3">
        <v>7.8069585999999996E-2</v>
      </c>
      <c r="M183" s="3">
        <v>8.4669717000000005E-2</v>
      </c>
      <c r="N183" s="3">
        <v>0.13476965399999999</v>
      </c>
      <c r="O183" s="3">
        <v>4.0269267999999997E-2</v>
      </c>
      <c r="P183" s="3">
        <v>9.6426781000000003E-2</v>
      </c>
      <c r="Q183" s="3">
        <v>7.1781782000000002E-2</v>
      </c>
      <c r="R183" s="3">
        <v>0.120718933</v>
      </c>
      <c r="S183" s="3">
        <v>4.4981439999999998E-2</v>
      </c>
      <c r="T183" s="3">
        <v>0.13939986300000001</v>
      </c>
      <c r="U183" s="3">
        <v>7.0558184999999995E-2</v>
      </c>
      <c r="V183" s="3">
        <v>0.3314448403948681</v>
      </c>
      <c r="W183" s="3">
        <v>0.3224302161109891</v>
      </c>
      <c r="X183" s="3">
        <v>6.0243764927328716E-3</v>
      </c>
      <c r="Y183" s="3">
        <v>0.516354801996737</v>
      </c>
      <c r="Z183" s="3">
        <v>0.27025226844201988</v>
      </c>
      <c r="AA183" s="3">
        <v>5.8416668309819609E-3</v>
      </c>
      <c r="AB183">
        <v>1</v>
      </c>
      <c r="AC183">
        <v>0</v>
      </c>
      <c r="AD183">
        <v>1</v>
      </c>
    </row>
    <row r="184" spans="1:30" x14ac:dyDescent="0.3">
      <c r="A184" s="1">
        <v>45572</v>
      </c>
      <c r="B184" s="3">
        <v>0.13573774</v>
      </c>
      <c r="C184" s="3">
        <v>6.7703471000000001E-2</v>
      </c>
      <c r="D184" s="3">
        <v>0.216606939</v>
      </c>
      <c r="E184" s="3">
        <v>8.5999998999999994E-2</v>
      </c>
      <c r="F184" s="3">
        <v>5.8154681E-2</v>
      </c>
      <c r="G184" s="3">
        <v>5.8006121000000001E-2</v>
      </c>
      <c r="H184" s="3">
        <v>9.2998559999999994E-2</v>
      </c>
      <c r="I184" s="3">
        <v>9.7126978000000003E-2</v>
      </c>
      <c r="J184" s="3">
        <v>9.0738482999999995E-2</v>
      </c>
      <c r="K184" s="3">
        <v>6.3837503000000004E-2</v>
      </c>
      <c r="L184" s="3">
        <v>0.16567206400000001</v>
      </c>
      <c r="M184" s="3">
        <v>6.8942248999999997E-2</v>
      </c>
      <c r="N184" s="3">
        <v>0.15681120200000001</v>
      </c>
      <c r="O184" s="3">
        <v>4.9246195E-2</v>
      </c>
      <c r="P184" s="3">
        <v>7.8069585999999996E-2</v>
      </c>
      <c r="Q184" s="3">
        <v>8.4669717000000005E-2</v>
      </c>
      <c r="R184" s="3">
        <v>0.13476965399999999</v>
      </c>
      <c r="S184" s="3">
        <v>4.0269267999999997E-2</v>
      </c>
      <c r="T184" s="3">
        <v>9.6426781000000003E-2</v>
      </c>
      <c r="U184" s="3">
        <v>7.1781782000000002E-2</v>
      </c>
      <c r="V184" s="3">
        <v>0.3314448403948681</v>
      </c>
      <c r="W184" s="3">
        <v>0.32284262866267982</v>
      </c>
      <c r="X184" s="3">
        <v>0</v>
      </c>
      <c r="Y184" s="3">
        <v>0.60928715484653295</v>
      </c>
      <c r="Z184" s="3">
        <v>0.27070993615056693</v>
      </c>
      <c r="AA184" s="3">
        <v>0</v>
      </c>
      <c r="AB184">
        <v>1</v>
      </c>
      <c r="AC184">
        <v>0</v>
      </c>
      <c r="AD184">
        <v>1</v>
      </c>
    </row>
    <row r="185" spans="1:30" x14ac:dyDescent="0.3">
      <c r="A185" s="1">
        <v>45573</v>
      </c>
      <c r="B185" s="3">
        <v>9.8321565999999999E-2</v>
      </c>
      <c r="C185" s="3">
        <v>5.1828515999999998E-2</v>
      </c>
      <c r="D185" s="3">
        <v>0.17090391799999999</v>
      </c>
      <c r="E185" s="3">
        <v>7.3333358000000001E-2</v>
      </c>
      <c r="F185" s="3">
        <v>0.13573774</v>
      </c>
      <c r="G185" s="3">
        <v>6.7703471000000001E-2</v>
      </c>
      <c r="H185" s="3">
        <v>0.216606939</v>
      </c>
      <c r="I185" s="3">
        <v>8.5999998999999994E-2</v>
      </c>
      <c r="J185" s="3">
        <v>5.8154681E-2</v>
      </c>
      <c r="K185" s="3">
        <v>5.8006121000000001E-2</v>
      </c>
      <c r="L185" s="3">
        <v>9.2998559999999994E-2</v>
      </c>
      <c r="M185" s="3">
        <v>9.7126978000000003E-2</v>
      </c>
      <c r="N185" s="3">
        <v>9.0738482999999995E-2</v>
      </c>
      <c r="O185" s="3">
        <v>6.3837503000000004E-2</v>
      </c>
      <c r="P185" s="3">
        <v>0.16567206400000001</v>
      </c>
      <c r="Q185" s="3">
        <v>6.8942248999999997E-2</v>
      </c>
      <c r="R185" s="3">
        <v>0.15681120200000001</v>
      </c>
      <c r="S185" s="3">
        <v>4.9246195E-2</v>
      </c>
      <c r="T185" s="3">
        <v>7.8069585999999996E-2</v>
      </c>
      <c r="U185" s="3">
        <v>8.4669717000000005E-2</v>
      </c>
      <c r="V185" s="3">
        <v>0.32240275535755841</v>
      </c>
      <c r="W185" s="3">
        <v>0.32300637176996627</v>
      </c>
      <c r="X185" s="3">
        <v>1.0258682773227713E-2</v>
      </c>
      <c r="Y185" s="3">
        <v>0.60928715484653295</v>
      </c>
      <c r="Z185" s="3">
        <v>0.27084033851849437</v>
      </c>
      <c r="AA185" s="3">
        <v>9.0182525793860505E-3</v>
      </c>
      <c r="AB185">
        <v>1</v>
      </c>
      <c r="AC185">
        <v>0</v>
      </c>
      <c r="AD185">
        <v>1</v>
      </c>
    </row>
    <row r="186" spans="1:30" x14ac:dyDescent="0.3">
      <c r="A186" s="1">
        <v>45574</v>
      </c>
      <c r="B186" s="3">
        <v>8.6419455000000006E-2</v>
      </c>
      <c r="C186" s="3">
        <v>6.9836914E-2</v>
      </c>
      <c r="D186" s="3">
        <v>7.8304438000000004E-2</v>
      </c>
      <c r="E186" s="3">
        <v>0.10912914899999999</v>
      </c>
      <c r="F186" s="3">
        <v>9.8321565999999999E-2</v>
      </c>
      <c r="G186" s="3">
        <v>5.1828515999999998E-2</v>
      </c>
      <c r="H186" s="3">
        <v>0.17090391799999999</v>
      </c>
      <c r="I186" s="3">
        <v>7.3333358000000001E-2</v>
      </c>
      <c r="J186" s="3">
        <v>0.13573774</v>
      </c>
      <c r="K186" s="3">
        <v>6.7703471000000001E-2</v>
      </c>
      <c r="L186" s="3">
        <v>0.216606939</v>
      </c>
      <c r="M186" s="3">
        <v>8.5999998999999994E-2</v>
      </c>
      <c r="N186" s="3">
        <v>5.8154681E-2</v>
      </c>
      <c r="O186" s="3">
        <v>5.8006121000000001E-2</v>
      </c>
      <c r="P186" s="3">
        <v>9.2998559999999994E-2</v>
      </c>
      <c r="Q186" s="3">
        <v>9.7126978000000003E-2</v>
      </c>
      <c r="R186" s="3">
        <v>9.0738482999999995E-2</v>
      </c>
      <c r="S186" s="3">
        <v>6.3837503000000004E-2</v>
      </c>
      <c r="T186" s="3">
        <v>0.16567206400000001</v>
      </c>
      <c r="U186" s="3">
        <v>6.8942248999999997E-2</v>
      </c>
      <c r="V186" s="3">
        <v>0.32240275535755841</v>
      </c>
      <c r="W186" s="3">
        <v>0.32286299389276935</v>
      </c>
      <c r="X186" s="3">
        <v>0</v>
      </c>
      <c r="Y186" s="3">
        <v>0.72973109277093584</v>
      </c>
      <c r="Z186" s="3">
        <v>0.27036227439669097</v>
      </c>
      <c r="AA186" s="3">
        <v>0</v>
      </c>
      <c r="AB186">
        <v>1</v>
      </c>
      <c r="AC186">
        <v>0</v>
      </c>
      <c r="AD186">
        <v>1</v>
      </c>
    </row>
    <row r="187" spans="1:30" x14ac:dyDescent="0.3">
      <c r="A187" s="1">
        <v>45576</v>
      </c>
      <c r="B187" s="3">
        <v>0.20821372099999999</v>
      </c>
      <c r="C187" s="3">
        <v>0.121426242</v>
      </c>
      <c r="D187" s="3">
        <v>0.29871307699999999</v>
      </c>
      <c r="E187" s="3">
        <v>0.166594136</v>
      </c>
      <c r="F187" s="3">
        <v>8.6419455000000006E-2</v>
      </c>
      <c r="G187" s="3">
        <v>6.9836914E-2</v>
      </c>
      <c r="H187" s="3">
        <v>7.8304438000000004E-2</v>
      </c>
      <c r="I187" s="3">
        <v>0.10912914899999999</v>
      </c>
      <c r="J187" s="3">
        <v>9.8321565999999999E-2</v>
      </c>
      <c r="K187" s="3">
        <v>5.1828515999999998E-2</v>
      </c>
      <c r="L187" s="3">
        <v>0.17090391799999999</v>
      </c>
      <c r="M187" s="3">
        <v>7.3333358000000001E-2</v>
      </c>
      <c r="N187" s="3">
        <v>0.13573774</v>
      </c>
      <c r="O187" s="3">
        <v>6.7703471000000001E-2</v>
      </c>
      <c r="P187" s="3">
        <v>0.216606939</v>
      </c>
      <c r="Q187" s="3">
        <v>8.5999998999999994E-2</v>
      </c>
      <c r="R187" s="3">
        <v>5.8154681E-2</v>
      </c>
      <c r="S187" s="3">
        <v>5.8006121000000001E-2</v>
      </c>
      <c r="T187" s="3">
        <v>9.2998559999999994E-2</v>
      </c>
      <c r="U187" s="3">
        <v>9.7126978000000003E-2</v>
      </c>
      <c r="V187" s="3">
        <v>0.32240275535755841</v>
      </c>
      <c r="W187" s="3">
        <v>0.32100556404712621</v>
      </c>
      <c r="X187" s="3">
        <v>0</v>
      </c>
      <c r="Y187" s="3">
        <v>0.79916412699003658</v>
      </c>
      <c r="Z187" s="3">
        <v>0.26592363311571565</v>
      </c>
      <c r="AA187" s="3">
        <v>0</v>
      </c>
      <c r="AB187">
        <v>1</v>
      </c>
      <c r="AC187">
        <v>0</v>
      </c>
      <c r="AD187">
        <v>1</v>
      </c>
    </row>
    <row r="188" spans="1:30" x14ac:dyDescent="0.3">
      <c r="A188" s="1">
        <v>45579</v>
      </c>
      <c r="B188" s="3">
        <v>0.25237647600000002</v>
      </c>
      <c r="C188" s="3">
        <v>0.159641121</v>
      </c>
      <c r="D188" s="3">
        <v>0.38673503599999998</v>
      </c>
      <c r="E188" s="3">
        <v>0.42429431299999998</v>
      </c>
      <c r="F188" s="3">
        <v>0.20821372099999999</v>
      </c>
      <c r="G188" s="3">
        <v>0.121426242</v>
      </c>
      <c r="H188" s="3">
        <v>0.29871307699999999</v>
      </c>
      <c r="I188" s="3">
        <v>0.166594136</v>
      </c>
      <c r="J188" s="3">
        <v>8.6419455000000006E-2</v>
      </c>
      <c r="K188" s="3">
        <v>6.9836914E-2</v>
      </c>
      <c r="L188" s="3">
        <v>7.8304438000000004E-2</v>
      </c>
      <c r="M188" s="3">
        <v>0.10912914899999999</v>
      </c>
      <c r="N188" s="3">
        <v>9.8321565999999999E-2</v>
      </c>
      <c r="O188" s="3">
        <v>5.1828515999999998E-2</v>
      </c>
      <c r="P188" s="3">
        <v>0.17090391799999999</v>
      </c>
      <c r="Q188" s="3">
        <v>7.3333358000000001E-2</v>
      </c>
      <c r="R188" s="3">
        <v>0.13573774</v>
      </c>
      <c r="S188" s="3">
        <v>6.7703471000000001E-2</v>
      </c>
      <c r="T188" s="3">
        <v>0.216606939</v>
      </c>
      <c r="U188" s="3">
        <v>8.5999998999999994E-2</v>
      </c>
      <c r="V188" s="3">
        <v>0.35918761377255332</v>
      </c>
      <c r="W188" s="3">
        <v>0.3172632845008922</v>
      </c>
      <c r="X188" s="3">
        <v>0</v>
      </c>
      <c r="Y188" s="3">
        <v>0.72973109277093584</v>
      </c>
      <c r="Z188" s="3">
        <v>0.26478191903167964</v>
      </c>
      <c r="AA188" s="3">
        <v>0</v>
      </c>
      <c r="AB188">
        <v>1</v>
      </c>
      <c r="AC188">
        <v>0</v>
      </c>
      <c r="AD188">
        <v>1</v>
      </c>
    </row>
    <row r="189" spans="1:30" x14ac:dyDescent="0.3">
      <c r="A189" s="1">
        <v>45580</v>
      </c>
      <c r="B189" s="3">
        <v>0.28314650000000002</v>
      </c>
      <c r="C189" s="3">
        <v>0.312154663</v>
      </c>
      <c r="D189" s="3">
        <v>0.45809886999999999</v>
      </c>
      <c r="E189" s="3">
        <v>0.52398780199999995</v>
      </c>
      <c r="F189" s="3">
        <v>0.25237647600000002</v>
      </c>
      <c r="G189" s="3">
        <v>0.159641121</v>
      </c>
      <c r="H189" s="3">
        <v>0.38673503599999998</v>
      </c>
      <c r="I189" s="3">
        <v>0.42429431299999998</v>
      </c>
      <c r="J189" s="3">
        <v>0.20821372099999999</v>
      </c>
      <c r="K189" s="3">
        <v>0.121426242</v>
      </c>
      <c r="L189" s="3">
        <v>0.29871307699999999</v>
      </c>
      <c r="M189" s="3">
        <v>0.166594136</v>
      </c>
      <c r="N189" s="3">
        <v>8.6419455000000006E-2</v>
      </c>
      <c r="O189" s="3">
        <v>6.9836914E-2</v>
      </c>
      <c r="P189" s="3">
        <v>7.8304438000000004E-2</v>
      </c>
      <c r="Q189" s="3">
        <v>0.10912914899999999</v>
      </c>
      <c r="R189" s="3">
        <v>9.8321565999999999E-2</v>
      </c>
      <c r="S189" s="3">
        <v>5.1828515999999998E-2</v>
      </c>
      <c r="T189" s="3">
        <v>0.17090391799999999</v>
      </c>
      <c r="U189" s="3">
        <v>7.3333358000000001E-2</v>
      </c>
      <c r="V189" s="3">
        <v>0.39059785015010939</v>
      </c>
      <c r="W189" s="3">
        <v>0.318954280749705</v>
      </c>
      <c r="X189" s="3">
        <v>0</v>
      </c>
      <c r="Y189" s="3">
        <v>0.72973109277093584</v>
      </c>
      <c r="Z189" s="3">
        <v>0.26560090785485241</v>
      </c>
      <c r="AA189" s="3">
        <v>0</v>
      </c>
      <c r="AB189">
        <v>0</v>
      </c>
      <c r="AC189">
        <v>0</v>
      </c>
      <c r="AD189">
        <v>0</v>
      </c>
    </row>
    <row r="190" spans="1:30" x14ac:dyDescent="0.3">
      <c r="A190" s="1">
        <v>45581</v>
      </c>
      <c r="B190" s="3">
        <v>3.0709456999999999E-2</v>
      </c>
      <c r="C190" s="3">
        <v>3.8243012999999999E-2</v>
      </c>
      <c r="D190" s="3">
        <v>3.0314642999999999E-2</v>
      </c>
      <c r="E190" s="3">
        <v>4.0827006999999998E-2</v>
      </c>
      <c r="F190" s="3">
        <v>0.28314650000000002</v>
      </c>
      <c r="G190" s="3">
        <v>0.312154663</v>
      </c>
      <c r="H190" s="3">
        <v>0.45809886999999999</v>
      </c>
      <c r="I190" s="3">
        <v>0.52398780199999995</v>
      </c>
      <c r="J190" s="3">
        <v>0.25237647600000002</v>
      </c>
      <c r="K190" s="3">
        <v>0.159641121</v>
      </c>
      <c r="L190" s="3">
        <v>0.38673503599999998</v>
      </c>
      <c r="M190" s="3">
        <v>0.42429431299999998</v>
      </c>
      <c r="N190" s="3">
        <v>0.20821372099999999</v>
      </c>
      <c r="O190" s="3">
        <v>0.121426242</v>
      </c>
      <c r="P190" s="3">
        <v>0.29871307699999999</v>
      </c>
      <c r="Q190" s="3">
        <v>0.166594136</v>
      </c>
      <c r="R190" s="3">
        <v>8.6419455000000006E-2</v>
      </c>
      <c r="S190" s="3">
        <v>6.9836914E-2</v>
      </c>
      <c r="T190" s="3">
        <v>7.8304438000000004E-2</v>
      </c>
      <c r="U190" s="3">
        <v>0.10912914899999999</v>
      </c>
      <c r="V190" s="3">
        <v>0.35918761377255332</v>
      </c>
      <c r="W190" s="3">
        <v>0.32028340917789383</v>
      </c>
      <c r="X190" s="3">
        <v>3.0618947341001554E-2</v>
      </c>
      <c r="Y190" s="3">
        <v>0.72973109277093584</v>
      </c>
      <c r="Z190" s="3">
        <v>0.25709643710694424</v>
      </c>
      <c r="AA190" s="3">
        <v>2.4150681011145383E-2</v>
      </c>
      <c r="AB190">
        <v>0</v>
      </c>
      <c r="AC190">
        <v>0</v>
      </c>
      <c r="AD190">
        <v>0</v>
      </c>
    </row>
    <row r="191" spans="1:30" x14ac:dyDescent="0.3">
      <c r="A191" s="1">
        <v>45582</v>
      </c>
      <c r="B191" s="3">
        <v>0.108549995</v>
      </c>
      <c r="C191" s="3">
        <v>4.4570585000000003E-2</v>
      </c>
      <c r="D191" s="3">
        <v>0.125845081</v>
      </c>
      <c r="E191" s="3">
        <v>2.9009933000000002E-2</v>
      </c>
      <c r="F191" s="3">
        <v>3.0709456999999999E-2</v>
      </c>
      <c r="G191" s="3">
        <v>3.8243012999999999E-2</v>
      </c>
      <c r="H191" s="3">
        <v>3.0314642999999999E-2</v>
      </c>
      <c r="I191" s="3">
        <v>4.0827006999999998E-2</v>
      </c>
      <c r="J191" s="3">
        <v>0.28314650000000002</v>
      </c>
      <c r="K191" s="3">
        <v>0.312154663</v>
      </c>
      <c r="L191" s="3">
        <v>0.45809886999999999</v>
      </c>
      <c r="M191" s="3">
        <v>0.52398780199999995</v>
      </c>
      <c r="N191" s="3">
        <v>0.25237647600000002</v>
      </c>
      <c r="O191" s="3">
        <v>0.159641121</v>
      </c>
      <c r="P191" s="3">
        <v>0.38673503599999998</v>
      </c>
      <c r="Q191" s="3">
        <v>0.42429431299999998</v>
      </c>
      <c r="R191" s="3">
        <v>0.20821372099999999</v>
      </c>
      <c r="S191" s="3">
        <v>0.121426242</v>
      </c>
      <c r="T191" s="3">
        <v>0.29871307699999999</v>
      </c>
      <c r="U191" s="3">
        <v>0.166594136</v>
      </c>
      <c r="V191" s="3">
        <v>0.39059785015010939</v>
      </c>
      <c r="W191" s="3">
        <v>0.31935865151553577</v>
      </c>
      <c r="X191" s="3">
        <v>0</v>
      </c>
      <c r="Y191" s="3">
        <v>0.72973109277093584</v>
      </c>
      <c r="Z191" s="3">
        <v>0.25693726875292405</v>
      </c>
      <c r="AA191" s="3">
        <v>0</v>
      </c>
      <c r="AB191">
        <v>0</v>
      </c>
      <c r="AC191">
        <v>0</v>
      </c>
      <c r="AD191">
        <v>0</v>
      </c>
    </row>
    <row r="192" spans="1:30" x14ac:dyDescent="0.3">
      <c r="A192" s="1">
        <v>45583</v>
      </c>
      <c r="B192" s="3">
        <v>0.10473951400000001</v>
      </c>
      <c r="C192" s="3">
        <v>5.6917929999999999E-2</v>
      </c>
      <c r="D192" s="3">
        <v>9.1647614000000002E-2</v>
      </c>
      <c r="E192" s="3">
        <v>5.0868003000000002E-2</v>
      </c>
      <c r="F192" s="3">
        <v>0.108549995</v>
      </c>
      <c r="G192" s="3">
        <v>4.4570585000000003E-2</v>
      </c>
      <c r="H192" s="3">
        <v>0.125845081</v>
      </c>
      <c r="I192" s="3">
        <v>2.9009933000000002E-2</v>
      </c>
      <c r="J192" s="3">
        <v>3.0709456999999999E-2</v>
      </c>
      <c r="K192" s="3">
        <v>3.8243012999999999E-2</v>
      </c>
      <c r="L192" s="3">
        <v>3.0314642999999999E-2</v>
      </c>
      <c r="M192" s="3">
        <v>4.0827006999999998E-2</v>
      </c>
      <c r="N192" s="3">
        <v>0.28314650000000002</v>
      </c>
      <c r="O192" s="3">
        <v>0.312154663</v>
      </c>
      <c r="P192" s="3">
        <v>0.45809886999999999</v>
      </c>
      <c r="Q192" s="3">
        <v>0.52398780199999995</v>
      </c>
      <c r="R192" s="3">
        <v>0.25237647600000002</v>
      </c>
      <c r="S192" s="3">
        <v>0.159641121</v>
      </c>
      <c r="T192" s="3">
        <v>0.38673503599999998</v>
      </c>
      <c r="U192" s="3">
        <v>0.42429431299999998</v>
      </c>
      <c r="V192" s="3">
        <v>0.42022269296527964</v>
      </c>
      <c r="W192" s="3">
        <v>0.319817667752889</v>
      </c>
      <c r="X192" s="3">
        <v>0</v>
      </c>
      <c r="Y192" s="3">
        <v>0.72973109277093584</v>
      </c>
      <c r="Z192" s="3">
        <v>0.2582579355819441</v>
      </c>
      <c r="AA192" s="3">
        <v>0</v>
      </c>
      <c r="AB192">
        <v>0</v>
      </c>
      <c r="AC192">
        <v>0</v>
      </c>
      <c r="AD192">
        <v>0</v>
      </c>
    </row>
    <row r="193" spans="1:30" x14ac:dyDescent="0.3">
      <c r="A193" s="1">
        <v>45586</v>
      </c>
      <c r="B193" s="3">
        <v>7.1041405000000002E-2</v>
      </c>
      <c r="C193" s="3">
        <v>2.7114234000000001E-2</v>
      </c>
      <c r="D193" s="3">
        <v>7.3797305999999993E-2</v>
      </c>
      <c r="E193" s="3">
        <v>6.6459115999999999E-2</v>
      </c>
      <c r="F193" s="3">
        <v>0.10473951400000001</v>
      </c>
      <c r="G193" s="3">
        <v>5.6917929999999999E-2</v>
      </c>
      <c r="H193" s="3">
        <v>9.1647614000000002E-2</v>
      </c>
      <c r="I193" s="3">
        <v>5.0868003000000002E-2</v>
      </c>
      <c r="J193" s="3">
        <v>0.108549995</v>
      </c>
      <c r="K193" s="3">
        <v>4.4570585000000003E-2</v>
      </c>
      <c r="L193" s="3">
        <v>0.125845081</v>
      </c>
      <c r="M193" s="3">
        <v>2.9009933000000002E-2</v>
      </c>
      <c r="N193" s="3">
        <v>3.0709456999999999E-2</v>
      </c>
      <c r="O193" s="3">
        <v>3.8243012999999999E-2</v>
      </c>
      <c r="P193" s="3">
        <v>3.0314642999999999E-2</v>
      </c>
      <c r="Q193" s="3">
        <v>4.0827006999999998E-2</v>
      </c>
      <c r="R193" s="3">
        <v>0.28314650000000002</v>
      </c>
      <c r="S193" s="3">
        <v>0.312154663</v>
      </c>
      <c r="T193" s="3">
        <v>0.45809886999999999</v>
      </c>
      <c r="U193" s="3">
        <v>0.52398780199999995</v>
      </c>
      <c r="V193" s="3">
        <v>0.42022269296527964</v>
      </c>
      <c r="W193" s="3">
        <v>0.3141427003176232</v>
      </c>
      <c r="X193" s="3">
        <v>2.0658827806939206E-4</v>
      </c>
      <c r="Y193" s="3">
        <v>0.68482945570107712</v>
      </c>
      <c r="Z193" s="3">
        <v>0.25449474374264952</v>
      </c>
      <c r="AA193" s="3">
        <v>4.4921540363771764E-4</v>
      </c>
      <c r="AB193">
        <v>0</v>
      </c>
      <c r="AC193">
        <v>0</v>
      </c>
      <c r="AD193">
        <v>0</v>
      </c>
    </row>
    <row r="194" spans="1:30" x14ac:dyDescent="0.3">
      <c r="A194" s="1">
        <v>45587</v>
      </c>
      <c r="B194" s="3">
        <v>3.9758433000000003E-2</v>
      </c>
      <c r="C194" s="3">
        <v>2.8489087999999999E-2</v>
      </c>
      <c r="D194" s="3">
        <v>7.7957862000000003E-2</v>
      </c>
      <c r="E194" s="3">
        <v>3.5236747999999998E-2</v>
      </c>
      <c r="F194" s="3">
        <v>7.1041405000000002E-2</v>
      </c>
      <c r="G194" s="3">
        <v>2.7114234000000001E-2</v>
      </c>
      <c r="H194" s="3">
        <v>7.3797305999999993E-2</v>
      </c>
      <c r="I194" s="3">
        <v>6.6459115999999999E-2</v>
      </c>
      <c r="J194" s="3">
        <v>0.10473951400000001</v>
      </c>
      <c r="K194" s="3">
        <v>5.6917929999999999E-2</v>
      </c>
      <c r="L194" s="3">
        <v>9.1647614000000002E-2</v>
      </c>
      <c r="M194" s="3">
        <v>5.0868003000000002E-2</v>
      </c>
      <c r="N194" s="3">
        <v>0.108549995</v>
      </c>
      <c r="O194" s="3">
        <v>4.4570585000000003E-2</v>
      </c>
      <c r="P194" s="3">
        <v>0.125845081</v>
      </c>
      <c r="Q194" s="3">
        <v>2.9009933000000002E-2</v>
      </c>
      <c r="R194" s="3">
        <v>3.0709456999999999E-2</v>
      </c>
      <c r="S194" s="3">
        <v>3.8243012999999999E-2</v>
      </c>
      <c r="T194" s="3">
        <v>3.0314642999999999E-2</v>
      </c>
      <c r="U194" s="3">
        <v>4.0827006999999998E-2</v>
      </c>
      <c r="V194" s="3">
        <v>0.42022269296527964</v>
      </c>
      <c r="W194" s="3">
        <v>0.31123835409602224</v>
      </c>
      <c r="X194" s="3">
        <v>4.9286018811777101E-3</v>
      </c>
      <c r="Y194" s="3">
        <v>0.68482945570107712</v>
      </c>
      <c r="Z194" s="3">
        <v>0.25308694956533473</v>
      </c>
      <c r="AA194" s="3">
        <v>3.5365453115682945E-3</v>
      </c>
      <c r="AB194">
        <v>0</v>
      </c>
      <c r="AC194">
        <v>1</v>
      </c>
      <c r="AD194">
        <v>1</v>
      </c>
    </row>
    <row r="195" spans="1:30" x14ac:dyDescent="0.3">
      <c r="A195" s="1">
        <v>45588</v>
      </c>
      <c r="B195" s="3">
        <v>3.9088493000000002E-2</v>
      </c>
      <c r="C195" s="3">
        <v>3.3293499999999997E-2</v>
      </c>
      <c r="D195" s="3">
        <v>2.9391515E-2</v>
      </c>
      <c r="E195" s="3">
        <v>3.8444895999999999E-2</v>
      </c>
      <c r="F195" s="3">
        <v>3.9758433000000003E-2</v>
      </c>
      <c r="G195" s="3">
        <v>2.8489087999999999E-2</v>
      </c>
      <c r="H195" s="3">
        <v>7.7957862000000003E-2</v>
      </c>
      <c r="I195" s="3">
        <v>3.5236747999999998E-2</v>
      </c>
      <c r="J195" s="3">
        <v>7.1041405000000002E-2</v>
      </c>
      <c r="K195" s="3">
        <v>2.7114234000000001E-2</v>
      </c>
      <c r="L195" s="3">
        <v>7.3797305999999993E-2</v>
      </c>
      <c r="M195" s="3">
        <v>6.6459115999999999E-2</v>
      </c>
      <c r="N195" s="3">
        <v>0.10473951400000001</v>
      </c>
      <c r="O195" s="3">
        <v>5.6917929999999999E-2</v>
      </c>
      <c r="P195" s="3">
        <v>9.1647614000000002E-2</v>
      </c>
      <c r="Q195" s="3">
        <v>5.0868003000000002E-2</v>
      </c>
      <c r="R195" s="3">
        <v>0.108549995</v>
      </c>
      <c r="S195" s="3">
        <v>4.4570585000000003E-2</v>
      </c>
      <c r="T195" s="3">
        <v>0.125845081</v>
      </c>
      <c r="U195" s="3">
        <v>2.9009933000000002E-2</v>
      </c>
      <c r="V195" s="3">
        <v>0.39059785015010939</v>
      </c>
      <c r="W195" s="3">
        <v>0.3055299335723502</v>
      </c>
      <c r="X195" s="3">
        <v>2.3832240364232246E-2</v>
      </c>
      <c r="Y195" s="3">
        <v>0.60367036140234909</v>
      </c>
      <c r="Z195" s="3">
        <v>0.2529120903494419</v>
      </c>
      <c r="AA195" s="3">
        <v>1.7628688217364148E-2</v>
      </c>
      <c r="AB195">
        <v>0</v>
      </c>
      <c r="AC195">
        <v>1</v>
      </c>
      <c r="AD195">
        <v>1</v>
      </c>
    </row>
    <row r="196" spans="1:30" x14ac:dyDescent="0.3">
      <c r="A196" s="1">
        <v>45589</v>
      </c>
      <c r="B196" s="3">
        <v>0.102505423</v>
      </c>
      <c r="C196" s="3">
        <v>2.8518449000000001E-2</v>
      </c>
      <c r="D196" s="3">
        <v>0.103133721</v>
      </c>
      <c r="E196" s="3">
        <v>3.8947010999999997E-2</v>
      </c>
      <c r="F196" s="3">
        <v>3.9088493000000002E-2</v>
      </c>
      <c r="G196" s="3">
        <v>3.3293499999999997E-2</v>
      </c>
      <c r="H196" s="3">
        <v>2.9391515E-2</v>
      </c>
      <c r="I196" s="3">
        <v>3.8444895999999999E-2</v>
      </c>
      <c r="J196" s="3">
        <v>3.9758433000000003E-2</v>
      </c>
      <c r="K196" s="3">
        <v>2.8489087999999999E-2</v>
      </c>
      <c r="L196" s="3">
        <v>7.7957862000000003E-2</v>
      </c>
      <c r="M196" s="3">
        <v>3.5236747999999998E-2</v>
      </c>
      <c r="N196" s="3">
        <v>7.1041405000000002E-2</v>
      </c>
      <c r="O196" s="3">
        <v>2.7114234000000001E-2</v>
      </c>
      <c r="P196" s="3">
        <v>7.3797305999999993E-2</v>
      </c>
      <c r="Q196" s="3">
        <v>6.6459115999999999E-2</v>
      </c>
      <c r="R196" s="3">
        <v>0.10473951400000001</v>
      </c>
      <c r="S196" s="3">
        <v>5.6917929999999999E-2</v>
      </c>
      <c r="T196" s="3">
        <v>9.1647614000000002E-2</v>
      </c>
      <c r="U196" s="3">
        <v>5.0868003000000002E-2</v>
      </c>
      <c r="V196" s="3">
        <v>0.39059785015010939</v>
      </c>
      <c r="W196" s="3">
        <v>0.30178378723803961</v>
      </c>
      <c r="X196" s="3">
        <v>1.8335762776592147E-2</v>
      </c>
      <c r="Y196" s="3">
        <v>0.516354801996737</v>
      </c>
      <c r="Z196" s="3">
        <v>0.25274958228226102</v>
      </c>
      <c r="AA196" s="3">
        <v>1.3114474888275468E-2</v>
      </c>
      <c r="AB196">
        <v>0</v>
      </c>
      <c r="AC196">
        <v>1</v>
      </c>
      <c r="AD196">
        <v>1</v>
      </c>
    </row>
    <row r="197" spans="1:30" x14ac:dyDescent="0.3">
      <c r="A197" s="1">
        <v>45590</v>
      </c>
      <c r="B197" s="3">
        <v>7.5530508999999996E-2</v>
      </c>
      <c r="C197" s="3">
        <v>3.2535152999999997E-2</v>
      </c>
      <c r="D197" s="3">
        <v>0.10265264</v>
      </c>
      <c r="E197" s="3">
        <v>2.5927059999999998E-2</v>
      </c>
      <c r="F197" s="3">
        <v>0.102505423</v>
      </c>
      <c r="G197" s="3">
        <v>2.8518449000000001E-2</v>
      </c>
      <c r="H197" s="3">
        <v>0.103133721</v>
      </c>
      <c r="I197" s="3">
        <v>3.8947010999999997E-2</v>
      </c>
      <c r="J197" s="3">
        <v>3.9088493000000002E-2</v>
      </c>
      <c r="K197" s="3">
        <v>3.3293499999999997E-2</v>
      </c>
      <c r="L197" s="3">
        <v>2.9391515E-2</v>
      </c>
      <c r="M197" s="3">
        <v>3.8444895999999999E-2</v>
      </c>
      <c r="N197" s="3">
        <v>3.9758433000000003E-2</v>
      </c>
      <c r="O197" s="3">
        <v>2.8489087999999999E-2</v>
      </c>
      <c r="P197" s="3">
        <v>7.7957862000000003E-2</v>
      </c>
      <c r="Q197" s="3">
        <v>3.5236747999999998E-2</v>
      </c>
      <c r="R197" s="3">
        <v>7.1041405000000002E-2</v>
      </c>
      <c r="S197" s="3">
        <v>2.7114234000000001E-2</v>
      </c>
      <c r="T197" s="3">
        <v>7.3797305999999993E-2</v>
      </c>
      <c r="U197" s="3">
        <v>6.6459115999999999E-2</v>
      </c>
      <c r="V197" s="3">
        <v>0.42022269296527964</v>
      </c>
      <c r="W197" s="3">
        <v>0.30207502418055682</v>
      </c>
      <c r="X197" s="3">
        <v>0</v>
      </c>
      <c r="Y197" s="3">
        <v>0.60367036140234909</v>
      </c>
      <c r="Z197" s="3">
        <v>0.25267646758654044</v>
      </c>
      <c r="AA197" s="3">
        <v>0</v>
      </c>
      <c r="AB197">
        <v>0</v>
      </c>
      <c r="AC197">
        <v>1</v>
      </c>
      <c r="AD197">
        <v>1</v>
      </c>
    </row>
    <row r="198" spans="1:30" x14ac:dyDescent="0.3">
      <c r="A198" s="1">
        <v>45593</v>
      </c>
      <c r="B198" s="3">
        <v>9.1248818999999995E-2</v>
      </c>
      <c r="C198" s="3">
        <v>4.0860536000000003E-2</v>
      </c>
      <c r="D198" s="3">
        <v>5.4099463E-2</v>
      </c>
      <c r="E198" s="3">
        <v>4.3070746E-2</v>
      </c>
      <c r="F198" s="3">
        <v>7.5530508999999996E-2</v>
      </c>
      <c r="G198" s="3">
        <v>3.2535152999999997E-2</v>
      </c>
      <c r="H198" s="3">
        <v>0.10265264</v>
      </c>
      <c r="I198" s="3">
        <v>2.5927059999999998E-2</v>
      </c>
      <c r="J198" s="3">
        <v>0.102505423</v>
      </c>
      <c r="K198" s="3">
        <v>2.8518449000000001E-2</v>
      </c>
      <c r="L198" s="3">
        <v>0.103133721</v>
      </c>
      <c r="M198" s="3">
        <v>3.8947010999999997E-2</v>
      </c>
      <c r="N198" s="3">
        <v>3.9088493000000002E-2</v>
      </c>
      <c r="O198" s="3">
        <v>3.3293499999999997E-2</v>
      </c>
      <c r="P198" s="3">
        <v>2.9391515E-2</v>
      </c>
      <c r="Q198" s="3">
        <v>3.8444895999999999E-2</v>
      </c>
      <c r="R198" s="3">
        <v>3.9758433000000003E-2</v>
      </c>
      <c r="S198" s="3">
        <v>2.8489087999999999E-2</v>
      </c>
      <c r="T198" s="3">
        <v>7.7957862000000003E-2</v>
      </c>
      <c r="U198" s="3">
        <v>3.5236747999999998E-2</v>
      </c>
      <c r="V198" s="3">
        <v>0.39059785015010939</v>
      </c>
      <c r="W198" s="3">
        <v>0.30232272868996307</v>
      </c>
      <c r="X198" s="3">
        <v>1.2420584091628382E-2</v>
      </c>
      <c r="Y198" s="3">
        <v>0.60367036140234909</v>
      </c>
      <c r="Z198" s="3">
        <v>0.25249490787139584</v>
      </c>
      <c r="AA198" s="3">
        <v>9.158782032545932E-3</v>
      </c>
      <c r="AB198">
        <v>0</v>
      </c>
      <c r="AC198">
        <v>0</v>
      </c>
      <c r="AD198">
        <v>0</v>
      </c>
    </row>
    <row r="199" spans="1:30" x14ac:dyDescent="0.3">
      <c r="A199" s="1">
        <v>45594</v>
      </c>
      <c r="B199" s="3">
        <v>6.9873003000000003E-2</v>
      </c>
      <c r="C199" s="3">
        <v>3.3007003E-2</v>
      </c>
      <c r="D199" s="3">
        <v>6.7976793999999993E-2</v>
      </c>
      <c r="E199" s="3">
        <v>6.0063553999999998E-2</v>
      </c>
      <c r="F199" s="3">
        <v>9.1248818999999995E-2</v>
      </c>
      <c r="G199" s="3">
        <v>4.0860536000000003E-2</v>
      </c>
      <c r="H199" s="3">
        <v>5.4099463E-2</v>
      </c>
      <c r="I199" s="3">
        <v>4.3070746E-2</v>
      </c>
      <c r="J199" s="3">
        <v>7.5530508999999996E-2</v>
      </c>
      <c r="K199" s="3">
        <v>3.2535152999999997E-2</v>
      </c>
      <c r="L199" s="3">
        <v>0.10265264</v>
      </c>
      <c r="M199" s="3">
        <v>2.5927059999999998E-2</v>
      </c>
      <c r="N199" s="3">
        <v>0.102505423</v>
      </c>
      <c r="O199" s="3">
        <v>2.8518449000000001E-2</v>
      </c>
      <c r="P199" s="3">
        <v>0.103133721</v>
      </c>
      <c r="Q199" s="3">
        <v>3.8947010999999997E-2</v>
      </c>
      <c r="R199" s="3">
        <v>3.9088493000000002E-2</v>
      </c>
      <c r="S199" s="3">
        <v>3.3293499999999997E-2</v>
      </c>
      <c r="T199" s="3">
        <v>2.9391515E-2</v>
      </c>
      <c r="U199" s="3">
        <v>3.8444895999999999E-2</v>
      </c>
      <c r="V199" s="3">
        <v>0.39059785015010939</v>
      </c>
      <c r="W199" s="3">
        <v>0.30398962278507169</v>
      </c>
      <c r="X199" s="3">
        <v>3.1814544222285475E-2</v>
      </c>
      <c r="Y199" s="3">
        <v>0.516354801996737</v>
      </c>
      <c r="Z199" s="3">
        <v>0.2534637882261665</v>
      </c>
      <c r="AA199" s="3">
        <v>2.2934446768671447E-2</v>
      </c>
      <c r="AB199">
        <v>0</v>
      </c>
      <c r="AC199">
        <v>0</v>
      </c>
      <c r="AD199">
        <v>0</v>
      </c>
    </row>
    <row r="200" spans="1:30" x14ac:dyDescent="0.3">
      <c r="A200" s="1">
        <v>45595</v>
      </c>
      <c r="B200" s="3">
        <v>5.6052686999999997E-2</v>
      </c>
      <c r="C200" s="3">
        <v>5.9547296E-2</v>
      </c>
      <c r="D200" s="3">
        <v>2.4099467999999999E-2</v>
      </c>
      <c r="E200" s="3">
        <v>4.2458243999999999E-2</v>
      </c>
      <c r="F200" s="3">
        <v>6.9873003000000003E-2</v>
      </c>
      <c r="G200" s="3">
        <v>3.3007003E-2</v>
      </c>
      <c r="H200" s="3">
        <v>6.7976793999999993E-2</v>
      </c>
      <c r="I200" s="3">
        <v>6.0063553999999998E-2</v>
      </c>
      <c r="J200" s="3">
        <v>9.1248818999999995E-2</v>
      </c>
      <c r="K200" s="3">
        <v>4.0860536000000003E-2</v>
      </c>
      <c r="L200" s="3">
        <v>5.4099463E-2</v>
      </c>
      <c r="M200" s="3">
        <v>4.3070746E-2</v>
      </c>
      <c r="N200" s="3">
        <v>7.5530508999999996E-2</v>
      </c>
      <c r="O200" s="3">
        <v>3.2535152999999997E-2</v>
      </c>
      <c r="P200" s="3">
        <v>0.10265264</v>
      </c>
      <c r="Q200" s="3">
        <v>2.5927059999999998E-2</v>
      </c>
      <c r="R200" s="3">
        <v>0.102505423</v>
      </c>
      <c r="S200" s="3">
        <v>2.8518449000000001E-2</v>
      </c>
      <c r="T200" s="3">
        <v>0.103133721</v>
      </c>
      <c r="U200" s="3">
        <v>3.8947010999999997E-2</v>
      </c>
      <c r="V200" s="3">
        <v>0.35918761377255332</v>
      </c>
      <c r="W200" s="3">
        <v>0.30068118463799431</v>
      </c>
      <c r="X200" s="3">
        <v>1.3224939113395322E-2</v>
      </c>
      <c r="Y200" s="3">
        <v>0.4771918139576104</v>
      </c>
      <c r="Z200" s="3">
        <v>0.25357733894543022</v>
      </c>
      <c r="AA200" s="3">
        <v>1.0351807271567445E-2</v>
      </c>
      <c r="AB200">
        <v>1</v>
      </c>
      <c r="AC200">
        <v>0</v>
      </c>
      <c r="AD200">
        <v>1</v>
      </c>
    </row>
    <row r="201" spans="1:30" x14ac:dyDescent="0.3">
      <c r="A201" s="1">
        <v>45597</v>
      </c>
      <c r="B201" s="3">
        <v>0.10653104200000001</v>
      </c>
      <c r="C201" s="3">
        <v>5.5508044999999999E-2</v>
      </c>
      <c r="D201" s="3">
        <v>0.20819385900000001</v>
      </c>
      <c r="E201" s="3">
        <v>5.5986396000000001E-2</v>
      </c>
      <c r="F201" s="3">
        <v>5.6052686999999997E-2</v>
      </c>
      <c r="G201" s="3">
        <v>5.9547296E-2</v>
      </c>
      <c r="H201" s="3">
        <v>2.4099467999999999E-2</v>
      </c>
      <c r="I201" s="3">
        <v>4.2458243999999999E-2</v>
      </c>
      <c r="J201" s="3">
        <v>6.9873003000000003E-2</v>
      </c>
      <c r="K201" s="3">
        <v>3.3007003E-2</v>
      </c>
      <c r="L201" s="3">
        <v>6.7976793999999993E-2</v>
      </c>
      <c r="M201" s="3">
        <v>6.0063553999999998E-2</v>
      </c>
      <c r="N201" s="3">
        <v>9.1248818999999995E-2</v>
      </c>
      <c r="O201" s="3">
        <v>4.0860536000000003E-2</v>
      </c>
      <c r="P201" s="3">
        <v>5.4099463E-2</v>
      </c>
      <c r="Q201" s="3">
        <v>4.3070746E-2</v>
      </c>
      <c r="R201" s="3">
        <v>7.5530508999999996E-2</v>
      </c>
      <c r="S201" s="3">
        <v>3.2535152999999997E-2</v>
      </c>
      <c r="T201" s="3">
        <v>0.10265264</v>
      </c>
      <c r="U201" s="3">
        <v>2.5927059999999998E-2</v>
      </c>
      <c r="V201" s="3">
        <v>0.35918761377255332</v>
      </c>
      <c r="W201" s="3">
        <v>0.27766623624207121</v>
      </c>
      <c r="X201" s="3">
        <v>6.6771987783120577E-3</v>
      </c>
      <c r="Y201" s="3">
        <v>0.42022269296527964</v>
      </c>
      <c r="Z201" s="3">
        <v>0.25346056140889844</v>
      </c>
      <c r="AA201" s="3">
        <v>4.3297476571885233E-3</v>
      </c>
      <c r="AB201">
        <v>1</v>
      </c>
      <c r="AC201">
        <v>0</v>
      </c>
      <c r="AD201">
        <v>1</v>
      </c>
    </row>
    <row r="202" spans="1:30" x14ac:dyDescent="0.3">
      <c r="A202" s="1">
        <v>45600</v>
      </c>
      <c r="B202" s="3">
        <v>9.9225437999999999E-2</v>
      </c>
      <c r="C202" s="3">
        <v>5.1869514999999998E-2</v>
      </c>
      <c r="D202" s="3">
        <v>0.180751145</v>
      </c>
      <c r="E202" s="3">
        <v>6.3044653000000006E-2</v>
      </c>
      <c r="F202" s="3">
        <v>0.10653104200000001</v>
      </c>
      <c r="G202" s="3">
        <v>5.5508044999999999E-2</v>
      </c>
      <c r="H202" s="3">
        <v>0.20819385900000001</v>
      </c>
      <c r="I202" s="3">
        <v>5.5986396000000001E-2</v>
      </c>
      <c r="J202" s="3">
        <v>5.6052686999999997E-2</v>
      </c>
      <c r="K202" s="3">
        <v>5.9547296E-2</v>
      </c>
      <c r="L202" s="3">
        <v>2.4099467999999999E-2</v>
      </c>
      <c r="M202" s="3">
        <v>4.2458243999999999E-2</v>
      </c>
      <c r="N202" s="3">
        <v>6.9873003000000003E-2</v>
      </c>
      <c r="O202" s="3">
        <v>3.3007003E-2</v>
      </c>
      <c r="P202" s="3">
        <v>6.7976793999999993E-2</v>
      </c>
      <c r="Q202" s="3">
        <v>6.0063553999999998E-2</v>
      </c>
      <c r="R202" s="3">
        <v>9.1248818999999995E-2</v>
      </c>
      <c r="S202" s="3">
        <v>4.0860536000000003E-2</v>
      </c>
      <c r="T202" s="3">
        <v>5.4099463E-2</v>
      </c>
      <c r="U202" s="3">
        <v>4.3070746E-2</v>
      </c>
      <c r="V202" s="3">
        <v>0.39059785015010939</v>
      </c>
      <c r="W202" s="3">
        <v>0.24544813977622637</v>
      </c>
      <c r="X202" s="3">
        <v>0</v>
      </c>
      <c r="Y202" s="3">
        <v>0.42022269296527964</v>
      </c>
      <c r="Z202" s="3">
        <v>0.25352557303261941</v>
      </c>
      <c r="AA202" s="3">
        <v>0</v>
      </c>
      <c r="AB202">
        <v>1</v>
      </c>
      <c r="AC202">
        <v>0</v>
      </c>
      <c r="AD202">
        <v>1</v>
      </c>
    </row>
    <row r="203" spans="1:30" x14ac:dyDescent="0.3">
      <c r="A203" s="1">
        <v>45601</v>
      </c>
      <c r="B203" s="3">
        <v>7.6071472000000001E-2</v>
      </c>
      <c r="C203" s="3">
        <v>4.7502358000000001E-2</v>
      </c>
      <c r="D203" s="3">
        <v>0.16342757399999999</v>
      </c>
      <c r="E203" s="3">
        <v>6.3986776999999995E-2</v>
      </c>
      <c r="F203" s="3">
        <v>9.9225437999999999E-2</v>
      </c>
      <c r="G203" s="3">
        <v>5.1869514999999998E-2</v>
      </c>
      <c r="H203" s="3">
        <v>0.180751145</v>
      </c>
      <c r="I203" s="3">
        <v>6.3044653000000006E-2</v>
      </c>
      <c r="J203" s="3">
        <v>0.10653104200000001</v>
      </c>
      <c r="K203" s="3">
        <v>5.5508044999999999E-2</v>
      </c>
      <c r="L203" s="3">
        <v>0.20819385900000001</v>
      </c>
      <c r="M203" s="3">
        <v>5.5986396000000001E-2</v>
      </c>
      <c r="N203" s="3">
        <v>5.6052686999999997E-2</v>
      </c>
      <c r="O203" s="3">
        <v>5.9547296E-2</v>
      </c>
      <c r="P203" s="3">
        <v>2.4099467999999999E-2</v>
      </c>
      <c r="Q203" s="3">
        <v>4.2458243999999999E-2</v>
      </c>
      <c r="R203" s="3">
        <v>6.9873003000000003E-2</v>
      </c>
      <c r="S203" s="3">
        <v>3.3007003E-2</v>
      </c>
      <c r="T203" s="3">
        <v>6.7976793999999993E-2</v>
      </c>
      <c r="U203" s="3">
        <v>6.0063553999999998E-2</v>
      </c>
      <c r="V203" s="3">
        <v>0.39059785015010939</v>
      </c>
      <c r="W203" s="3">
        <v>0.2331623972018686</v>
      </c>
      <c r="X203" s="3">
        <v>0</v>
      </c>
      <c r="Y203" s="3">
        <v>0.4771918139576104</v>
      </c>
      <c r="Z203" s="3">
        <v>0.25327196861139029</v>
      </c>
      <c r="AA203" s="3">
        <v>0</v>
      </c>
      <c r="AB203">
        <v>0</v>
      </c>
      <c r="AC203">
        <v>0</v>
      </c>
      <c r="AD203">
        <v>0</v>
      </c>
    </row>
    <row r="204" spans="1:30" x14ac:dyDescent="0.3">
      <c r="A204" s="1">
        <v>45602</v>
      </c>
      <c r="B204" s="3">
        <v>5.5689288000000003E-2</v>
      </c>
      <c r="C204" s="3">
        <v>5.9428441999999998E-2</v>
      </c>
      <c r="D204" s="3">
        <v>7.3381021000000005E-2</v>
      </c>
      <c r="E204" s="3">
        <v>9.0127558999999996E-2</v>
      </c>
      <c r="F204" s="3">
        <v>7.6071472000000001E-2</v>
      </c>
      <c r="G204" s="3">
        <v>4.7502358000000001E-2</v>
      </c>
      <c r="H204" s="3">
        <v>0.16342757399999999</v>
      </c>
      <c r="I204" s="3">
        <v>6.3986776999999995E-2</v>
      </c>
      <c r="J204" s="3">
        <v>9.9225437999999999E-2</v>
      </c>
      <c r="K204" s="3">
        <v>5.1869514999999998E-2</v>
      </c>
      <c r="L204" s="3">
        <v>0.180751145</v>
      </c>
      <c r="M204" s="3">
        <v>6.3044653000000006E-2</v>
      </c>
      <c r="N204" s="3">
        <v>0.10653104200000001</v>
      </c>
      <c r="O204" s="3">
        <v>5.5508044999999999E-2</v>
      </c>
      <c r="P204" s="3">
        <v>0.20819385900000001</v>
      </c>
      <c r="Q204" s="3">
        <v>5.5986396000000001E-2</v>
      </c>
      <c r="R204" s="3">
        <v>5.6052686999999997E-2</v>
      </c>
      <c r="S204" s="3">
        <v>5.9547296E-2</v>
      </c>
      <c r="T204" s="3">
        <v>2.4099467999999999E-2</v>
      </c>
      <c r="U204" s="3">
        <v>4.2458243999999999E-2</v>
      </c>
      <c r="V204" s="3">
        <v>0.39059785015010939</v>
      </c>
      <c r="W204" s="3">
        <v>0.21504343082424729</v>
      </c>
      <c r="X204" s="3">
        <v>0</v>
      </c>
      <c r="Y204" s="3">
        <v>0.4771918139576104</v>
      </c>
      <c r="Z204" s="3">
        <v>0.25313740410654617</v>
      </c>
      <c r="AA204" s="3">
        <v>0</v>
      </c>
      <c r="AB204">
        <v>0</v>
      </c>
      <c r="AC204">
        <v>1</v>
      </c>
      <c r="AD204">
        <v>1</v>
      </c>
    </row>
    <row r="205" spans="1:30" x14ac:dyDescent="0.3">
      <c r="A205" s="1">
        <v>45603</v>
      </c>
      <c r="B205" s="3">
        <v>0.13526184299999999</v>
      </c>
      <c r="C205" s="3">
        <v>3.9678585000000002E-2</v>
      </c>
      <c r="D205" s="3">
        <v>0.25779519699999998</v>
      </c>
      <c r="E205" s="3">
        <v>9.2789221000000005E-2</v>
      </c>
      <c r="F205" s="3">
        <v>5.5689288000000003E-2</v>
      </c>
      <c r="G205" s="3">
        <v>5.9428441999999998E-2</v>
      </c>
      <c r="H205" s="3">
        <v>7.3381021000000005E-2</v>
      </c>
      <c r="I205" s="3">
        <v>9.0127558999999996E-2</v>
      </c>
      <c r="J205" s="3">
        <v>7.6071472000000001E-2</v>
      </c>
      <c r="K205" s="3">
        <v>4.7502358000000001E-2</v>
      </c>
      <c r="L205" s="3">
        <v>0.16342757399999999</v>
      </c>
      <c r="M205" s="3">
        <v>6.3986776999999995E-2</v>
      </c>
      <c r="N205" s="3">
        <v>9.9225437999999999E-2</v>
      </c>
      <c r="O205" s="3">
        <v>5.1869514999999998E-2</v>
      </c>
      <c r="P205" s="3">
        <v>0.180751145</v>
      </c>
      <c r="Q205" s="3">
        <v>6.3044653000000006E-2</v>
      </c>
      <c r="R205" s="3">
        <v>0.10653104200000001</v>
      </c>
      <c r="S205" s="3">
        <v>5.5508044999999999E-2</v>
      </c>
      <c r="T205" s="3">
        <v>0.20819385900000001</v>
      </c>
      <c r="U205" s="3">
        <v>5.5986396000000001E-2</v>
      </c>
      <c r="V205" s="3">
        <v>0.42022269296527964</v>
      </c>
      <c r="W205" s="3">
        <v>0.20876138522755514</v>
      </c>
      <c r="X205" s="3">
        <v>0</v>
      </c>
      <c r="Y205" s="3">
        <v>0.4771918139576104</v>
      </c>
      <c r="Z205" s="3">
        <v>0.25337524604856054</v>
      </c>
      <c r="AA205" s="3">
        <v>0</v>
      </c>
      <c r="AB205">
        <v>0</v>
      </c>
      <c r="AC205">
        <v>1</v>
      </c>
      <c r="AD205">
        <v>1</v>
      </c>
    </row>
    <row r="206" spans="1:30" x14ac:dyDescent="0.3">
      <c r="A206" s="1">
        <v>45604</v>
      </c>
      <c r="B206" s="3">
        <v>0.137831817</v>
      </c>
      <c r="C206" s="3">
        <v>3.9214515999999998E-2</v>
      </c>
      <c r="D206" s="3">
        <v>0.172563102</v>
      </c>
      <c r="E206" s="3">
        <v>6.6494414000000002E-2</v>
      </c>
      <c r="F206" s="3">
        <v>0.13526184299999999</v>
      </c>
      <c r="G206" s="3">
        <v>3.9678585000000002E-2</v>
      </c>
      <c r="H206" s="3">
        <v>0.25779519699999998</v>
      </c>
      <c r="I206" s="3">
        <v>9.2789221000000005E-2</v>
      </c>
      <c r="J206" s="3">
        <v>5.5689288000000003E-2</v>
      </c>
      <c r="K206" s="3">
        <v>5.9428441999999998E-2</v>
      </c>
      <c r="L206" s="3">
        <v>7.3381021000000005E-2</v>
      </c>
      <c r="M206" s="3">
        <v>9.0127558999999996E-2</v>
      </c>
      <c r="N206" s="3">
        <v>7.6071472000000001E-2</v>
      </c>
      <c r="O206" s="3">
        <v>4.7502358000000001E-2</v>
      </c>
      <c r="P206" s="3">
        <v>0.16342757399999999</v>
      </c>
      <c r="Q206" s="3">
        <v>6.3986776999999995E-2</v>
      </c>
      <c r="R206" s="3">
        <v>9.9225437999999999E-2</v>
      </c>
      <c r="S206" s="3">
        <v>5.1869514999999998E-2</v>
      </c>
      <c r="T206" s="3">
        <v>0.180751145</v>
      </c>
      <c r="U206" s="3">
        <v>6.3044653000000006E-2</v>
      </c>
      <c r="V206" s="3">
        <v>0.42022269296527964</v>
      </c>
      <c r="W206" s="3">
        <v>0.19828911451454784</v>
      </c>
      <c r="X206" s="3">
        <v>0</v>
      </c>
      <c r="Y206" s="3">
        <v>0.4771918139576104</v>
      </c>
      <c r="Z206" s="3">
        <v>0.25337833353102646</v>
      </c>
      <c r="AA206" s="3">
        <v>0</v>
      </c>
      <c r="AB206">
        <v>0</v>
      </c>
      <c r="AC206">
        <v>1</v>
      </c>
      <c r="AD206">
        <v>1</v>
      </c>
    </row>
    <row r="207" spans="1:30" x14ac:dyDescent="0.3">
      <c r="A207" s="1">
        <v>45607</v>
      </c>
      <c r="B207" s="3">
        <v>0.120483037</v>
      </c>
      <c r="C207" s="3">
        <v>4.8263458000000002E-2</v>
      </c>
      <c r="D207" s="3">
        <v>0.162211139</v>
      </c>
      <c r="E207" s="3">
        <v>5.3036910999999999E-2</v>
      </c>
      <c r="F207" s="3">
        <v>0.137831817</v>
      </c>
      <c r="G207" s="3">
        <v>3.9214515999999998E-2</v>
      </c>
      <c r="H207" s="3">
        <v>0.172563102</v>
      </c>
      <c r="I207" s="3">
        <v>6.6494414000000002E-2</v>
      </c>
      <c r="J207" s="3">
        <v>0.13526184299999999</v>
      </c>
      <c r="K207" s="3">
        <v>3.9678585000000002E-2</v>
      </c>
      <c r="L207" s="3">
        <v>0.25779519699999998</v>
      </c>
      <c r="M207" s="3">
        <v>9.2789221000000005E-2</v>
      </c>
      <c r="N207" s="3">
        <v>5.5689288000000003E-2</v>
      </c>
      <c r="O207" s="3">
        <v>5.9428441999999998E-2</v>
      </c>
      <c r="P207" s="3">
        <v>7.3381021000000005E-2</v>
      </c>
      <c r="Q207" s="3">
        <v>9.0127558999999996E-2</v>
      </c>
      <c r="R207" s="3">
        <v>7.6071472000000001E-2</v>
      </c>
      <c r="S207" s="3">
        <v>4.7502358000000001E-2</v>
      </c>
      <c r="T207" s="3">
        <v>0.16342757399999999</v>
      </c>
      <c r="U207" s="3">
        <v>6.3986776999999995E-2</v>
      </c>
      <c r="V207" s="3">
        <v>0.39059785015010939</v>
      </c>
      <c r="W207" s="3">
        <v>0.19764447202583138</v>
      </c>
      <c r="X207" s="3">
        <v>4.7387804928503263E-3</v>
      </c>
      <c r="Y207" s="3">
        <v>0.42022269296527964</v>
      </c>
      <c r="Z207" s="3">
        <v>0.25315905635123603</v>
      </c>
      <c r="AA207" s="3">
        <v>3.3122775386251494E-3</v>
      </c>
      <c r="AB207">
        <v>0</v>
      </c>
      <c r="AC207">
        <v>1</v>
      </c>
      <c r="AD207">
        <v>1</v>
      </c>
    </row>
    <row r="208" spans="1:30" x14ac:dyDescent="0.3">
      <c r="A208" s="1">
        <v>45608</v>
      </c>
      <c r="B208" s="3">
        <v>0.15119969899999999</v>
      </c>
      <c r="C208" s="3">
        <v>7.0089822999999996E-2</v>
      </c>
      <c r="D208" s="3">
        <v>0.10625285</v>
      </c>
      <c r="E208" s="3">
        <v>0.10020011</v>
      </c>
      <c r="F208" s="3">
        <v>0.120483037</v>
      </c>
      <c r="G208" s="3">
        <v>4.8263458000000002E-2</v>
      </c>
      <c r="H208" s="3">
        <v>0.162211139</v>
      </c>
      <c r="I208" s="3">
        <v>5.3036910999999999E-2</v>
      </c>
      <c r="J208" s="3">
        <v>0.137831817</v>
      </c>
      <c r="K208" s="3">
        <v>3.9214515999999998E-2</v>
      </c>
      <c r="L208" s="3">
        <v>0.172563102</v>
      </c>
      <c r="M208" s="3">
        <v>6.6494414000000002E-2</v>
      </c>
      <c r="N208" s="3">
        <v>0.13526184299999999</v>
      </c>
      <c r="O208" s="3">
        <v>3.9678585000000002E-2</v>
      </c>
      <c r="P208" s="3">
        <v>0.25779519699999998</v>
      </c>
      <c r="Q208" s="3">
        <v>9.2789221000000005E-2</v>
      </c>
      <c r="R208" s="3">
        <v>5.5689288000000003E-2</v>
      </c>
      <c r="S208" s="3">
        <v>5.9428441999999998E-2</v>
      </c>
      <c r="T208" s="3">
        <v>7.3381021000000005E-2</v>
      </c>
      <c r="U208" s="3">
        <v>9.0127558999999996E-2</v>
      </c>
      <c r="V208" s="3">
        <v>0.3592330650834516</v>
      </c>
      <c r="W208" s="3">
        <v>0.20695841589511116</v>
      </c>
      <c r="X208" s="3">
        <v>6.0367879714654619E-2</v>
      </c>
      <c r="Y208" s="3">
        <v>0.39059785015010939</v>
      </c>
      <c r="Z208" s="3">
        <v>0.25660730912058577</v>
      </c>
      <c r="AA208" s="3">
        <v>4.291396457054366E-2</v>
      </c>
      <c r="AB208">
        <v>0</v>
      </c>
      <c r="AC208">
        <v>0</v>
      </c>
      <c r="AD208">
        <v>0</v>
      </c>
    </row>
    <row r="209" spans="1:30" x14ac:dyDescent="0.3">
      <c r="A209" s="1">
        <v>45609</v>
      </c>
      <c r="B209" s="3">
        <v>8.4162510999999995E-2</v>
      </c>
      <c r="C209" s="3">
        <v>6.7452647000000004E-2</v>
      </c>
      <c r="D209" s="3">
        <v>9.4348974000000002E-2</v>
      </c>
      <c r="E209" s="3">
        <v>0.10742484400000001</v>
      </c>
      <c r="F209" s="3">
        <v>0.15119969899999999</v>
      </c>
      <c r="G209" s="3">
        <v>7.0089822999999996E-2</v>
      </c>
      <c r="H209" s="3">
        <v>0.10625285</v>
      </c>
      <c r="I209" s="3">
        <v>0.10020011</v>
      </c>
      <c r="J209" s="3">
        <v>0.120483037</v>
      </c>
      <c r="K209" s="3">
        <v>4.8263458000000002E-2</v>
      </c>
      <c r="L209" s="3">
        <v>0.162211139</v>
      </c>
      <c r="M209" s="3">
        <v>5.3036910999999999E-2</v>
      </c>
      <c r="N209" s="3">
        <v>0.137831817</v>
      </c>
      <c r="O209" s="3">
        <v>3.9214515999999998E-2</v>
      </c>
      <c r="P209" s="3">
        <v>0.172563102</v>
      </c>
      <c r="Q209" s="3">
        <v>6.6494414000000002E-2</v>
      </c>
      <c r="R209" s="3">
        <v>0.13526184299999999</v>
      </c>
      <c r="S209" s="3">
        <v>3.9678585000000002E-2</v>
      </c>
      <c r="T209" s="3">
        <v>0.25779519699999998</v>
      </c>
      <c r="U209" s="3">
        <v>9.2789221000000005E-2</v>
      </c>
      <c r="V209" s="3">
        <v>0.32240275535755841</v>
      </c>
      <c r="W209" s="3">
        <v>0.20609139996770523</v>
      </c>
      <c r="X209" s="3">
        <v>1.4687227174321861E-2</v>
      </c>
      <c r="Y209" s="3">
        <v>0.39059785015010939</v>
      </c>
      <c r="Z209" s="3">
        <v>0.25678654028857556</v>
      </c>
      <c r="AA209" s="3">
        <v>1.1027214282360828E-2</v>
      </c>
      <c r="AB209">
        <v>0</v>
      </c>
      <c r="AC209">
        <v>0</v>
      </c>
      <c r="AD209">
        <v>0</v>
      </c>
    </row>
    <row r="210" spans="1:30" x14ac:dyDescent="0.3">
      <c r="A210" s="1">
        <v>45610</v>
      </c>
      <c r="B210" s="3">
        <v>0.23370490399999999</v>
      </c>
      <c r="C210" s="3">
        <v>5.8015156999999998E-2</v>
      </c>
      <c r="D210" s="3">
        <v>0.29073163299999999</v>
      </c>
      <c r="E210" s="3">
        <v>6.9604799999999994E-2</v>
      </c>
      <c r="F210" s="3">
        <v>8.4162510999999995E-2</v>
      </c>
      <c r="G210" s="3">
        <v>6.7452647000000004E-2</v>
      </c>
      <c r="H210" s="3">
        <v>9.4348974000000002E-2</v>
      </c>
      <c r="I210" s="3">
        <v>0.10742484400000001</v>
      </c>
      <c r="J210" s="3">
        <v>0.15119969899999999</v>
      </c>
      <c r="K210" s="3">
        <v>7.0089822999999996E-2</v>
      </c>
      <c r="L210" s="3">
        <v>0.10625285</v>
      </c>
      <c r="M210" s="3">
        <v>0.10020011</v>
      </c>
      <c r="N210" s="3">
        <v>0.120483037</v>
      </c>
      <c r="O210" s="3">
        <v>4.8263458000000002E-2</v>
      </c>
      <c r="P210" s="3">
        <v>0.162211139</v>
      </c>
      <c r="Q210" s="3">
        <v>5.3036910999999999E-2</v>
      </c>
      <c r="R210" s="3">
        <v>0.137831817</v>
      </c>
      <c r="S210" s="3">
        <v>3.9214515999999998E-2</v>
      </c>
      <c r="T210" s="3">
        <v>0.172563102</v>
      </c>
      <c r="U210" s="3">
        <v>6.6494414000000002E-2</v>
      </c>
      <c r="V210" s="3">
        <v>0.32240275535755841</v>
      </c>
      <c r="W210" s="3">
        <v>0.20616160250523557</v>
      </c>
      <c r="X210" s="3">
        <v>1.7272586054553962E-2</v>
      </c>
      <c r="Y210" s="3">
        <v>0.39059785015010939</v>
      </c>
      <c r="Z210" s="3">
        <v>0.25710646361871764</v>
      </c>
      <c r="AA210" s="3">
        <v>1.2767711042234153E-2</v>
      </c>
      <c r="AB210">
        <v>0</v>
      </c>
      <c r="AC210">
        <v>0</v>
      </c>
      <c r="AD210">
        <v>0</v>
      </c>
    </row>
    <row r="211" spans="1:30" x14ac:dyDescent="0.3">
      <c r="A211" s="1">
        <v>45611</v>
      </c>
      <c r="B211" s="3">
        <v>0.22042800000000001</v>
      </c>
      <c r="C211" s="3">
        <v>0.107452665</v>
      </c>
      <c r="D211" s="3">
        <v>0.258444544</v>
      </c>
      <c r="E211" s="3">
        <v>6.9139091999999999E-2</v>
      </c>
      <c r="F211" s="3">
        <v>0.23370490399999999</v>
      </c>
      <c r="G211" s="3">
        <v>5.8015156999999998E-2</v>
      </c>
      <c r="H211" s="3">
        <v>0.29073163299999999</v>
      </c>
      <c r="I211" s="3">
        <v>6.9604799999999994E-2</v>
      </c>
      <c r="J211" s="3">
        <v>8.4162510999999995E-2</v>
      </c>
      <c r="K211" s="3">
        <v>6.7452647000000004E-2</v>
      </c>
      <c r="L211" s="3">
        <v>9.4348974000000002E-2</v>
      </c>
      <c r="M211" s="3">
        <v>0.10742484400000001</v>
      </c>
      <c r="N211" s="3">
        <v>0.15119969899999999</v>
      </c>
      <c r="O211" s="3">
        <v>7.0089822999999996E-2</v>
      </c>
      <c r="P211" s="3">
        <v>0.10625285</v>
      </c>
      <c r="Q211" s="3">
        <v>0.10020011</v>
      </c>
      <c r="R211" s="3">
        <v>0.120483037</v>
      </c>
      <c r="S211" s="3">
        <v>4.8263458000000002E-2</v>
      </c>
      <c r="T211" s="3">
        <v>0.162211139</v>
      </c>
      <c r="U211" s="3">
        <v>5.3036910999999999E-2</v>
      </c>
      <c r="V211" s="3">
        <v>0.32240275535755841</v>
      </c>
      <c r="W211" s="3">
        <v>0.20005034644226222</v>
      </c>
      <c r="X211" s="3">
        <v>0</v>
      </c>
      <c r="Y211" s="3">
        <v>0.41524593735082388</v>
      </c>
      <c r="Z211" s="3">
        <v>0.25706591397681916</v>
      </c>
      <c r="AA211" s="3">
        <v>0</v>
      </c>
      <c r="AB211">
        <v>0</v>
      </c>
      <c r="AC211">
        <v>0</v>
      </c>
      <c r="AD211">
        <v>0</v>
      </c>
    </row>
    <row r="212" spans="1:30" x14ac:dyDescent="0.3">
      <c r="A212" s="1">
        <v>45614</v>
      </c>
      <c r="B212" s="3">
        <v>0.30559944100000003</v>
      </c>
      <c r="C212" s="3">
        <v>0.100946219</v>
      </c>
      <c r="D212" s="3">
        <v>0.30427296300000001</v>
      </c>
      <c r="E212" s="3">
        <v>0.12599155100000001</v>
      </c>
      <c r="F212" s="3">
        <v>0.22042800000000001</v>
      </c>
      <c r="G212" s="3">
        <v>0.107452665</v>
      </c>
      <c r="H212" s="3">
        <v>0.258444544</v>
      </c>
      <c r="I212" s="3">
        <v>6.9139091999999999E-2</v>
      </c>
      <c r="J212" s="3">
        <v>0.23370490399999999</v>
      </c>
      <c r="K212" s="3">
        <v>5.8015156999999998E-2</v>
      </c>
      <c r="L212" s="3">
        <v>0.29073163299999999</v>
      </c>
      <c r="M212" s="3">
        <v>6.9604799999999994E-2</v>
      </c>
      <c r="N212" s="3">
        <v>8.4162510999999995E-2</v>
      </c>
      <c r="O212" s="3">
        <v>6.7452647000000004E-2</v>
      </c>
      <c r="P212" s="3">
        <v>9.4348974000000002E-2</v>
      </c>
      <c r="Q212" s="3">
        <v>0.10742484400000001</v>
      </c>
      <c r="R212" s="3">
        <v>0.15119969899999999</v>
      </c>
      <c r="S212" s="3">
        <v>7.0089822999999996E-2</v>
      </c>
      <c r="T212" s="3">
        <v>0.10625285</v>
      </c>
      <c r="U212" s="3">
        <v>0.10020011</v>
      </c>
      <c r="V212" s="3">
        <v>0.30144970132337223</v>
      </c>
      <c r="W212" s="3">
        <v>0.20045428290643769</v>
      </c>
      <c r="X212" s="3">
        <v>1.2870577390346602E-2</v>
      </c>
      <c r="Y212" s="3">
        <v>0.39059785015010939</v>
      </c>
      <c r="Z212" s="3">
        <v>0.25613279888548368</v>
      </c>
      <c r="AA212" s="3">
        <v>1.0162004055352261E-2</v>
      </c>
      <c r="AB212">
        <v>1</v>
      </c>
      <c r="AC212">
        <v>0</v>
      </c>
      <c r="AD212">
        <v>1</v>
      </c>
    </row>
    <row r="213" spans="1:30" x14ac:dyDescent="0.3">
      <c r="A213" s="1">
        <v>45615</v>
      </c>
      <c r="B213" s="3">
        <v>0.17990471399999999</v>
      </c>
      <c r="C213" s="3">
        <v>0.15865732799999999</v>
      </c>
      <c r="D213" s="3">
        <v>0.43706959099999998</v>
      </c>
      <c r="E213" s="3">
        <v>0.22365999</v>
      </c>
      <c r="F213" s="3">
        <v>0.30559944100000003</v>
      </c>
      <c r="G213" s="3">
        <v>0.100946219</v>
      </c>
      <c r="H213" s="3">
        <v>0.30427296300000001</v>
      </c>
      <c r="I213" s="3">
        <v>0.12599155100000001</v>
      </c>
      <c r="J213" s="3">
        <v>0.22042800000000001</v>
      </c>
      <c r="K213" s="3">
        <v>0.107452665</v>
      </c>
      <c r="L213" s="3">
        <v>0.258444544</v>
      </c>
      <c r="M213" s="3">
        <v>6.9139091999999999E-2</v>
      </c>
      <c r="N213" s="3">
        <v>0.23370490399999999</v>
      </c>
      <c r="O213" s="3">
        <v>5.8015156999999998E-2</v>
      </c>
      <c r="P213" s="3">
        <v>0.29073163299999999</v>
      </c>
      <c r="Q213" s="3">
        <v>6.9604799999999994E-2</v>
      </c>
      <c r="R213" s="3">
        <v>8.4162510999999995E-2</v>
      </c>
      <c r="S213" s="3">
        <v>6.7452647000000004E-2</v>
      </c>
      <c r="T213" s="3">
        <v>9.4348974000000002E-2</v>
      </c>
      <c r="U213" s="3">
        <v>0.10742484400000001</v>
      </c>
      <c r="V213" s="3">
        <v>0.33828001104926542</v>
      </c>
      <c r="W213" s="3">
        <v>0.20304002908547933</v>
      </c>
      <c r="X213" s="3">
        <v>0</v>
      </c>
      <c r="Y213" s="3">
        <v>0.39059785015010939</v>
      </c>
      <c r="Z213" s="3">
        <v>0.25704160277099358</v>
      </c>
      <c r="AA213" s="3">
        <v>0</v>
      </c>
      <c r="AB213">
        <v>0</v>
      </c>
      <c r="AC213">
        <v>0</v>
      </c>
      <c r="AD213">
        <v>0</v>
      </c>
    </row>
    <row r="214" spans="1:30" x14ac:dyDescent="0.3">
      <c r="A214" s="1">
        <v>45616</v>
      </c>
      <c r="B214" s="3">
        <v>3.9694199999999999E-2</v>
      </c>
      <c r="C214" s="3">
        <v>4.1567539000000001E-2</v>
      </c>
      <c r="D214" s="3">
        <v>2.6747162000000001E-2</v>
      </c>
      <c r="E214" s="3">
        <v>3.7688705000000003E-2</v>
      </c>
      <c r="F214" s="3">
        <v>0.17990471399999999</v>
      </c>
      <c r="G214" s="3">
        <v>0.15865732799999999</v>
      </c>
      <c r="H214" s="3">
        <v>0.43706959099999998</v>
      </c>
      <c r="I214" s="3">
        <v>0.22365999</v>
      </c>
      <c r="J214" s="3">
        <v>0.30559944100000003</v>
      </c>
      <c r="K214" s="3">
        <v>0.100946219</v>
      </c>
      <c r="L214" s="3">
        <v>0.30427296300000001</v>
      </c>
      <c r="M214" s="3">
        <v>0.12599155100000001</v>
      </c>
      <c r="N214" s="3">
        <v>0.22042800000000001</v>
      </c>
      <c r="O214" s="3">
        <v>0.107452665</v>
      </c>
      <c r="P214" s="3">
        <v>0.258444544</v>
      </c>
      <c r="Q214" s="3">
        <v>6.9139091999999999E-2</v>
      </c>
      <c r="R214" s="3">
        <v>0.23370490399999999</v>
      </c>
      <c r="S214" s="3">
        <v>5.8015156999999998E-2</v>
      </c>
      <c r="T214" s="3">
        <v>0.29073163299999999</v>
      </c>
      <c r="U214" s="3">
        <v>6.9604799999999994E-2</v>
      </c>
      <c r="V214" s="3">
        <v>0.33828001104926542</v>
      </c>
      <c r="W214" s="3">
        <v>0.20265932561614719</v>
      </c>
      <c r="X214" s="3">
        <v>1.848463803387073E-2</v>
      </c>
      <c r="Y214" s="3">
        <v>0.39059785015010939</v>
      </c>
      <c r="Z214" s="3">
        <v>0.25736920893394871</v>
      </c>
      <c r="AA214" s="3">
        <v>1.3807884823264288E-2</v>
      </c>
      <c r="AB214">
        <v>0</v>
      </c>
      <c r="AC214">
        <v>1</v>
      </c>
      <c r="AD214">
        <v>1</v>
      </c>
    </row>
    <row r="215" spans="1:30" x14ac:dyDescent="0.3">
      <c r="A215" s="1">
        <v>45617</v>
      </c>
      <c r="B215" s="3">
        <v>0.110878699</v>
      </c>
      <c r="C215" s="3">
        <v>3.8894155E-2</v>
      </c>
      <c r="D215" s="3">
        <v>0.13354914400000001</v>
      </c>
      <c r="E215" s="3">
        <v>6.8359044999999993E-2</v>
      </c>
      <c r="F215" s="3">
        <v>3.9694199999999999E-2</v>
      </c>
      <c r="G215" s="3">
        <v>4.1567539000000001E-2</v>
      </c>
      <c r="H215" s="3">
        <v>2.6747162000000001E-2</v>
      </c>
      <c r="I215" s="3">
        <v>3.7688705000000003E-2</v>
      </c>
      <c r="J215" s="3">
        <v>0.17990471399999999</v>
      </c>
      <c r="K215" s="3">
        <v>0.15865732799999999</v>
      </c>
      <c r="L215" s="3">
        <v>0.43706959099999998</v>
      </c>
      <c r="M215" s="3">
        <v>0.22365999</v>
      </c>
      <c r="N215" s="3">
        <v>0.30559944100000003</v>
      </c>
      <c r="O215" s="3">
        <v>0.100946219</v>
      </c>
      <c r="P215" s="3">
        <v>0.30427296300000001</v>
      </c>
      <c r="Q215" s="3">
        <v>0.12599155100000001</v>
      </c>
      <c r="R215" s="3">
        <v>0.22042800000000001</v>
      </c>
      <c r="S215" s="3">
        <v>0.107452665</v>
      </c>
      <c r="T215" s="3">
        <v>0.258444544</v>
      </c>
      <c r="U215" s="3">
        <v>6.9139091999999999E-2</v>
      </c>
      <c r="V215" s="3">
        <v>0.33828001104926542</v>
      </c>
      <c r="W215" s="3">
        <v>0.20296297122322229</v>
      </c>
      <c r="X215" s="3">
        <v>1.5496591179928507E-2</v>
      </c>
      <c r="Y215" s="3">
        <v>0.36280962546152595</v>
      </c>
      <c r="Z215" s="3">
        <v>0.25745341698204804</v>
      </c>
      <c r="AA215" s="3">
        <v>1.1571362907404504E-2</v>
      </c>
      <c r="AB215">
        <v>0</v>
      </c>
      <c r="AC215">
        <v>0</v>
      </c>
      <c r="AD215">
        <v>0</v>
      </c>
    </row>
    <row r="216" spans="1:30" x14ac:dyDescent="0.3">
      <c r="A216" s="1">
        <v>45618</v>
      </c>
      <c r="B216" s="3">
        <v>6.9395222000000006E-2</v>
      </c>
      <c r="C216" s="3">
        <v>3.3934219000000002E-2</v>
      </c>
      <c r="D216" s="3">
        <v>0.124401716</v>
      </c>
      <c r="E216" s="3">
        <v>3.8623739999999997E-2</v>
      </c>
      <c r="F216" s="3">
        <v>0.110878699</v>
      </c>
      <c r="G216" s="3">
        <v>3.8894155E-2</v>
      </c>
      <c r="H216" s="3">
        <v>0.13354914400000001</v>
      </c>
      <c r="I216" s="3">
        <v>6.8359044999999993E-2</v>
      </c>
      <c r="J216" s="3">
        <v>3.9694199999999999E-2</v>
      </c>
      <c r="K216" s="3">
        <v>4.1567539000000001E-2</v>
      </c>
      <c r="L216" s="3">
        <v>2.6747162000000001E-2</v>
      </c>
      <c r="M216" s="3">
        <v>3.7688705000000003E-2</v>
      </c>
      <c r="N216" s="3">
        <v>0.17990471399999999</v>
      </c>
      <c r="O216" s="3">
        <v>0.15865732799999999</v>
      </c>
      <c r="P216" s="3">
        <v>0.43706959099999998</v>
      </c>
      <c r="Q216" s="3">
        <v>0.22365999</v>
      </c>
      <c r="R216" s="3">
        <v>0.30559944100000003</v>
      </c>
      <c r="S216" s="3">
        <v>0.100946219</v>
      </c>
      <c r="T216" s="3">
        <v>0.30427296300000001</v>
      </c>
      <c r="U216" s="3">
        <v>0.12599155100000001</v>
      </c>
      <c r="V216" s="3">
        <v>0.41524593735082388</v>
      </c>
      <c r="W216" s="3">
        <v>0.20627314666161259</v>
      </c>
      <c r="X216" s="3">
        <v>0</v>
      </c>
      <c r="Y216" s="3">
        <v>0.36280962546152595</v>
      </c>
      <c r="Z216" s="3">
        <v>0.25868902966682661</v>
      </c>
      <c r="AA216" s="3">
        <v>0</v>
      </c>
      <c r="AB216">
        <v>0</v>
      </c>
      <c r="AC216">
        <v>1</v>
      </c>
      <c r="AD216">
        <v>1</v>
      </c>
    </row>
    <row r="217" spans="1:30" x14ac:dyDescent="0.3">
      <c r="A217" s="1">
        <v>45621</v>
      </c>
      <c r="B217" s="3">
        <v>9.1177995999999997E-2</v>
      </c>
      <c r="C217" s="3">
        <v>3.1816795000000002E-2</v>
      </c>
      <c r="D217" s="3">
        <v>7.8980812999999997E-2</v>
      </c>
      <c r="E217" s="3">
        <v>4.9325803000000001E-2</v>
      </c>
      <c r="F217" s="3">
        <v>6.9395222000000006E-2</v>
      </c>
      <c r="G217" s="3">
        <v>3.3934219000000002E-2</v>
      </c>
      <c r="H217" s="3">
        <v>0.124401716</v>
      </c>
      <c r="I217" s="3">
        <v>3.8623739999999997E-2</v>
      </c>
      <c r="J217" s="3">
        <v>0.110878699</v>
      </c>
      <c r="K217" s="3">
        <v>3.8894155E-2</v>
      </c>
      <c r="L217" s="3">
        <v>0.13354914400000001</v>
      </c>
      <c r="M217" s="3">
        <v>6.8359044999999993E-2</v>
      </c>
      <c r="N217" s="3">
        <v>3.9694199999999999E-2</v>
      </c>
      <c r="O217" s="3">
        <v>4.1567539000000001E-2</v>
      </c>
      <c r="P217" s="3">
        <v>2.6747162000000001E-2</v>
      </c>
      <c r="Q217" s="3">
        <v>3.7688705000000003E-2</v>
      </c>
      <c r="R217" s="3">
        <v>0.17990471399999999</v>
      </c>
      <c r="S217" s="3">
        <v>0.15865732799999999</v>
      </c>
      <c r="T217" s="3">
        <v>0.43706959099999998</v>
      </c>
      <c r="U217" s="3">
        <v>0.22365999</v>
      </c>
      <c r="V217" s="3">
        <v>0.33828001104926542</v>
      </c>
      <c r="W217" s="3">
        <v>0.20624348323819966</v>
      </c>
      <c r="X217" s="3">
        <v>0</v>
      </c>
      <c r="Y217" s="3">
        <v>0.36280962546152595</v>
      </c>
      <c r="Z217" s="3">
        <v>0.25810507414365752</v>
      </c>
      <c r="AA217" s="3">
        <v>0</v>
      </c>
      <c r="AB217">
        <v>0</v>
      </c>
      <c r="AC217">
        <v>0</v>
      </c>
      <c r="AD217">
        <v>0</v>
      </c>
    </row>
    <row r="218" spans="1:30" x14ac:dyDescent="0.3">
      <c r="A218" s="1">
        <v>45622</v>
      </c>
      <c r="B218" s="3">
        <v>7.3615473000000001E-2</v>
      </c>
      <c r="C218" s="3">
        <v>3.8634185000000001E-2</v>
      </c>
      <c r="D218" s="3">
        <v>6.3244555999999993E-2</v>
      </c>
      <c r="E218" s="3">
        <v>5.5625455999999997E-2</v>
      </c>
      <c r="F218" s="3">
        <v>9.1177995999999997E-2</v>
      </c>
      <c r="G218" s="3">
        <v>3.1816795000000002E-2</v>
      </c>
      <c r="H218" s="3">
        <v>7.8980812999999997E-2</v>
      </c>
      <c r="I218" s="3">
        <v>4.9325803000000001E-2</v>
      </c>
      <c r="J218" s="3">
        <v>6.9395222000000006E-2</v>
      </c>
      <c r="K218" s="3">
        <v>3.3934219000000002E-2</v>
      </c>
      <c r="L218" s="3">
        <v>0.124401716</v>
      </c>
      <c r="M218" s="3">
        <v>3.8623739999999997E-2</v>
      </c>
      <c r="N218" s="3">
        <v>0.110878699</v>
      </c>
      <c r="O218" s="3">
        <v>3.8894155E-2</v>
      </c>
      <c r="P218" s="3">
        <v>0.13354914400000001</v>
      </c>
      <c r="Q218" s="3">
        <v>6.8359044999999993E-2</v>
      </c>
      <c r="R218" s="3">
        <v>3.9694199999999999E-2</v>
      </c>
      <c r="S218" s="3">
        <v>4.1567539000000001E-2</v>
      </c>
      <c r="T218" s="3">
        <v>2.6747162000000001E-2</v>
      </c>
      <c r="U218" s="3">
        <v>3.7688705000000003E-2</v>
      </c>
      <c r="V218" s="3">
        <v>0.33828001104926542</v>
      </c>
      <c r="W218" s="3">
        <v>0.20839449896031864</v>
      </c>
      <c r="X218" s="3">
        <v>3.0364661409632024E-2</v>
      </c>
      <c r="Y218" s="3">
        <v>0.36280962546152595</v>
      </c>
      <c r="Z218" s="3">
        <v>0.25777106130833616</v>
      </c>
      <c r="AA218" s="3">
        <v>2.231519149294493E-2</v>
      </c>
      <c r="AB218">
        <v>1</v>
      </c>
      <c r="AC218">
        <v>0</v>
      </c>
      <c r="AD218">
        <v>1</v>
      </c>
    </row>
    <row r="219" spans="1:30" x14ac:dyDescent="0.3">
      <c r="A219" s="1">
        <v>45623</v>
      </c>
      <c r="B219" s="3">
        <v>6.5647282000000001E-2</v>
      </c>
      <c r="C219" s="3">
        <v>4.6948027000000003E-2</v>
      </c>
      <c r="D219" s="3">
        <v>2.7192316000000001E-2</v>
      </c>
      <c r="E219" s="3">
        <v>5.4119493999999997E-2</v>
      </c>
      <c r="F219" s="3">
        <v>7.3615473000000001E-2</v>
      </c>
      <c r="G219" s="3">
        <v>3.8634185000000001E-2</v>
      </c>
      <c r="H219" s="3">
        <v>6.3244555999999993E-2</v>
      </c>
      <c r="I219" s="3">
        <v>5.5625455999999997E-2</v>
      </c>
      <c r="J219" s="3">
        <v>9.1177995999999997E-2</v>
      </c>
      <c r="K219" s="3">
        <v>3.1816795000000002E-2</v>
      </c>
      <c r="L219" s="3">
        <v>7.8980812999999997E-2</v>
      </c>
      <c r="M219" s="3">
        <v>4.9325803000000001E-2</v>
      </c>
      <c r="N219" s="3">
        <v>6.9395222000000006E-2</v>
      </c>
      <c r="O219" s="3">
        <v>3.3934219000000002E-2</v>
      </c>
      <c r="P219" s="3">
        <v>0.124401716</v>
      </c>
      <c r="Q219" s="3">
        <v>3.8623739999999997E-2</v>
      </c>
      <c r="R219" s="3">
        <v>0.110878699</v>
      </c>
      <c r="S219" s="3">
        <v>3.8894155E-2</v>
      </c>
      <c r="T219" s="3">
        <v>0.13354914400000001</v>
      </c>
      <c r="U219" s="3">
        <v>6.8359044999999993E-2</v>
      </c>
      <c r="V219" s="3">
        <v>0.25984176051690744</v>
      </c>
      <c r="W219" s="3">
        <v>0.21102191989186325</v>
      </c>
      <c r="X219" s="3">
        <v>3.7941485564776306E-2</v>
      </c>
      <c r="Y219" s="3">
        <v>0.36280962546152595</v>
      </c>
      <c r="Z219" s="3">
        <v>0.25875456394206864</v>
      </c>
      <c r="AA219" s="3">
        <v>2.826719501457782E-2</v>
      </c>
      <c r="AB219">
        <v>1</v>
      </c>
      <c r="AC219">
        <v>0</v>
      </c>
      <c r="AD219">
        <v>1</v>
      </c>
    </row>
    <row r="220" spans="1:30" x14ac:dyDescent="0.3">
      <c r="A220" s="1">
        <v>45624</v>
      </c>
      <c r="B220" s="3">
        <v>0.107751708</v>
      </c>
      <c r="C220" s="3">
        <v>3.4992824999999998E-2</v>
      </c>
      <c r="D220" s="3">
        <v>0.17531000799999999</v>
      </c>
      <c r="E220" s="3">
        <v>8.9907015000000007E-2</v>
      </c>
      <c r="F220" s="3">
        <v>6.5647282000000001E-2</v>
      </c>
      <c r="G220" s="3">
        <v>4.6948027000000003E-2</v>
      </c>
      <c r="H220" s="3">
        <v>2.7192316000000001E-2</v>
      </c>
      <c r="I220" s="3">
        <v>5.4119493999999997E-2</v>
      </c>
      <c r="J220" s="3">
        <v>7.3615473000000001E-2</v>
      </c>
      <c r="K220" s="3">
        <v>3.8634185000000001E-2</v>
      </c>
      <c r="L220" s="3">
        <v>6.3244555999999993E-2</v>
      </c>
      <c r="M220" s="3">
        <v>5.5625455999999997E-2</v>
      </c>
      <c r="N220" s="3">
        <v>9.1177995999999997E-2</v>
      </c>
      <c r="O220" s="3">
        <v>3.1816795000000002E-2</v>
      </c>
      <c r="P220" s="3">
        <v>7.8980812999999997E-2</v>
      </c>
      <c r="Q220" s="3">
        <v>4.9325803000000001E-2</v>
      </c>
      <c r="R220" s="3">
        <v>6.9395222000000006E-2</v>
      </c>
      <c r="S220" s="3">
        <v>3.3934219000000002E-2</v>
      </c>
      <c r="T220" s="3">
        <v>0.124401716</v>
      </c>
      <c r="U220" s="3">
        <v>3.8623739999999997E-2</v>
      </c>
      <c r="V220" s="3">
        <v>0.25984176051690744</v>
      </c>
      <c r="W220" s="3">
        <v>0.21019106348034455</v>
      </c>
      <c r="X220" s="3">
        <v>4.455854256270912E-3</v>
      </c>
      <c r="Y220" s="3">
        <v>0.3314448403948681</v>
      </c>
      <c r="Z220" s="3">
        <v>0.25831867760439692</v>
      </c>
      <c r="AA220" s="3">
        <v>4.2500170094821521E-3</v>
      </c>
      <c r="AB220">
        <v>1</v>
      </c>
      <c r="AC220">
        <v>0</v>
      </c>
      <c r="AD220">
        <v>1</v>
      </c>
    </row>
    <row r="221" spans="1:30" x14ac:dyDescent="0.3">
      <c r="A221" s="1">
        <v>45625</v>
      </c>
      <c r="B221" s="3">
        <v>0.103550342</v>
      </c>
      <c r="C221" s="3">
        <v>3.2403550000000003E-2</v>
      </c>
      <c r="D221" s="3">
        <v>0.12800158</v>
      </c>
      <c r="E221" s="3">
        <v>3.6460276E-2</v>
      </c>
      <c r="F221" s="3">
        <v>0.107751708</v>
      </c>
      <c r="G221" s="3">
        <v>3.4992824999999998E-2</v>
      </c>
      <c r="H221" s="3">
        <v>0.17531000799999999</v>
      </c>
      <c r="I221" s="3">
        <v>8.9907015000000007E-2</v>
      </c>
      <c r="J221" s="3">
        <v>6.5647282000000001E-2</v>
      </c>
      <c r="K221" s="3">
        <v>4.6948027000000003E-2</v>
      </c>
      <c r="L221" s="3">
        <v>2.7192316000000001E-2</v>
      </c>
      <c r="M221" s="3">
        <v>5.4119493999999997E-2</v>
      </c>
      <c r="N221" s="3">
        <v>7.3615473000000001E-2</v>
      </c>
      <c r="O221" s="3">
        <v>3.8634185000000001E-2</v>
      </c>
      <c r="P221" s="3">
        <v>6.3244555999999993E-2</v>
      </c>
      <c r="Q221" s="3">
        <v>5.5625455999999997E-2</v>
      </c>
      <c r="R221" s="3">
        <v>9.1177995999999997E-2</v>
      </c>
      <c r="S221" s="3">
        <v>3.1816795000000002E-2</v>
      </c>
      <c r="T221" s="3">
        <v>7.8980812999999997E-2</v>
      </c>
      <c r="U221" s="3">
        <v>4.9325803000000001E-2</v>
      </c>
      <c r="V221" s="3">
        <v>6.1836409639347001E-2</v>
      </c>
      <c r="W221" s="3">
        <v>0.21012149931049362</v>
      </c>
      <c r="X221" s="3">
        <v>4.3302298144582826E-3</v>
      </c>
      <c r="Y221" s="3">
        <v>0.3314448403948681</v>
      </c>
      <c r="Z221" s="3">
        <v>0.25784636177166104</v>
      </c>
      <c r="AA221" s="3">
        <v>4.3935999956912402E-3</v>
      </c>
      <c r="AB221">
        <v>1</v>
      </c>
      <c r="AC221">
        <v>0</v>
      </c>
      <c r="AD221">
        <v>1</v>
      </c>
    </row>
    <row r="222" spans="1:30" x14ac:dyDescent="0.3">
      <c r="A222" s="1">
        <v>45628</v>
      </c>
      <c r="B222" s="3">
        <v>6.1728176000000003E-2</v>
      </c>
      <c r="C222" s="3">
        <v>4.6950798000000002E-2</v>
      </c>
      <c r="D222" s="3">
        <v>0.146794391</v>
      </c>
      <c r="E222" s="3">
        <v>5.0361363999999999E-2</v>
      </c>
      <c r="F222" s="3">
        <v>0.103550342</v>
      </c>
      <c r="G222" s="3">
        <v>3.2403550000000003E-2</v>
      </c>
      <c r="H222" s="3">
        <v>0.12800158</v>
      </c>
      <c r="I222" s="3">
        <v>3.6460276E-2</v>
      </c>
      <c r="J222" s="3">
        <v>0.107751708</v>
      </c>
      <c r="K222" s="3">
        <v>3.4992824999999998E-2</v>
      </c>
      <c r="L222" s="3">
        <v>0.17531000799999999</v>
      </c>
      <c r="M222" s="3">
        <v>8.9907015000000007E-2</v>
      </c>
      <c r="N222" s="3">
        <v>6.5647282000000001E-2</v>
      </c>
      <c r="O222" s="3">
        <v>4.6948027000000003E-2</v>
      </c>
      <c r="P222" s="3">
        <v>2.7192316000000001E-2</v>
      </c>
      <c r="Q222" s="3">
        <v>5.4119493999999997E-2</v>
      </c>
      <c r="R222" s="3">
        <v>7.3615473000000001E-2</v>
      </c>
      <c r="S222" s="3">
        <v>3.8634185000000001E-2</v>
      </c>
      <c r="T222" s="3">
        <v>6.3244555999999993E-2</v>
      </c>
      <c r="U222" s="3">
        <v>5.5625455999999997E-2</v>
      </c>
      <c r="V222" s="3">
        <v>0.25984176051690744</v>
      </c>
      <c r="W222" s="3">
        <v>0.21219397883348462</v>
      </c>
      <c r="X222" s="3">
        <v>0</v>
      </c>
      <c r="Y222" s="3">
        <v>0.3314448403948681</v>
      </c>
      <c r="Z222" s="3">
        <v>0.25844692306676043</v>
      </c>
      <c r="AA222" s="3">
        <v>0</v>
      </c>
      <c r="AB222">
        <v>1</v>
      </c>
      <c r="AC222">
        <v>0</v>
      </c>
      <c r="AD222">
        <v>1</v>
      </c>
    </row>
    <row r="223" spans="1:30" x14ac:dyDescent="0.3">
      <c r="A223" s="1">
        <v>45629</v>
      </c>
      <c r="B223" s="3">
        <v>6.5431568999999995E-2</v>
      </c>
      <c r="C223" s="3">
        <v>5.0166503000000001E-2</v>
      </c>
      <c r="D223" s="3">
        <v>9.9399026000000001E-2</v>
      </c>
      <c r="E223" s="3">
        <v>5.7221403999999997E-2</v>
      </c>
      <c r="F223" s="3">
        <v>6.1728176000000003E-2</v>
      </c>
      <c r="G223" s="3">
        <v>4.6950798000000002E-2</v>
      </c>
      <c r="H223" s="3">
        <v>0.146794391</v>
      </c>
      <c r="I223" s="3">
        <v>5.0361363999999999E-2</v>
      </c>
      <c r="J223" s="3">
        <v>0.103550342</v>
      </c>
      <c r="K223" s="3">
        <v>3.2403550000000003E-2</v>
      </c>
      <c r="L223" s="3">
        <v>0.12800158</v>
      </c>
      <c r="M223" s="3">
        <v>3.6460276E-2</v>
      </c>
      <c r="N223" s="3">
        <v>0.107751708</v>
      </c>
      <c r="O223" s="3">
        <v>3.4992824999999998E-2</v>
      </c>
      <c r="P223" s="3">
        <v>0.17531000799999999</v>
      </c>
      <c r="Q223" s="3">
        <v>8.9907015000000007E-2</v>
      </c>
      <c r="R223" s="3">
        <v>6.5647282000000001E-2</v>
      </c>
      <c r="S223" s="3">
        <v>4.6948027000000003E-2</v>
      </c>
      <c r="T223" s="3">
        <v>2.7192316000000001E-2</v>
      </c>
      <c r="U223" s="3">
        <v>5.4119493999999997E-2</v>
      </c>
      <c r="V223" s="3">
        <v>0.33828001104926542</v>
      </c>
      <c r="W223" s="3">
        <v>0.21365477055740842</v>
      </c>
      <c r="X223" s="3">
        <v>0</v>
      </c>
      <c r="Y223" s="3">
        <v>0.3314448403948681</v>
      </c>
      <c r="Z223" s="3">
        <v>0.25727043711964737</v>
      </c>
      <c r="AA223" s="3">
        <v>0</v>
      </c>
      <c r="AB223">
        <v>0</v>
      </c>
      <c r="AC223">
        <v>0</v>
      </c>
      <c r="AD223">
        <v>0</v>
      </c>
    </row>
    <row r="224" spans="1:30" x14ac:dyDescent="0.3">
      <c r="A224" s="1">
        <v>45630</v>
      </c>
      <c r="B224" s="3">
        <v>1.2009396E-2</v>
      </c>
      <c r="C224" s="3">
        <v>3.3302132999999998E-2</v>
      </c>
      <c r="D224" s="3">
        <v>7.7576922000000006E-2</v>
      </c>
      <c r="E224" s="3">
        <v>5.9221650000000001E-2</v>
      </c>
      <c r="F224" s="3">
        <v>6.5431568999999995E-2</v>
      </c>
      <c r="G224" s="3">
        <v>5.0166503000000001E-2</v>
      </c>
      <c r="H224" s="3">
        <v>9.9399026000000001E-2</v>
      </c>
      <c r="I224" s="3">
        <v>5.7221403999999997E-2</v>
      </c>
      <c r="J224" s="3">
        <v>6.1728176000000003E-2</v>
      </c>
      <c r="K224" s="3">
        <v>4.6950798000000002E-2</v>
      </c>
      <c r="L224" s="3">
        <v>0.146794391</v>
      </c>
      <c r="M224" s="3">
        <v>5.0361363999999999E-2</v>
      </c>
      <c r="N224" s="3">
        <v>0.103550342</v>
      </c>
      <c r="O224" s="3">
        <v>3.2403550000000003E-2</v>
      </c>
      <c r="P224" s="3">
        <v>0.12800158</v>
      </c>
      <c r="Q224" s="3">
        <v>3.6460276E-2</v>
      </c>
      <c r="R224" s="3">
        <v>0.107751708</v>
      </c>
      <c r="S224" s="3">
        <v>3.4992824999999998E-2</v>
      </c>
      <c r="T224" s="3">
        <v>0.17531000799999999</v>
      </c>
      <c r="U224" s="3">
        <v>8.9907015000000007E-2</v>
      </c>
      <c r="V224" s="3">
        <v>0.41524593735082388</v>
      </c>
      <c r="W224" s="3">
        <v>0.17946216210064922</v>
      </c>
      <c r="X224" s="3">
        <v>0</v>
      </c>
      <c r="Y224" s="3">
        <v>0.36280962546152595</v>
      </c>
      <c r="Z224" s="3">
        <v>0.25769173718989213</v>
      </c>
      <c r="AA224" s="3">
        <v>0</v>
      </c>
      <c r="AB224">
        <v>0</v>
      </c>
      <c r="AC224">
        <v>1</v>
      </c>
      <c r="AD224">
        <v>1</v>
      </c>
    </row>
    <row r="225" spans="1:30" x14ac:dyDescent="0.3">
      <c r="A225" s="1">
        <v>45631</v>
      </c>
      <c r="B225" s="3">
        <v>0.126088802</v>
      </c>
      <c r="C225" s="3">
        <v>2.9688768000000001E-2</v>
      </c>
      <c r="D225" s="3">
        <v>0.15994926900000001</v>
      </c>
      <c r="E225" s="3">
        <v>5.0425076999999999E-2</v>
      </c>
      <c r="F225" s="3">
        <v>1.2009396E-2</v>
      </c>
      <c r="G225" s="3">
        <v>3.3302132999999998E-2</v>
      </c>
      <c r="H225" s="3">
        <v>7.7576922000000006E-2</v>
      </c>
      <c r="I225" s="3">
        <v>5.9221650000000001E-2</v>
      </c>
      <c r="J225" s="3">
        <v>6.5431568999999995E-2</v>
      </c>
      <c r="K225" s="3">
        <v>5.0166503000000001E-2</v>
      </c>
      <c r="L225" s="3">
        <v>9.9399026000000001E-2</v>
      </c>
      <c r="M225" s="3">
        <v>5.7221403999999997E-2</v>
      </c>
      <c r="N225" s="3">
        <v>6.1728176000000003E-2</v>
      </c>
      <c r="O225" s="3">
        <v>4.6950798000000002E-2</v>
      </c>
      <c r="P225" s="3">
        <v>0.146794391</v>
      </c>
      <c r="Q225" s="3">
        <v>5.0361363999999999E-2</v>
      </c>
      <c r="R225" s="3">
        <v>0.103550342</v>
      </c>
      <c r="S225" s="3">
        <v>3.2403550000000003E-2</v>
      </c>
      <c r="T225" s="3">
        <v>0.12800158</v>
      </c>
      <c r="U225" s="3">
        <v>3.6460276E-2</v>
      </c>
      <c r="V225" s="3">
        <v>0.33828001104926542</v>
      </c>
      <c r="W225" s="3">
        <v>0.17933194546363546</v>
      </c>
      <c r="X225" s="3">
        <v>2.4318723282702771E-3</v>
      </c>
      <c r="Y225" s="3">
        <v>0.36280962546152595</v>
      </c>
      <c r="Z225" s="3">
        <v>0.25765549783909081</v>
      </c>
      <c r="AA225" s="3">
        <v>7.9594636333162137E-4</v>
      </c>
      <c r="AB225">
        <v>0</v>
      </c>
      <c r="AC225">
        <v>0</v>
      </c>
      <c r="AD225">
        <v>0</v>
      </c>
    </row>
    <row r="226" spans="1:30" x14ac:dyDescent="0.3">
      <c r="A226" s="1">
        <v>45632</v>
      </c>
      <c r="B226" s="3">
        <v>0.12066123500000001</v>
      </c>
      <c r="C226" s="3">
        <v>2.9268386E-2</v>
      </c>
      <c r="D226" s="3">
        <v>0.14728759199999999</v>
      </c>
      <c r="E226" s="3">
        <v>7.0195947999999994E-2</v>
      </c>
      <c r="F226" s="3">
        <v>0.126088802</v>
      </c>
      <c r="G226" s="3">
        <v>2.9688768000000001E-2</v>
      </c>
      <c r="H226" s="3">
        <v>0.15994926900000001</v>
      </c>
      <c r="I226" s="3">
        <v>5.0425076999999999E-2</v>
      </c>
      <c r="J226" s="3">
        <v>1.2009396E-2</v>
      </c>
      <c r="K226" s="3">
        <v>3.3302132999999998E-2</v>
      </c>
      <c r="L226" s="3">
        <v>7.7576922000000006E-2</v>
      </c>
      <c r="M226" s="3">
        <v>5.9221650000000001E-2</v>
      </c>
      <c r="N226" s="3">
        <v>6.5431568999999995E-2</v>
      </c>
      <c r="O226" s="3">
        <v>5.0166503000000001E-2</v>
      </c>
      <c r="P226" s="3">
        <v>9.9399026000000001E-2</v>
      </c>
      <c r="Q226" s="3">
        <v>5.7221403999999997E-2</v>
      </c>
      <c r="R226" s="3">
        <v>6.1728176000000003E-2</v>
      </c>
      <c r="S226" s="3">
        <v>4.6950798000000002E-2</v>
      </c>
      <c r="T226" s="3">
        <v>0.146794391</v>
      </c>
      <c r="U226" s="3">
        <v>5.0361363999999999E-2</v>
      </c>
      <c r="V226" s="3">
        <v>0.25984176051690744</v>
      </c>
      <c r="W226" s="3">
        <v>0.17789676522065884</v>
      </c>
      <c r="X226" s="3">
        <v>1.1087294234210319E-2</v>
      </c>
      <c r="Y226" s="3">
        <v>0.3314448403948681</v>
      </c>
      <c r="Z226" s="3">
        <v>0.25706557309599315</v>
      </c>
      <c r="AA226" s="3">
        <v>7.1302274185500083E-3</v>
      </c>
      <c r="AB226">
        <v>0</v>
      </c>
      <c r="AC226">
        <v>0</v>
      </c>
      <c r="AD226">
        <v>0</v>
      </c>
    </row>
    <row r="227" spans="1:30" x14ac:dyDescent="0.3">
      <c r="A227" s="1">
        <v>45635</v>
      </c>
      <c r="B227" s="3">
        <v>9.9280795000000005E-2</v>
      </c>
      <c r="C227" s="3">
        <v>4.8013258000000003E-2</v>
      </c>
      <c r="D227" s="3">
        <v>0.14649350999999999</v>
      </c>
      <c r="E227" s="3">
        <v>5.8025825000000003E-2</v>
      </c>
      <c r="F227" s="3">
        <v>0.12066123500000001</v>
      </c>
      <c r="G227" s="3">
        <v>2.9268386E-2</v>
      </c>
      <c r="H227" s="3">
        <v>0.14728759199999999</v>
      </c>
      <c r="I227" s="3">
        <v>7.0195947999999994E-2</v>
      </c>
      <c r="J227" s="3">
        <v>0.126088802</v>
      </c>
      <c r="K227" s="3">
        <v>2.9688768000000001E-2</v>
      </c>
      <c r="L227" s="3">
        <v>0.15994926900000001</v>
      </c>
      <c r="M227" s="3">
        <v>5.0425076999999999E-2</v>
      </c>
      <c r="N227" s="3">
        <v>1.2009396E-2</v>
      </c>
      <c r="O227" s="3">
        <v>3.3302132999999998E-2</v>
      </c>
      <c r="P227" s="3">
        <v>7.7576922000000006E-2</v>
      </c>
      <c r="Q227" s="3">
        <v>5.9221650000000001E-2</v>
      </c>
      <c r="R227" s="3">
        <v>6.5431568999999995E-2</v>
      </c>
      <c r="S227" s="3">
        <v>5.0166503000000001E-2</v>
      </c>
      <c r="T227" s="3">
        <v>9.9399026000000001E-2</v>
      </c>
      <c r="U227" s="3">
        <v>5.7221403999999997E-2</v>
      </c>
      <c r="V227" s="3">
        <v>0.33828001104926542</v>
      </c>
      <c r="W227" s="3">
        <v>0.17641020711786259</v>
      </c>
      <c r="X227" s="3">
        <v>0</v>
      </c>
      <c r="Y227" s="3">
        <v>0.3314448403948681</v>
      </c>
      <c r="Z227" s="3">
        <v>0.25634696192490847</v>
      </c>
      <c r="AA227" s="3">
        <v>0</v>
      </c>
      <c r="AB227">
        <v>0</v>
      </c>
      <c r="AC227">
        <v>0</v>
      </c>
      <c r="AD227">
        <v>0</v>
      </c>
    </row>
    <row r="228" spans="1:30" x14ac:dyDescent="0.3">
      <c r="A228" s="1">
        <v>45636</v>
      </c>
      <c r="B228" s="3">
        <v>0.10957678799999999</v>
      </c>
      <c r="C228" s="3">
        <v>4.8024316999999997E-2</v>
      </c>
      <c r="D228" s="3">
        <v>0.111860372</v>
      </c>
      <c r="E228" s="3">
        <v>0.120338076</v>
      </c>
      <c r="F228" s="3">
        <v>9.9280795000000005E-2</v>
      </c>
      <c r="G228" s="3">
        <v>4.8013258000000003E-2</v>
      </c>
      <c r="H228" s="3">
        <v>0.14649350999999999</v>
      </c>
      <c r="I228" s="3">
        <v>5.8025825000000003E-2</v>
      </c>
      <c r="J228" s="3">
        <v>0.12066123500000001</v>
      </c>
      <c r="K228" s="3">
        <v>2.9268386E-2</v>
      </c>
      <c r="L228" s="3">
        <v>0.14728759199999999</v>
      </c>
      <c r="M228" s="3">
        <v>7.0195947999999994E-2</v>
      </c>
      <c r="N228" s="3">
        <v>0.126088802</v>
      </c>
      <c r="O228" s="3">
        <v>2.9688768000000001E-2</v>
      </c>
      <c r="P228" s="3">
        <v>0.15994926900000001</v>
      </c>
      <c r="Q228" s="3">
        <v>5.0425076999999999E-2</v>
      </c>
      <c r="R228" s="3">
        <v>1.2009396E-2</v>
      </c>
      <c r="S228" s="3">
        <v>3.3302132999999998E-2</v>
      </c>
      <c r="T228" s="3">
        <v>7.7576922000000006E-2</v>
      </c>
      <c r="U228" s="3">
        <v>5.9221650000000001E-2</v>
      </c>
      <c r="V228" s="3">
        <v>0.33828001104926542</v>
      </c>
      <c r="W228" s="3">
        <v>0.17699905298746282</v>
      </c>
      <c r="X228" s="3">
        <v>1.9212114239382235E-2</v>
      </c>
      <c r="Y228" s="3">
        <v>0.32240275535755841</v>
      </c>
      <c r="Z228" s="3">
        <v>0.25627943862107783</v>
      </c>
      <c r="AA228" s="3">
        <v>1.2302055675298481E-2</v>
      </c>
      <c r="AB228">
        <v>0</v>
      </c>
      <c r="AC228">
        <v>0</v>
      </c>
      <c r="AD228">
        <v>0</v>
      </c>
    </row>
    <row r="229" spans="1:30" x14ac:dyDescent="0.3">
      <c r="A229" s="1">
        <v>45637</v>
      </c>
      <c r="B229" s="3">
        <v>7.9216428000000005E-2</v>
      </c>
      <c r="C229" s="3">
        <v>6.3867535000000003E-2</v>
      </c>
      <c r="D229" s="3">
        <v>5.8211575000000002E-2</v>
      </c>
      <c r="E229" s="3">
        <v>9.5668741000000002E-2</v>
      </c>
      <c r="F229" s="3">
        <v>0.10957678799999999</v>
      </c>
      <c r="G229" s="3">
        <v>4.8024316999999997E-2</v>
      </c>
      <c r="H229" s="3">
        <v>0.111860372</v>
      </c>
      <c r="I229" s="3">
        <v>0.120338076</v>
      </c>
      <c r="J229" s="3">
        <v>9.9280795000000005E-2</v>
      </c>
      <c r="K229" s="3">
        <v>4.8013258000000003E-2</v>
      </c>
      <c r="L229" s="3">
        <v>0.14649350999999999</v>
      </c>
      <c r="M229" s="3">
        <v>5.8025825000000003E-2</v>
      </c>
      <c r="N229" s="3">
        <v>0.12066123500000001</v>
      </c>
      <c r="O229" s="3">
        <v>2.9268386E-2</v>
      </c>
      <c r="P229" s="3">
        <v>0.14728759199999999</v>
      </c>
      <c r="Q229" s="3">
        <v>7.0195947999999994E-2</v>
      </c>
      <c r="R229" s="3">
        <v>0.126088802</v>
      </c>
      <c r="S229" s="3">
        <v>2.9688768000000001E-2</v>
      </c>
      <c r="T229" s="3">
        <v>0.15994926900000001</v>
      </c>
      <c r="U229" s="3">
        <v>5.0425076999999999E-2</v>
      </c>
      <c r="V229" s="3">
        <v>0.33828001104926542</v>
      </c>
      <c r="W229" s="3">
        <v>0.17893910280124781</v>
      </c>
      <c r="X229" s="3">
        <v>2.686119673109549E-2</v>
      </c>
      <c r="Y229" s="3">
        <v>0.32240275535755841</v>
      </c>
      <c r="Z229" s="3">
        <v>0.25690318855781685</v>
      </c>
      <c r="AA229" s="3">
        <v>1.7807991050134024E-2</v>
      </c>
      <c r="AB229">
        <v>0</v>
      </c>
      <c r="AC229">
        <v>0</v>
      </c>
      <c r="AD229">
        <v>0</v>
      </c>
    </row>
    <row r="230" spans="1:30" x14ac:dyDescent="0.3">
      <c r="A230" s="1">
        <v>45638</v>
      </c>
      <c r="B230" s="3">
        <v>0.164389644</v>
      </c>
      <c r="C230" s="3">
        <v>4.8360043999999998E-2</v>
      </c>
      <c r="D230" s="3">
        <v>0.19537361</v>
      </c>
      <c r="E230" s="3">
        <v>0.11300509</v>
      </c>
      <c r="F230" s="3">
        <v>7.9216428000000005E-2</v>
      </c>
      <c r="G230" s="3">
        <v>6.3867535000000003E-2</v>
      </c>
      <c r="H230" s="3">
        <v>5.8211575000000002E-2</v>
      </c>
      <c r="I230" s="3">
        <v>9.5668741000000002E-2</v>
      </c>
      <c r="J230" s="3">
        <v>0.10957678799999999</v>
      </c>
      <c r="K230" s="3">
        <v>4.8024316999999997E-2</v>
      </c>
      <c r="L230" s="3">
        <v>0.111860372</v>
      </c>
      <c r="M230" s="3">
        <v>0.120338076</v>
      </c>
      <c r="N230" s="3">
        <v>9.9280795000000005E-2</v>
      </c>
      <c r="O230" s="3">
        <v>4.8013258000000003E-2</v>
      </c>
      <c r="P230" s="3">
        <v>0.14649350999999999</v>
      </c>
      <c r="Q230" s="3">
        <v>5.8025825000000003E-2</v>
      </c>
      <c r="R230" s="3">
        <v>0.12066123500000001</v>
      </c>
      <c r="S230" s="3">
        <v>2.9268386E-2</v>
      </c>
      <c r="T230" s="3">
        <v>0.14728759199999999</v>
      </c>
      <c r="U230" s="3">
        <v>7.0195947999999994E-2</v>
      </c>
      <c r="V230" s="3">
        <v>0.33828001104926542</v>
      </c>
      <c r="W230" s="3">
        <v>0.1652433747236203</v>
      </c>
      <c r="X230" s="3">
        <v>0</v>
      </c>
      <c r="Y230" s="3">
        <v>0.32240275535755841</v>
      </c>
      <c r="Z230" s="3">
        <v>0.25637660266572687</v>
      </c>
      <c r="AA230" s="3">
        <v>0</v>
      </c>
      <c r="AB230">
        <v>0</v>
      </c>
      <c r="AC230">
        <v>0</v>
      </c>
      <c r="AD230">
        <v>0</v>
      </c>
    </row>
    <row r="231" spans="1:30" x14ac:dyDescent="0.3">
      <c r="A231" s="1">
        <v>45639</v>
      </c>
      <c r="B231" s="3">
        <v>0.157836333</v>
      </c>
      <c r="C231" s="3">
        <v>7.9869325000000005E-2</v>
      </c>
      <c r="D231" s="3">
        <v>0.20076335200000001</v>
      </c>
      <c r="E231" s="3">
        <v>4.8200582999999998E-2</v>
      </c>
      <c r="F231" s="3">
        <v>0.164389644</v>
      </c>
      <c r="G231" s="3">
        <v>4.8360043999999998E-2</v>
      </c>
      <c r="H231" s="3">
        <v>0.19537361</v>
      </c>
      <c r="I231" s="3">
        <v>0.11300509</v>
      </c>
      <c r="J231" s="3">
        <v>7.9216428000000005E-2</v>
      </c>
      <c r="K231" s="3">
        <v>6.3867535000000003E-2</v>
      </c>
      <c r="L231" s="3">
        <v>5.8211575000000002E-2</v>
      </c>
      <c r="M231" s="3">
        <v>9.5668741000000002E-2</v>
      </c>
      <c r="N231" s="3">
        <v>0.10957678799999999</v>
      </c>
      <c r="O231" s="3">
        <v>4.8024316999999997E-2</v>
      </c>
      <c r="P231" s="3">
        <v>0.111860372</v>
      </c>
      <c r="Q231" s="3">
        <v>0.120338076</v>
      </c>
      <c r="R231" s="3">
        <v>9.9280795000000005E-2</v>
      </c>
      <c r="S231" s="3">
        <v>4.8013258000000003E-2</v>
      </c>
      <c r="T231" s="3">
        <v>0.14649350999999999</v>
      </c>
      <c r="U231" s="3">
        <v>5.8025825000000003E-2</v>
      </c>
      <c r="V231" s="3">
        <v>0.25984176051690744</v>
      </c>
      <c r="W231" s="3">
        <v>0.16500702427516414</v>
      </c>
      <c r="X231" s="3">
        <v>4.7557100245395941E-3</v>
      </c>
      <c r="Y231" s="3">
        <v>0.30144970132337223</v>
      </c>
      <c r="Z231" s="3">
        <v>0.25417404985544928</v>
      </c>
      <c r="AA231" s="3">
        <v>2.6396345884730625E-3</v>
      </c>
      <c r="AB231">
        <v>0</v>
      </c>
      <c r="AC231">
        <v>1</v>
      </c>
      <c r="AD231">
        <v>1</v>
      </c>
    </row>
    <row r="232" spans="1:30" x14ac:dyDescent="0.3">
      <c r="A232" s="1">
        <v>45642</v>
      </c>
      <c r="B232" s="3">
        <v>0.225415488</v>
      </c>
      <c r="C232" s="3">
        <v>5.5807447000000003E-2</v>
      </c>
      <c r="D232" s="3">
        <v>0.21980928</v>
      </c>
      <c r="E232" s="3">
        <v>0.137187582</v>
      </c>
      <c r="F232" s="3">
        <v>0.157836333</v>
      </c>
      <c r="G232" s="3">
        <v>7.9869325000000005E-2</v>
      </c>
      <c r="H232" s="3">
        <v>0.20076335200000001</v>
      </c>
      <c r="I232" s="3">
        <v>4.8200582999999998E-2</v>
      </c>
      <c r="J232" s="3">
        <v>0.164389644</v>
      </c>
      <c r="K232" s="3">
        <v>4.8360043999999998E-2</v>
      </c>
      <c r="L232" s="3">
        <v>0.19537361</v>
      </c>
      <c r="M232" s="3">
        <v>0.11300509</v>
      </c>
      <c r="N232" s="3">
        <v>7.9216428000000005E-2</v>
      </c>
      <c r="O232" s="3">
        <v>6.3867535000000003E-2</v>
      </c>
      <c r="P232" s="3">
        <v>5.8211575000000002E-2</v>
      </c>
      <c r="Q232" s="3">
        <v>9.5668741000000002E-2</v>
      </c>
      <c r="R232" s="3">
        <v>0.10957678799999999</v>
      </c>
      <c r="S232" s="3">
        <v>4.8024316999999997E-2</v>
      </c>
      <c r="T232" s="3">
        <v>0.111860372</v>
      </c>
      <c r="U232" s="3">
        <v>0.120338076</v>
      </c>
      <c r="V232" s="3">
        <v>0.21581561439359467</v>
      </c>
      <c r="W232" s="3">
        <v>0.16495902581435257</v>
      </c>
      <c r="X232" s="3">
        <v>6.581741342856518E-4</v>
      </c>
      <c r="Y232" s="3">
        <v>0.26736234161621669</v>
      </c>
      <c r="Z232" s="3">
        <v>0.2537784401635923</v>
      </c>
      <c r="AA232" s="3">
        <v>0</v>
      </c>
      <c r="AB232">
        <v>0</v>
      </c>
      <c r="AC232">
        <v>0</v>
      </c>
      <c r="AD232">
        <v>0</v>
      </c>
    </row>
    <row r="233" spans="1:30" x14ac:dyDescent="0.3">
      <c r="A233" s="1">
        <v>45643</v>
      </c>
      <c r="B233" s="3">
        <v>0.29608467999999999</v>
      </c>
      <c r="C233" s="3">
        <v>0.29204301599999999</v>
      </c>
      <c r="D233" s="3">
        <v>0.196891818</v>
      </c>
      <c r="E233" s="3">
        <v>0.124631532</v>
      </c>
      <c r="F233" s="3">
        <v>0.225415488</v>
      </c>
      <c r="G233" s="3">
        <v>5.5807447000000003E-2</v>
      </c>
      <c r="H233" s="3">
        <v>0.21980928</v>
      </c>
      <c r="I233" s="3">
        <v>0.137187582</v>
      </c>
      <c r="J233" s="3">
        <v>0.157836333</v>
      </c>
      <c r="K233" s="3">
        <v>7.9869325000000005E-2</v>
      </c>
      <c r="L233" s="3">
        <v>0.20076335200000001</v>
      </c>
      <c r="M233" s="3">
        <v>4.8200582999999998E-2</v>
      </c>
      <c r="N233" s="3">
        <v>0.164389644</v>
      </c>
      <c r="O233" s="3">
        <v>4.8360043999999998E-2</v>
      </c>
      <c r="P233" s="3">
        <v>0.19537361</v>
      </c>
      <c r="Q233" s="3">
        <v>0.11300509</v>
      </c>
      <c r="R233" s="3">
        <v>7.9216428000000005E-2</v>
      </c>
      <c r="S233" s="3">
        <v>6.3867535000000003E-2</v>
      </c>
      <c r="T233" s="3">
        <v>5.8211575000000002E-2</v>
      </c>
      <c r="U233" s="3">
        <v>9.5668741000000002E-2</v>
      </c>
      <c r="V233" s="3">
        <v>0.21581561439359467</v>
      </c>
      <c r="W233" s="3">
        <v>0.16425704140370742</v>
      </c>
      <c r="X233" s="3">
        <v>4.3930320519776607E-3</v>
      </c>
      <c r="Y233" s="3">
        <v>0.26736234161621669</v>
      </c>
      <c r="Z233" s="3">
        <v>0.25350264566035757</v>
      </c>
      <c r="AA233" s="3">
        <v>2.2703736477971389E-3</v>
      </c>
      <c r="AB233">
        <v>0</v>
      </c>
      <c r="AC233">
        <v>0</v>
      </c>
      <c r="AD233">
        <v>0</v>
      </c>
    </row>
    <row r="234" spans="1:30" x14ac:dyDescent="0.3">
      <c r="A234" s="1">
        <v>45644</v>
      </c>
      <c r="B234" s="3">
        <v>8.4229079999999998E-3</v>
      </c>
      <c r="C234" s="3">
        <v>1.9008876000000001E-2</v>
      </c>
      <c r="D234" s="3">
        <v>4.9959238000000003E-2</v>
      </c>
      <c r="E234" s="3">
        <v>3.8640213E-2</v>
      </c>
      <c r="F234" s="3">
        <v>0.29608467999999999</v>
      </c>
      <c r="G234" s="3">
        <v>0.29204301599999999</v>
      </c>
      <c r="H234" s="3">
        <v>0.196891818</v>
      </c>
      <c r="I234" s="3">
        <v>0.124631532</v>
      </c>
      <c r="J234" s="3">
        <v>0.225415488</v>
      </c>
      <c r="K234" s="3">
        <v>5.5807447000000003E-2</v>
      </c>
      <c r="L234" s="3">
        <v>0.21980928</v>
      </c>
      <c r="M234" s="3">
        <v>0.137187582</v>
      </c>
      <c r="N234" s="3">
        <v>0.157836333</v>
      </c>
      <c r="O234" s="3">
        <v>7.9869325000000005E-2</v>
      </c>
      <c r="P234" s="3">
        <v>0.20076335200000001</v>
      </c>
      <c r="Q234" s="3">
        <v>4.8200582999999998E-2</v>
      </c>
      <c r="R234" s="3">
        <v>0.164389644</v>
      </c>
      <c r="S234" s="3">
        <v>4.8360043999999998E-2</v>
      </c>
      <c r="T234" s="3">
        <v>0.19537361</v>
      </c>
      <c r="U234" s="3">
        <v>0.11300509</v>
      </c>
      <c r="V234" s="3">
        <v>0.21581561439359467</v>
      </c>
      <c r="W234" s="3">
        <v>0.16007270145113339</v>
      </c>
      <c r="X234" s="3">
        <v>0</v>
      </c>
      <c r="Y234" s="3">
        <v>0.30144970132337223</v>
      </c>
      <c r="Z234" s="3">
        <v>0.2529345429923312</v>
      </c>
      <c r="AA234" s="3">
        <v>0</v>
      </c>
      <c r="AB234">
        <v>0</v>
      </c>
      <c r="AC234">
        <v>0</v>
      </c>
      <c r="AD234">
        <v>0</v>
      </c>
    </row>
    <row r="235" spans="1:30" x14ac:dyDescent="0.3">
      <c r="A235" s="1">
        <v>45645</v>
      </c>
      <c r="B235" s="3">
        <v>8.6003297000000006E-2</v>
      </c>
      <c r="C235" s="3">
        <v>3.0274611E-2</v>
      </c>
      <c r="D235" s="3">
        <v>0.113504456</v>
      </c>
      <c r="E235" s="3">
        <v>5.2149972000000003E-2</v>
      </c>
      <c r="F235" s="3">
        <v>8.4229079999999998E-3</v>
      </c>
      <c r="G235" s="3">
        <v>1.9008876000000001E-2</v>
      </c>
      <c r="H235" s="3">
        <v>4.9959238000000003E-2</v>
      </c>
      <c r="I235" s="3">
        <v>3.8640213E-2</v>
      </c>
      <c r="J235" s="3">
        <v>0.29608467999999999</v>
      </c>
      <c r="K235" s="3">
        <v>0.29204301599999999</v>
      </c>
      <c r="L235" s="3">
        <v>0.196891818</v>
      </c>
      <c r="M235" s="3">
        <v>0.124631532</v>
      </c>
      <c r="N235" s="3">
        <v>0.225415488</v>
      </c>
      <c r="O235" s="3">
        <v>5.5807447000000003E-2</v>
      </c>
      <c r="P235" s="3">
        <v>0.21980928</v>
      </c>
      <c r="Q235" s="3">
        <v>0.137187582</v>
      </c>
      <c r="R235" s="3">
        <v>0.157836333</v>
      </c>
      <c r="S235" s="3">
        <v>7.9869325000000005E-2</v>
      </c>
      <c r="T235" s="3">
        <v>0.20076335200000001</v>
      </c>
      <c r="U235" s="3">
        <v>4.8200582999999998E-2</v>
      </c>
      <c r="V235" s="3">
        <v>0.15022937689084606</v>
      </c>
      <c r="W235" s="3">
        <v>0.16187608987259619</v>
      </c>
      <c r="X235" s="3">
        <v>2.6291405637764002E-2</v>
      </c>
      <c r="Y235" s="3">
        <v>0.26736234161621669</v>
      </c>
      <c r="Z235" s="3">
        <v>0.25359628743032747</v>
      </c>
      <c r="AA235" s="3">
        <v>1.8567008499897859E-2</v>
      </c>
      <c r="AB235">
        <v>0</v>
      </c>
      <c r="AC235">
        <v>0</v>
      </c>
      <c r="AD235">
        <v>0</v>
      </c>
    </row>
    <row r="236" spans="1:30" x14ac:dyDescent="0.3">
      <c r="A236" s="1">
        <v>45646</v>
      </c>
      <c r="B236" s="3">
        <v>0.101391959</v>
      </c>
      <c r="C236" s="3">
        <v>2.3183909999999999E-2</v>
      </c>
      <c r="D236" s="3">
        <v>5.5898108000000002E-2</v>
      </c>
      <c r="E236" s="3">
        <v>4.0081721000000001E-2</v>
      </c>
      <c r="F236" s="3">
        <v>8.6003297000000006E-2</v>
      </c>
      <c r="G236" s="3">
        <v>3.0274611E-2</v>
      </c>
      <c r="H236" s="3">
        <v>0.113504456</v>
      </c>
      <c r="I236" s="3">
        <v>5.2149972000000003E-2</v>
      </c>
      <c r="J236" s="3">
        <v>8.4229079999999998E-3</v>
      </c>
      <c r="K236" s="3">
        <v>1.9008876000000001E-2</v>
      </c>
      <c r="L236" s="3">
        <v>4.9959238000000003E-2</v>
      </c>
      <c r="M236" s="3">
        <v>3.8640213E-2</v>
      </c>
      <c r="N236" s="3">
        <v>0.29608467999999999</v>
      </c>
      <c r="O236" s="3">
        <v>0.29204301599999999</v>
      </c>
      <c r="P236" s="3">
        <v>0.196891818</v>
      </c>
      <c r="Q236" s="3">
        <v>0.124631532</v>
      </c>
      <c r="R236" s="3">
        <v>0.225415488</v>
      </c>
      <c r="S236" s="3">
        <v>5.5807447000000003E-2</v>
      </c>
      <c r="T236" s="3">
        <v>0.21980928</v>
      </c>
      <c r="U236" s="3">
        <v>0.137187582</v>
      </c>
      <c r="V236" s="3">
        <v>-3.7498278634016478E-3</v>
      </c>
      <c r="W236" s="3">
        <v>0.16831910401517139</v>
      </c>
      <c r="X236" s="3">
        <v>4.5905961656438649E-2</v>
      </c>
      <c r="Y236" s="3">
        <v>0.24128738149560097</v>
      </c>
      <c r="Z236" s="3">
        <v>0.25561605503071838</v>
      </c>
      <c r="AA236" s="3">
        <v>3.2731596967890172E-2</v>
      </c>
      <c r="AB236">
        <v>1</v>
      </c>
      <c r="AC236">
        <v>0</v>
      </c>
      <c r="AD236">
        <v>1</v>
      </c>
    </row>
    <row r="237" spans="1:30" x14ac:dyDescent="0.3">
      <c r="A237" s="1">
        <v>45649</v>
      </c>
      <c r="B237" s="3">
        <v>4.0384546E-2</v>
      </c>
      <c r="C237" s="3">
        <v>3.4214344000000001E-2</v>
      </c>
      <c r="D237" s="3">
        <v>0.106399785</v>
      </c>
      <c r="E237" s="3">
        <v>4.9751768000000002E-2</v>
      </c>
      <c r="F237" s="3">
        <v>0.101391959</v>
      </c>
      <c r="G237" s="3">
        <v>2.3183909999999999E-2</v>
      </c>
      <c r="H237" s="3">
        <v>5.5898108000000002E-2</v>
      </c>
      <c r="I237" s="3">
        <v>4.0081721000000001E-2</v>
      </c>
      <c r="J237" s="3">
        <v>8.6003297000000006E-2</v>
      </c>
      <c r="K237" s="3">
        <v>3.0274611E-2</v>
      </c>
      <c r="L237" s="3">
        <v>0.113504456</v>
      </c>
      <c r="M237" s="3">
        <v>5.2149972000000003E-2</v>
      </c>
      <c r="N237" s="3">
        <v>8.4229079999999998E-3</v>
      </c>
      <c r="O237" s="3">
        <v>1.9008876000000001E-2</v>
      </c>
      <c r="P237" s="3">
        <v>4.9959238000000003E-2</v>
      </c>
      <c r="Q237" s="3">
        <v>3.8640213E-2</v>
      </c>
      <c r="R237" s="3">
        <v>0.29608467999999999</v>
      </c>
      <c r="S237" s="3">
        <v>0.29204301599999999</v>
      </c>
      <c r="T237" s="3">
        <v>0.196891818</v>
      </c>
      <c r="U237" s="3">
        <v>0.124631532</v>
      </c>
      <c r="V237" s="3">
        <v>-3.7498278634016478E-3</v>
      </c>
      <c r="W237" s="3">
        <v>0.17162566661197923</v>
      </c>
      <c r="X237" s="3">
        <v>0</v>
      </c>
      <c r="Y237" s="3">
        <v>0.26736234161621669</v>
      </c>
      <c r="Z237" s="3">
        <v>0.25683642537012036</v>
      </c>
      <c r="AA237" s="3">
        <v>0</v>
      </c>
      <c r="AB237">
        <v>0</v>
      </c>
      <c r="AC237">
        <v>0</v>
      </c>
      <c r="AD237">
        <v>0</v>
      </c>
    </row>
    <row r="238" spans="1:30" x14ac:dyDescent="0.3">
      <c r="A238" s="1">
        <v>45650</v>
      </c>
      <c r="B238" s="3">
        <v>6.3806637999999999E-2</v>
      </c>
      <c r="C238" s="3">
        <v>2.7991124999999999E-2</v>
      </c>
      <c r="D238" s="3">
        <v>5.3009067E-2</v>
      </c>
      <c r="E238" s="3">
        <v>4.8172725E-2</v>
      </c>
      <c r="F238" s="3">
        <v>4.0384546E-2</v>
      </c>
      <c r="G238" s="3">
        <v>3.4214344000000001E-2</v>
      </c>
      <c r="H238" s="3">
        <v>0.106399785</v>
      </c>
      <c r="I238" s="3">
        <v>4.9751768000000002E-2</v>
      </c>
      <c r="J238" s="3">
        <v>0.101391959</v>
      </c>
      <c r="K238" s="3">
        <v>2.3183909999999999E-2</v>
      </c>
      <c r="L238" s="3">
        <v>5.5898108000000002E-2</v>
      </c>
      <c r="M238" s="3">
        <v>4.0081721000000001E-2</v>
      </c>
      <c r="N238" s="3">
        <v>8.6003297000000006E-2</v>
      </c>
      <c r="O238" s="3">
        <v>3.0274611E-2</v>
      </c>
      <c r="P238" s="3">
        <v>0.113504456</v>
      </c>
      <c r="Q238" s="3">
        <v>5.2149972000000003E-2</v>
      </c>
      <c r="R238" s="3">
        <v>8.4229079999999998E-3</v>
      </c>
      <c r="S238" s="3">
        <v>1.9008876000000001E-2</v>
      </c>
      <c r="T238" s="3">
        <v>4.9959238000000003E-2</v>
      </c>
      <c r="U238" s="3">
        <v>3.8640213E-2</v>
      </c>
      <c r="V238" s="3">
        <v>-3.7498278634016478E-3</v>
      </c>
      <c r="W238" s="3">
        <v>0.16778354705873541</v>
      </c>
      <c r="X238" s="3">
        <v>0</v>
      </c>
      <c r="Y238" s="3">
        <v>0.24837428943856091</v>
      </c>
      <c r="Z238" s="3">
        <v>0.2566775976049408</v>
      </c>
      <c r="AA238" s="3">
        <v>0</v>
      </c>
      <c r="AB238">
        <v>0</v>
      </c>
      <c r="AC238">
        <v>0</v>
      </c>
      <c r="AD238">
        <v>0</v>
      </c>
    </row>
    <row r="239" spans="1:30" x14ac:dyDescent="0.3">
      <c r="A239" s="1">
        <v>45651</v>
      </c>
      <c r="B239" s="3">
        <v>2.9173050999999998E-2</v>
      </c>
      <c r="C239" s="3">
        <v>4.1612682999999998E-2</v>
      </c>
      <c r="D239" s="3">
        <v>3.5346401E-2</v>
      </c>
      <c r="E239" s="3">
        <v>6.596088E-2</v>
      </c>
      <c r="F239" s="3">
        <v>6.3806637999999999E-2</v>
      </c>
      <c r="G239" s="3">
        <v>2.7991124999999999E-2</v>
      </c>
      <c r="H239" s="3">
        <v>5.3009067E-2</v>
      </c>
      <c r="I239" s="3">
        <v>4.8172725E-2</v>
      </c>
      <c r="J239" s="3">
        <v>4.0384546E-2</v>
      </c>
      <c r="K239" s="3">
        <v>3.4214344000000001E-2</v>
      </c>
      <c r="L239" s="3">
        <v>0.106399785</v>
      </c>
      <c r="M239" s="3">
        <v>4.9751768000000002E-2</v>
      </c>
      <c r="N239" s="3">
        <v>0.101391959</v>
      </c>
      <c r="O239" s="3">
        <v>2.3183909999999999E-2</v>
      </c>
      <c r="P239" s="3">
        <v>5.5898108000000002E-2</v>
      </c>
      <c r="Q239" s="3">
        <v>4.0081721000000001E-2</v>
      </c>
      <c r="R239" s="3">
        <v>8.6003297000000006E-2</v>
      </c>
      <c r="S239" s="3">
        <v>3.0274611E-2</v>
      </c>
      <c r="T239" s="3">
        <v>0.113504456</v>
      </c>
      <c r="U239" s="3">
        <v>5.2149972000000003E-2</v>
      </c>
      <c r="V239" s="3">
        <v>-3.7498278634016478E-3</v>
      </c>
      <c r="W239" s="3">
        <v>0.16779145616728608</v>
      </c>
      <c r="X239" s="3">
        <v>0</v>
      </c>
      <c r="Y239" s="3">
        <v>0.26736234161621669</v>
      </c>
      <c r="Z239" s="3">
        <v>0.25677189245301923</v>
      </c>
      <c r="AA239" s="3">
        <v>0</v>
      </c>
      <c r="AB239">
        <v>0</v>
      </c>
      <c r="AC239">
        <v>1</v>
      </c>
      <c r="AD239">
        <v>1</v>
      </c>
    </row>
    <row r="240" spans="1:30" x14ac:dyDescent="0.3">
      <c r="A240" s="1">
        <v>45652</v>
      </c>
      <c r="B240" s="3">
        <v>0.10119521099999999</v>
      </c>
      <c r="C240" s="3">
        <v>6.3808439999999994E-2</v>
      </c>
      <c r="D240" s="3">
        <v>0.17844273599999999</v>
      </c>
      <c r="E240" s="3">
        <v>0.167674251</v>
      </c>
      <c r="F240" s="3">
        <v>2.9173050999999998E-2</v>
      </c>
      <c r="G240" s="3">
        <v>4.1612682999999998E-2</v>
      </c>
      <c r="H240" s="3">
        <v>3.5346401E-2</v>
      </c>
      <c r="I240" s="3">
        <v>6.596088E-2</v>
      </c>
      <c r="J240" s="3">
        <v>6.3806637999999999E-2</v>
      </c>
      <c r="K240" s="3">
        <v>2.7991124999999999E-2</v>
      </c>
      <c r="L240" s="3">
        <v>5.3009067E-2</v>
      </c>
      <c r="M240" s="3">
        <v>4.8172725E-2</v>
      </c>
      <c r="N240" s="3">
        <v>4.0384546E-2</v>
      </c>
      <c r="O240" s="3">
        <v>3.4214344000000001E-2</v>
      </c>
      <c r="P240" s="3">
        <v>0.106399785</v>
      </c>
      <c r="Q240" s="3">
        <v>4.9751768000000002E-2</v>
      </c>
      <c r="R240" s="3">
        <v>0.101391959</v>
      </c>
      <c r="S240" s="3">
        <v>2.3183909999999999E-2</v>
      </c>
      <c r="T240" s="3">
        <v>5.5898108000000002E-2</v>
      </c>
      <c r="U240" s="3">
        <v>4.0081721000000001E-2</v>
      </c>
      <c r="V240" s="3">
        <v>0.15022937689084606</v>
      </c>
      <c r="W240" s="3">
        <v>0.16777296214774987</v>
      </c>
      <c r="X240" s="3">
        <v>0</v>
      </c>
      <c r="Y240" s="3">
        <v>0.30144970132337223</v>
      </c>
      <c r="Z240" s="3">
        <v>0.25637570618850986</v>
      </c>
      <c r="AA240" s="3">
        <v>0</v>
      </c>
      <c r="AB240">
        <v>0</v>
      </c>
      <c r="AC240">
        <v>1</v>
      </c>
      <c r="AD240">
        <v>1</v>
      </c>
    </row>
    <row r="241" spans="1:30" x14ac:dyDescent="0.3">
      <c r="A241" s="1">
        <v>45653</v>
      </c>
      <c r="B241" s="3">
        <v>7.7220059999999993E-2</v>
      </c>
      <c r="C241" s="3">
        <v>2.9165364999999999E-2</v>
      </c>
      <c r="D241" s="3">
        <v>0.118514956</v>
      </c>
      <c r="E241" s="3">
        <v>8.7219652999999994E-2</v>
      </c>
      <c r="F241" s="3">
        <v>0.10119521099999999</v>
      </c>
      <c r="G241" s="3">
        <v>6.3808439999999994E-2</v>
      </c>
      <c r="H241" s="3">
        <v>0.17844273599999999</v>
      </c>
      <c r="I241" s="3">
        <v>0.167674251</v>
      </c>
      <c r="J241" s="3">
        <v>2.9173050999999998E-2</v>
      </c>
      <c r="K241" s="3">
        <v>4.1612682999999998E-2</v>
      </c>
      <c r="L241" s="3">
        <v>3.5346401E-2</v>
      </c>
      <c r="M241" s="3">
        <v>6.596088E-2</v>
      </c>
      <c r="N241" s="3">
        <v>6.3806637999999999E-2</v>
      </c>
      <c r="O241" s="3">
        <v>2.7991124999999999E-2</v>
      </c>
      <c r="P241" s="3">
        <v>5.3009067E-2</v>
      </c>
      <c r="Q241" s="3">
        <v>4.8172725E-2</v>
      </c>
      <c r="R241" s="3">
        <v>4.0384546E-2</v>
      </c>
      <c r="S241" s="3">
        <v>3.4214344000000001E-2</v>
      </c>
      <c r="T241" s="3">
        <v>0.106399785</v>
      </c>
      <c r="U241" s="3">
        <v>4.9751768000000002E-2</v>
      </c>
      <c r="V241" s="3">
        <v>0.21581561439359467</v>
      </c>
      <c r="W241" s="3">
        <v>0.16332471058905598</v>
      </c>
      <c r="X241" s="3">
        <v>0</v>
      </c>
      <c r="Y241" s="3">
        <v>0.30144970132337223</v>
      </c>
      <c r="Z241" s="3">
        <v>0.25546452017483295</v>
      </c>
      <c r="AA241" s="3">
        <v>0</v>
      </c>
      <c r="AB241">
        <v>0</v>
      </c>
      <c r="AC241">
        <v>1</v>
      </c>
      <c r="AD241">
        <v>1</v>
      </c>
    </row>
    <row r="242" spans="1:30" x14ac:dyDescent="0.3">
      <c r="A242" s="1">
        <v>45656</v>
      </c>
      <c r="B242" s="3">
        <v>7.5417001999999997E-2</v>
      </c>
      <c r="C242" s="3">
        <v>3.5659164E-2</v>
      </c>
      <c r="D242" s="3">
        <v>8.4682710999999994E-2</v>
      </c>
      <c r="E242" s="3">
        <v>5.6594191000000002E-2</v>
      </c>
      <c r="F242" s="3">
        <v>7.7220059999999993E-2</v>
      </c>
      <c r="G242" s="3">
        <v>2.9165364999999999E-2</v>
      </c>
      <c r="H242" s="3">
        <v>0.118514956</v>
      </c>
      <c r="I242" s="3">
        <v>8.7219652999999994E-2</v>
      </c>
      <c r="J242" s="3">
        <v>0.10119521099999999</v>
      </c>
      <c r="K242" s="3">
        <v>6.3808439999999994E-2</v>
      </c>
      <c r="L242" s="3">
        <v>0.17844273599999999</v>
      </c>
      <c r="M242" s="3">
        <v>0.167674251</v>
      </c>
      <c r="N242" s="3">
        <v>2.9173050999999998E-2</v>
      </c>
      <c r="O242" s="3">
        <v>4.1612682999999998E-2</v>
      </c>
      <c r="P242" s="3">
        <v>3.5346401E-2</v>
      </c>
      <c r="Q242" s="3">
        <v>6.596088E-2</v>
      </c>
      <c r="R242" s="3">
        <v>6.3806637999999999E-2</v>
      </c>
      <c r="S242" s="3">
        <v>2.7991124999999999E-2</v>
      </c>
      <c r="T242" s="3">
        <v>5.3009067E-2</v>
      </c>
      <c r="U242" s="3">
        <v>4.8172725E-2</v>
      </c>
      <c r="V242" s="3">
        <v>0.15022937689084606</v>
      </c>
      <c r="W242" s="3">
        <v>0.16243015719865533</v>
      </c>
      <c r="X242" s="3">
        <v>5.5149270369469075E-3</v>
      </c>
      <c r="Y242" s="3">
        <v>0.26736234161621669</v>
      </c>
      <c r="Z242" s="3">
        <v>0.25418923259424947</v>
      </c>
      <c r="AA242" s="3">
        <v>4.0106716361276145E-3</v>
      </c>
      <c r="AB242">
        <v>0</v>
      </c>
      <c r="AC242">
        <v>1</v>
      </c>
      <c r="AD242">
        <v>1</v>
      </c>
    </row>
    <row r="243" spans="1:30" x14ac:dyDescent="0.3">
      <c r="A243" s="1">
        <v>45657</v>
      </c>
      <c r="B243" s="3">
        <v>4.0197409000000003E-2</v>
      </c>
      <c r="C243" s="3">
        <v>3.4213998000000002E-2</v>
      </c>
      <c r="D243" s="3">
        <v>0.143171783</v>
      </c>
      <c r="E243" s="3">
        <v>0.122010259</v>
      </c>
      <c r="F243" s="3">
        <v>7.5417001999999997E-2</v>
      </c>
      <c r="G243" s="3">
        <v>3.5659164E-2</v>
      </c>
      <c r="H243" s="3">
        <v>8.4682710999999994E-2</v>
      </c>
      <c r="I243" s="3">
        <v>5.6594191000000002E-2</v>
      </c>
      <c r="J243" s="3">
        <v>7.7220059999999993E-2</v>
      </c>
      <c r="K243" s="3">
        <v>2.9165364999999999E-2</v>
      </c>
      <c r="L243" s="3">
        <v>0.118514956</v>
      </c>
      <c r="M243" s="3">
        <v>8.7219652999999994E-2</v>
      </c>
      <c r="N243" s="3">
        <v>0.10119521099999999</v>
      </c>
      <c r="O243" s="3">
        <v>6.3808439999999994E-2</v>
      </c>
      <c r="P243" s="3">
        <v>0.17844273599999999</v>
      </c>
      <c r="Q243" s="3">
        <v>0.167674251</v>
      </c>
      <c r="R243" s="3">
        <v>2.9173050999999998E-2</v>
      </c>
      <c r="S243" s="3">
        <v>4.1612682999999998E-2</v>
      </c>
      <c r="T243" s="3">
        <v>3.5346401E-2</v>
      </c>
      <c r="U243" s="3">
        <v>6.596088E-2</v>
      </c>
      <c r="V243" s="3">
        <v>0.15022937689084606</v>
      </c>
      <c r="W243" s="3">
        <v>0.16320082844670619</v>
      </c>
      <c r="X243" s="3">
        <v>1.6644309887636637E-2</v>
      </c>
      <c r="Y243" s="3">
        <v>0.24837428943856091</v>
      </c>
      <c r="Z243" s="3">
        <v>0.25446207463940773</v>
      </c>
      <c r="AA243" s="3">
        <v>1.1890987832635806E-2</v>
      </c>
      <c r="AB243">
        <v>0</v>
      </c>
      <c r="AC243">
        <v>1</v>
      </c>
      <c r="AD243">
        <v>1</v>
      </c>
    </row>
    <row r="244" spans="1:30" x14ac:dyDescent="0.3">
      <c r="F244" s="3">
        <v>4.0197409000000003E-2</v>
      </c>
      <c r="G244" s="3">
        <v>3.4213998000000002E-2</v>
      </c>
      <c r="H244" s="3">
        <v>0.143171783</v>
      </c>
      <c r="I244" s="3">
        <v>0.122010259</v>
      </c>
      <c r="J244" s="3">
        <v>7.5417001999999997E-2</v>
      </c>
      <c r="K244" s="3">
        <v>3.5659164E-2</v>
      </c>
      <c r="L244" s="3">
        <v>8.4682710999999994E-2</v>
      </c>
      <c r="M244" s="3">
        <v>5.6594191000000002E-2</v>
      </c>
      <c r="N244" s="3">
        <v>7.7220059999999993E-2</v>
      </c>
      <c r="O244" s="3">
        <v>2.9165364999999999E-2</v>
      </c>
      <c r="P244" s="3">
        <v>0.118514956</v>
      </c>
      <c r="Q244" s="3">
        <v>8.7219652999999994E-2</v>
      </c>
      <c r="R244" s="3">
        <v>0.10119521099999999</v>
      </c>
      <c r="S244" s="3">
        <v>6.3808439999999994E-2</v>
      </c>
      <c r="T244" s="3">
        <v>0.17844273599999999</v>
      </c>
      <c r="U244" s="3">
        <v>0.167674251</v>
      </c>
    </row>
    <row r="245" spans="1:30" x14ac:dyDescent="0.3">
      <c r="J245" s="3">
        <v>4.0197409000000003E-2</v>
      </c>
      <c r="K245" s="3">
        <v>3.4213998000000002E-2</v>
      </c>
      <c r="L245" s="3">
        <v>0.143171783</v>
      </c>
      <c r="M245" s="3">
        <v>0.122010259</v>
      </c>
      <c r="N245" s="3">
        <v>7.5417001999999997E-2</v>
      </c>
      <c r="O245" s="3">
        <v>3.5659164E-2</v>
      </c>
      <c r="P245" s="3">
        <v>8.4682710999999994E-2</v>
      </c>
      <c r="Q245" s="3">
        <v>5.6594191000000002E-2</v>
      </c>
      <c r="R245" s="3">
        <v>7.7220059999999993E-2</v>
      </c>
      <c r="S245" s="3">
        <v>2.9165364999999999E-2</v>
      </c>
      <c r="T245" s="3">
        <v>0.118514956</v>
      </c>
      <c r="U245" s="3">
        <v>8.7219652999999994E-2</v>
      </c>
    </row>
    <row r="246" spans="1:30" x14ac:dyDescent="0.3">
      <c r="N246" s="3">
        <v>4.0197409000000003E-2</v>
      </c>
      <c r="O246" s="3">
        <v>3.4213998000000002E-2</v>
      </c>
      <c r="P246" s="3">
        <v>0.143171783</v>
      </c>
      <c r="Q246" s="3">
        <v>0.122010259</v>
      </c>
      <c r="R246" s="3">
        <v>7.5417001999999997E-2</v>
      </c>
      <c r="S246" s="3">
        <v>3.5659164E-2</v>
      </c>
      <c r="T246" s="3">
        <v>8.4682710999999994E-2</v>
      </c>
      <c r="U246" s="3">
        <v>5.6594191000000002E-2</v>
      </c>
    </row>
    <row r="247" spans="1:30" x14ac:dyDescent="0.3">
      <c r="R247" s="3">
        <v>4.0197409000000003E-2</v>
      </c>
      <c r="S247" s="3">
        <v>3.4213998000000002E-2</v>
      </c>
      <c r="T247" s="3">
        <v>0.143171783</v>
      </c>
      <c r="U247" s="3">
        <v>0.122010259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苡寧 高</dc:creator>
  <cp:lastModifiedBy>苡寧 高</cp:lastModifiedBy>
  <dcterms:created xsi:type="dcterms:W3CDTF">2026-06-07T10:04:53Z</dcterms:created>
  <dcterms:modified xsi:type="dcterms:W3CDTF">2026-06-07T14:55:08Z</dcterms:modified>
</cp:coreProperties>
</file>