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ruy\Desktop\"/>
    </mc:Choice>
  </mc:AlternateContent>
  <xr:revisionPtr revIDLastSave="0" documentId="13_ncr:1_{02AD0CFA-F606-44E5-9F33-F6B5C27F455E}" xr6:coauthVersionLast="47" xr6:coauthVersionMax="47" xr10:uidLastSave="{00000000-0000-0000-0000-000000000000}"/>
  <bookViews>
    <workbookView xWindow="-108" yWindow="-108" windowWidth="23256" windowHeight="12456" activeTab="3" xr2:uid="{F01B377F-44D4-4A80-BB2C-C1F17CBCCDCA}"/>
  </bookViews>
  <sheets>
    <sheet name="Index_411336001_2023" sheetId="1" r:id="rId1"/>
    <sheet name="工作表1" sheetId="2" r:id="rId2"/>
    <sheet name="工作表2" sheetId="3" r:id="rId3"/>
    <sheet name="期末表二(三年整合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6" i="2" l="1"/>
  <c r="W5" i="2"/>
  <c r="W4" i="2"/>
  <c r="V6" i="2"/>
  <c r="U6" i="2"/>
  <c r="V5" i="2"/>
  <c r="V4" i="2"/>
  <c r="U5" i="2"/>
  <c r="U4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" i="2"/>
  <c r="N123" i="2" a="1"/>
  <c r="N123" i="2" s="1"/>
  <c r="N124" i="2" a="1"/>
  <c r="N124" i="2"/>
  <c r="N125" i="2" a="1"/>
  <c r="N125" i="2" s="1"/>
  <c r="N126" i="2" a="1"/>
  <c r="N126" i="2"/>
  <c r="N127" i="2" a="1"/>
  <c r="N127" i="2"/>
  <c r="N128" i="2" a="1"/>
  <c r="N128" i="2"/>
  <c r="N129" i="2" a="1"/>
  <c r="N129" i="2"/>
  <c r="N130" i="2" a="1"/>
  <c r="N130" i="2"/>
  <c r="N131" i="2" a="1"/>
  <c r="N131" i="2" s="1"/>
  <c r="N132" i="2" a="1"/>
  <c r="N132" i="2"/>
  <c r="N133" i="2" a="1"/>
  <c r="N133" i="2" s="1"/>
  <c r="N134" i="2" a="1"/>
  <c r="N134" i="2"/>
  <c r="N135" i="2" a="1"/>
  <c r="N135" i="2"/>
  <c r="N136" i="2" a="1"/>
  <c r="N136" i="2"/>
  <c r="N137" i="2" a="1"/>
  <c r="N137" i="2"/>
  <c r="N138" i="2" a="1"/>
  <c r="N138" i="2"/>
  <c r="N139" i="2" a="1"/>
  <c r="N139" i="2" s="1"/>
  <c r="N140" i="2" a="1"/>
  <c r="N140" i="2"/>
  <c r="N141" i="2" a="1"/>
  <c r="N141" i="2" s="1"/>
  <c r="N142" i="2" a="1"/>
  <c r="N142" i="2"/>
  <c r="N143" i="2" a="1"/>
  <c r="N143" i="2"/>
  <c r="N144" i="2" a="1"/>
  <c r="N144" i="2"/>
  <c r="N145" i="2" a="1"/>
  <c r="N145" i="2"/>
  <c r="N146" i="2" a="1"/>
  <c r="N146" i="2"/>
  <c r="N147" i="2" a="1"/>
  <c r="N147" i="2" s="1"/>
  <c r="N148" i="2" a="1"/>
  <c r="N148" i="2" s="1"/>
  <c r="N149" i="2" a="1"/>
  <c r="N149" i="2" s="1"/>
  <c r="N150" i="2" a="1"/>
  <c r="N150" i="2"/>
  <c r="N151" i="2" a="1"/>
  <c r="N151" i="2"/>
  <c r="N152" i="2" a="1"/>
  <c r="N152" i="2"/>
  <c r="N153" i="2" a="1"/>
  <c r="N153" i="2"/>
  <c r="N154" i="2" a="1"/>
  <c r="N154" i="2"/>
  <c r="N155" i="2" a="1"/>
  <c r="N155" i="2" s="1"/>
  <c r="N156" i="2" a="1"/>
  <c r="N156" i="2"/>
  <c r="N157" i="2" a="1"/>
  <c r="N157" i="2" s="1"/>
  <c r="N158" i="2" a="1"/>
  <c r="N158" i="2"/>
  <c r="N159" i="2" a="1"/>
  <c r="N159" i="2"/>
  <c r="N160" i="2" a="1"/>
  <c r="N160" i="2"/>
  <c r="N161" i="2" a="1"/>
  <c r="N161" i="2"/>
  <c r="N162" i="2" a="1"/>
  <c r="N162" i="2"/>
  <c r="N163" i="2" a="1"/>
  <c r="N163" i="2" s="1"/>
  <c r="N164" i="2" a="1"/>
  <c r="N164" i="2" s="1"/>
  <c r="N165" i="2" a="1"/>
  <c r="N165" i="2" s="1"/>
  <c r="N166" i="2" a="1"/>
  <c r="N166" i="2"/>
  <c r="N167" i="2" a="1"/>
  <c r="N167" i="2"/>
  <c r="N168" i="2" a="1"/>
  <c r="N168" i="2"/>
  <c r="N169" i="2" a="1"/>
  <c r="N169" i="2" s="1"/>
  <c r="N170" i="2" a="1"/>
  <c r="N170" i="2"/>
  <c r="N171" i="2" a="1"/>
  <c r="N171" i="2" s="1"/>
  <c r="N172" i="2" a="1"/>
  <c r="N172" i="2" s="1"/>
  <c r="N173" i="2" a="1"/>
  <c r="N173" i="2" s="1"/>
  <c r="N174" i="2" a="1"/>
  <c r="N174" i="2"/>
  <c r="N175" i="2" a="1"/>
  <c r="N175" i="2"/>
  <c r="N176" i="2" a="1"/>
  <c r="N176" i="2"/>
  <c r="N177" i="2" a="1"/>
  <c r="N177" i="2" s="1"/>
  <c r="N178" i="2" a="1"/>
  <c r="N178" i="2"/>
  <c r="N179" i="2" a="1"/>
  <c r="N179" i="2" s="1"/>
  <c r="N180" i="2" a="1"/>
  <c r="N180" i="2" s="1"/>
  <c r="N181" i="2" a="1"/>
  <c r="N181" i="2" s="1"/>
  <c r="N182" i="2" a="1"/>
  <c r="N182" i="2"/>
  <c r="N183" i="2" a="1"/>
  <c r="N183" i="2"/>
  <c r="N184" i="2" a="1"/>
  <c r="N184" i="2"/>
  <c r="N185" i="2" a="1"/>
  <c r="N185" i="2"/>
  <c r="N186" i="2" a="1"/>
  <c r="N186" i="2"/>
  <c r="N187" i="2" a="1"/>
  <c r="N187" i="2" s="1"/>
  <c r="N188" i="2" a="1"/>
  <c r="N188" i="2" s="1"/>
  <c r="N189" i="2" a="1"/>
  <c r="N189" i="2" s="1"/>
  <c r="N190" i="2" a="1"/>
  <c r="N190" i="2"/>
  <c r="N191" i="2" a="1"/>
  <c r="N191" i="2"/>
  <c r="N192" i="2" a="1"/>
  <c r="N192" i="2" s="1"/>
  <c r="N193" i="2" a="1"/>
  <c r="N193" i="2"/>
  <c r="N194" i="2" a="1"/>
  <c r="N194" i="2"/>
  <c r="N195" i="2" a="1"/>
  <c r="N195" i="2" s="1"/>
  <c r="N196" i="2" a="1"/>
  <c r="N196" i="2" s="1"/>
  <c r="N197" i="2" a="1"/>
  <c r="N197" i="2" s="1"/>
  <c r="N198" i="2" a="1"/>
  <c r="N198" i="2"/>
  <c r="N199" i="2" a="1"/>
  <c r="N199" i="2"/>
  <c r="N200" i="2" a="1"/>
  <c r="N200" i="2" s="1"/>
  <c r="N201" i="2" a="1"/>
  <c r="N201" i="2"/>
  <c r="N202" i="2" a="1"/>
  <c r="N202" i="2"/>
  <c r="N203" i="2" a="1"/>
  <c r="N203" i="2" s="1"/>
  <c r="N204" i="2" a="1"/>
  <c r="N204" i="2" s="1"/>
  <c r="N205" i="2" a="1"/>
  <c r="N205" i="2" s="1"/>
  <c r="N206" i="2" a="1"/>
  <c r="N206" i="2"/>
  <c r="N207" i="2" a="1"/>
  <c r="N207" i="2"/>
  <c r="N208" i="2" a="1"/>
  <c r="N208" i="2"/>
  <c r="N209" i="2" a="1"/>
  <c r="N209" i="2"/>
  <c r="N210" i="2" a="1"/>
  <c r="N210" i="2"/>
  <c r="N211" i="2" a="1"/>
  <c r="N211" i="2" s="1"/>
  <c r="N212" i="2" a="1"/>
  <c r="N212" i="2" s="1"/>
  <c r="N213" i="2" a="1"/>
  <c r="N213" i="2" s="1"/>
  <c r="N214" i="2" a="1"/>
  <c r="N214" i="2"/>
  <c r="N215" i="2" a="1"/>
  <c r="N215" i="2"/>
  <c r="N216" i="2" a="1"/>
  <c r="N216" i="2"/>
  <c r="N217" i="2" a="1"/>
  <c r="N217" i="2"/>
  <c r="N218" i="2" a="1"/>
  <c r="N218" i="2"/>
  <c r="N219" i="2" a="1"/>
  <c r="N219" i="2" s="1"/>
  <c r="N220" i="2" a="1"/>
  <c r="N220" i="2" s="1"/>
  <c r="N221" i="2" a="1"/>
  <c r="N221" i="2" s="1"/>
  <c r="N222" i="2" a="1"/>
  <c r="N222" i="2" s="1"/>
  <c r="N223" i="2" a="1"/>
  <c r="N223" i="2" s="1"/>
  <c r="N224" i="2" a="1"/>
  <c r="N224" i="2"/>
  <c r="N225" i="2" a="1"/>
  <c r="N225" i="2"/>
  <c r="N226" i="2" a="1"/>
  <c r="N226" i="2" s="1"/>
  <c r="N227" i="2" a="1"/>
  <c r="N227" i="2" s="1"/>
  <c r="N228" i="2" a="1"/>
  <c r="N228" i="2" s="1"/>
  <c r="N229" i="2" a="1"/>
  <c r="N229" i="2" s="1"/>
  <c r="N230" i="2" a="1"/>
  <c r="N230" i="2"/>
  <c r="N231" i="2" a="1"/>
  <c r="N231" i="2" s="1"/>
  <c r="N232" i="2" a="1"/>
  <c r="N232" i="2" s="1"/>
  <c r="N233" i="2" a="1"/>
  <c r="N233" i="2" s="1"/>
  <c r="N234" i="2" a="1"/>
  <c r="N234" i="2" s="1"/>
  <c r="N235" i="2" a="1"/>
  <c r="N235" i="2" s="1"/>
  <c r="N236" i="2" a="1"/>
  <c r="N236" i="2" s="1"/>
  <c r="N237" i="2" a="1"/>
  <c r="N237" i="2" s="1"/>
  <c r="N238" i="2" a="1"/>
  <c r="N238" i="2"/>
  <c r="N239" i="2" a="1"/>
  <c r="N239" i="2" s="1"/>
  <c r="N240" i="2" a="1"/>
  <c r="N240" i="2" s="1"/>
  <c r="N122" i="2" a="1"/>
  <c r="N122" i="2" s="1"/>
  <c r="J63" i="2" a="1"/>
  <c r="J63" i="2"/>
  <c r="J64" i="2" a="1"/>
  <c r="J64" i="2"/>
  <c r="J65" i="2" a="1"/>
  <c r="J65" i="2"/>
  <c r="J66" i="2" a="1"/>
  <c r="J66" i="2"/>
  <c r="J67" i="2" a="1"/>
  <c r="J67" i="2"/>
  <c r="J68" i="2" a="1"/>
  <c r="J68" i="2"/>
  <c r="J69" i="2" a="1"/>
  <c r="J69" i="2"/>
  <c r="J70" i="2" a="1"/>
  <c r="J70" i="2"/>
  <c r="J71" i="2" a="1"/>
  <c r="J71" i="2"/>
  <c r="J72" i="2" a="1"/>
  <c r="J72" i="2"/>
  <c r="J73" i="2" a="1"/>
  <c r="J73" i="2"/>
  <c r="J74" i="2" a="1"/>
  <c r="J74" i="2"/>
  <c r="J75" i="2" a="1"/>
  <c r="J75" i="2"/>
  <c r="J76" i="2" a="1"/>
  <c r="J76" i="2"/>
  <c r="J77" i="2" a="1"/>
  <c r="J77" i="2"/>
  <c r="J78" i="2" a="1"/>
  <c r="J78" i="2"/>
  <c r="J79" i="2" a="1"/>
  <c r="J79" i="2"/>
  <c r="J80" i="2" a="1"/>
  <c r="J80" i="2"/>
  <c r="J81" i="2" a="1"/>
  <c r="J81" i="2"/>
  <c r="J82" i="2" a="1"/>
  <c r="J82" i="2"/>
  <c r="J83" i="2" a="1"/>
  <c r="J83" i="2"/>
  <c r="J84" i="2" a="1"/>
  <c r="J84" i="2"/>
  <c r="J85" i="2" a="1"/>
  <c r="J85" i="2"/>
  <c r="J86" i="2" a="1"/>
  <c r="J86" i="2"/>
  <c r="J87" i="2" a="1"/>
  <c r="J87" i="2"/>
  <c r="J88" i="2" a="1"/>
  <c r="J88" i="2"/>
  <c r="J89" i="2" a="1"/>
  <c r="J89" i="2"/>
  <c r="J90" i="2" a="1"/>
  <c r="J90" i="2"/>
  <c r="J91" i="2" a="1"/>
  <c r="J91" i="2"/>
  <c r="J92" i="2" a="1"/>
  <c r="J92" i="2"/>
  <c r="J93" i="2" a="1"/>
  <c r="J93" i="2"/>
  <c r="J94" i="2" a="1"/>
  <c r="J94" i="2"/>
  <c r="J95" i="2" a="1"/>
  <c r="J95" i="2"/>
  <c r="J96" i="2" a="1"/>
  <c r="J96" i="2"/>
  <c r="J97" i="2" a="1"/>
  <c r="J97" i="2"/>
  <c r="J98" i="2" a="1"/>
  <c r="J98" i="2"/>
  <c r="J99" i="2" a="1"/>
  <c r="J99" i="2"/>
  <c r="J100" i="2" a="1"/>
  <c r="J100" i="2"/>
  <c r="J101" i="2" a="1"/>
  <c r="J101" i="2"/>
  <c r="J102" i="2" a="1"/>
  <c r="J102" i="2"/>
  <c r="J103" i="2" a="1"/>
  <c r="J103" i="2"/>
  <c r="J104" i="2" a="1"/>
  <c r="J104" i="2"/>
  <c r="J105" i="2" a="1"/>
  <c r="J105" i="2"/>
  <c r="J106" i="2" a="1"/>
  <c r="J106" i="2"/>
  <c r="J107" i="2" a="1"/>
  <c r="J107" i="2"/>
  <c r="J108" i="2" a="1"/>
  <c r="J108" i="2"/>
  <c r="J109" i="2" a="1"/>
  <c r="J109" i="2"/>
  <c r="J110" i="2" a="1"/>
  <c r="J110" i="2"/>
  <c r="J111" i="2" a="1"/>
  <c r="J111" i="2"/>
  <c r="J112" i="2" a="1"/>
  <c r="J112" i="2"/>
  <c r="J113" i="2" a="1"/>
  <c r="J113" i="2"/>
  <c r="J114" i="2" a="1"/>
  <c r="J114" i="2"/>
  <c r="J115" i="2" a="1"/>
  <c r="J115" i="2"/>
  <c r="J116" i="2" a="1"/>
  <c r="J116" i="2"/>
  <c r="J117" i="2" a="1"/>
  <c r="J117" i="2"/>
  <c r="J118" i="2" a="1"/>
  <c r="J118" i="2"/>
  <c r="J119" i="2" a="1"/>
  <c r="J119" i="2"/>
  <c r="J120" i="2" a="1"/>
  <c r="J120" i="2"/>
  <c r="J121" i="2" a="1"/>
  <c r="J121" i="2"/>
  <c r="J122" i="2" a="1"/>
  <c r="J122" i="2"/>
  <c r="J123" i="2" a="1"/>
  <c r="J123" i="2"/>
  <c r="J124" i="2" a="1"/>
  <c r="J124" i="2"/>
  <c r="J125" i="2" a="1"/>
  <c r="J125" i="2"/>
  <c r="J126" i="2" a="1"/>
  <c r="J126" i="2"/>
  <c r="J127" i="2" a="1"/>
  <c r="J127" i="2"/>
  <c r="J128" i="2" a="1"/>
  <c r="J128" i="2"/>
  <c r="J129" i="2" a="1"/>
  <c r="J129" i="2"/>
  <c r="J130" i="2" a="1"/>
  <c r="J130" i="2"/>
  <c r="J131" i="2" a="1"/>
  <c r="J131" i="2"/>
  <c r="J132" i="2" a="1"/>
  <c r="J132" i="2"/>
  <c r="J133" i="2" a="1"/>
  <c r="J133" i="2"/>
  <c r="J134" i="2" a="1"/>
  <c r="J134" i="2"/>
  <c r="J135" i="2" a="1"/>
  <c r="J135" i="2"/>
  <c r="J136" i="2" a="1"/>
  <c r="J136" i="2"/>
  <c r="J137" i="2" a="1"/>
  <c r="J137" i="2"/>
  <c r="J138" i="2" a="1"/>
  <c r="J138" i="2"/>
  <c r="J139" i="2" a="1"/>
  <c r="J139" i="2"/>
  <c r="J140" i="2" a="1"/>
  <c r="J140" i="2"/>
  <c r="J141" i="2" a="1"/>
  <c r="J141" i="2"/>
  <c r="J142" i="2" a="1"/>
  <c r="J142" i="2"/>
  <c r="J143" i="2" a="1"/>
  <c r="J143" i="2"/>
  <c r="J144" i="2" a="1"/>
  <c r="J144" i="2"/>
  <c r="J145" i="2" a="1"/>
  <c r="J145" i="2"/>
  <c r="J146" i="2" a="1"/>
  <c r="J146" i="2"/>
  <c r="J147" i="2" a="1"/>
  <c r="J147" i="2"/>
  <c r="J148" i="2" a="1"/>
  <c r="J148" i="2"/>
  <c r="J149" i="2" a="1"/>
  <c r="J149" i="2"/>
  <c r="J150" i="2" a="1"/>
  <c r="J150" i="2"/>
  <c r="J151" i="2" a="1"/>
  <c r="J151" i="2"/>
  <c r="J152" i="2" a="1"/>
  <c r="J152" i="2"/>
  <c r="J153" i="2" a="1"/>
  <c r="J153" i="2"/>
  <c r="J154" i="2" a="1"/>
  <c r="J154" i="2"/>
  <c r="J155" i="2" a="1"/>
  <c r="J155" i="2"/>
  <c r="J156" i="2" a="1"/>
  <c r="J156" i="2"/>
  <c r="J157" i="2" a="1"/>
  <c r="J157" i="2"/>
  <c r="J158" i="2" a="1"/>
  <c r="J158" i="2"/>
  <c r="J159" i="2" a="1"/>
  <c r="J159" i="2"/>
  <c r="J160" i="2" a="1"/>
  <c r="J160" i="2"/>
  <c r="J161" i="2" a="1"/>
  <c r="J161" i="2"/>
  <c r="J162" i="2" a="1"/>
  <c r="J162" i="2"/>
  <c r="J163" i="2" a="1"/>
  <c r="J163" i="2"/>
  <c r="J164" i="2" a="1"/>
  <c r="J164" i="2"/>
  <c r="J165" i="2" a="1"/>
  <c r="J165" i="2"/>
  <c r="J166" i="2" a="1"/>
  <c r="J166" i="2"/>
  <c r="J167" i="2" a="1"/>
  <c r="J167" i="2"/>
  <c r="J168" i="2" a="1"/>
  <c r="J168" i="2"/>
  <c r="J169" i="2" a="1"/>
  <c r="J169" i="2"/>
  <c r="J170" i="2" a="1"/>
  <c r="J170" i="2"/>
  <c r="J171" i="2" a="1"/>
  <c r="J171" i="2"/>
  <c r="J172" i="2" a="1"/>
  <c r="J172" i="2"/>
  <c r="J173" i="2" a="1"/>
  <c r="J173" i="2"/>
  <c r="J174" i="2" a="1"/>
  <c r="J174" i="2"/>
  <c r="J175" i="2" a="1"/>
  <c r="J175" i="2"/>
  <c r="J176" i="2" a="1"/>
  <c r="J176" i="2"/>
  <c r="J177" i="2" a="1"/>
  <c r="J177" i="2"/>
  <c r="J178" i="2" a="1"/>
  <c r="J178" i="2"/>
  <c r="J179" i="2" a="1"/>
  <c r="J179" i="2"/>
  <c r="J180" i="2" a="1"/>
  <c r="J180" i="2"/>
  <c r="J181" i="2" a="1"/>
  <c r="J181" i="2"/>
  <c r="J182" i="2" a="1"/>
  <c r="J182" i="2"/>
  <c r="J183" i="2" a="1"/>
  <c r="J183" i="2"/>
  <c r="J184" i="2" a="1"/>
  <c r="J184" i="2"/>
  <c r="J185" i="2" a="1"/>
  <c r="J185" i="2"/>
  <c r="J186" i="2" a="1"/>
  <c r="J186" i="2"/>
  <c r="J187" i="2" a="1"/>
  <c r="J187" i="2"/>
  <c r="J188" i="2" a="1"/>
  <c r="J188" i="2"/>
  <c r="J189" i="2" a="1"/>
  <c r="J189" i="2"/>
  <c r="J190" i="2" a="1"/>
  <c r="J190" i="2"/>
  <c r="J191" i="2" a="1"/>
  <c r="J191" i="2"/>
  <c r="J192" i="2" a="1"/>
  <c r="J192" i="2"/>
  <c r="J193" i="2" a="1"/>
  <c r="J193" i="2"/>
  <c r="J194" i="2" a="1"/>
  <c r="J194" i="2"/>
  <c r="J195" i="2" a="1"/>
  <c r="J195" i="2"/>
  <c r="J196" i="2" a="1"/>
  <c r="J196" i="2"/>
  <c r="J197" i="2" a="1"/>
  <c r="J197" i="2"/>
  <c r="J198" i="2" a="1"/>
  <c r="J198" i="2"/>
  <c r="J199" i="2" a="1"/>
  <c r="J199" i="2"/>
  <c r="J200" i="2" a="1"/>
  <c r="J200" i="2"/>
  <c r="J201" i="2" a="1"/>
  <c r="J201" i="2"/>
  <c r="J202" i="2" a="1"/>
  <c r="J202" i="2"/>
  <c r="J203" i="2" a="1"/>
  <c r="J203" i="2"/>
  <c r="J204" i="2" a="1"/>
  <c r="J204" i="2"/>
  <c r="J205" i="2" a="1"/>
  <c r="J205" i="2"/>
  <c r="J206" i="2" a="1"/>
  <c r="J206" i="2"/>
  <c r="J207" i="2" a="1"/>
  <c r="J207" i="2"/>
  <c r="J208" i="2" a="1"/>
  <c r="J208" i="2"/>
  <c r="J209" i="2" a="1"/>
  <c r="J209" i="2"/>
  <c r="J210" i="2" a="1"/>
  <c r="J210" i="2"/>
  <c r="J211" i="2" a="1"/>
  <c r="J211" i="2"/>
  <c r="J212" i="2" a="1"/>
  <c r="J212" i="2"/>
  <c r="J213" i="2" a="1"/>
  <c r="J213" i="2"/>
  <c r="J214" i="2" a="1"/>
  <c r="J214" i="2"/>
  <c r="J215" i="2" a="1"/>
  <c r="J215" i="2"/>
  <c r="J216" i="2" a="1"/>
  <c r="J216" i="2"/>
  <c r="J217" i="2" a="1"/>
  <c r="J217" i="2"/>
  <c r="J218" i="2" a="1"/>
  <c r="J218" i="2"/>
  <c r="J219" i="2" a="1"/>
  <c r="J219" i="2"/>
  <c r="J220" i="2" a="1"/>
  <c r="J220" i="2"/>
  <c r="J221" i="2" a="1"/>
  <c r="J221" i="2"/>
  <c r="J222" i="2" a="1"/>
  <c r="J222" i="2"/>
  <c r="J223" i="2" a="1"/>
  <c r="J223" i="2"/>
  <c r="J224" i="2" a="1"/>
  <c r="J224" i="2"/>
  <c r="J225" i="2" a="1"/>
  <c r="J225" i="2"/>
  <c r="J226" i="2" a="1"/>
  <c r="J226" i="2"/>
  <c r="J227" i="2" a="1"/>
  <c r="J227" i="2"/>
  <c r="J228" i="2" a="1"/>
  <c r="J228" i="2"/>
  <c r="J229" i="2" a="1"/>
  <c r="J229" i="2"/>
  <c r="J230" i="2" a="1"/>
  <c r="J230" i="2"/>
  <c r="J231" i="2" a="1"/>
  <c r="J231" i="2"/>
  <c r="J232" i="2" a="1"/>
  <c r="J232" i="2"/>
  <c r="J233" i="2" a="1"/>
  <c r="J233" i="2"/>
  <c r="J234" i="2" a="1"/>
  <c r="J234" i="2"/>
  <c r="J235" i="2" a="1"/>
  <c r="J235" i="2"/>
  <c r="J236" i="2" a="1"/>
  <c r="J236" i="2"/>
  <c r="J237" i="2" a="1"/>
  <c r="J237" i="2"/>
  <c r="J238" i="2" a="1"/>
  <c r="J238" i="2"/>
  <c r="J239" i="2" a="1"/>
  <c r="J239" i="2"/>
  <c r="J240" i="2" a="1"/>
  <c r="J240" i="2"/>
  <c r="J62" i="2" a="1"/>
  <c r="J62" i="2" s="1"/>
  <c r="E153" i="2"/>
  <c r="E201" i="2"/>
  <c r="E202" i="2"/>
  <c r="E203" i="2"/>
  <c r="F74" i="2"/>
  <c r="F7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E63" i="2" s="1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E127" i="2" s="1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E169" i="2" s="1"/>
  <c r="D170" i="2"/>
  <c r="D171" i="2"/>
  <c r="D172" i="2"/>
  <c r="D173" i="2"/>
  <c r="D174" i="2"/>
  <c r="D175" i="2"/>
  <c r="E175" i="2" s="1"/>
  <c r="D176" i="2"/>
  <c r="D177" i="2"/>
  <c r="D178" i="2"/>
  <c r="D179" i="2"/>
  <c r="D180" i="2"/>
  <c r="D181" i="2"/>
  <c r="D182" i="2"/>
  <c r="D183" i="2"/>
  <c r="D184" i="2"/>
  <c r="D185" i="2"/>
  <c r="F185" i="2" s="1"/>
  <c r="D186" i="2"/>
  <c r="E186" i="2" s="1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F203" i="2" s="1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E217" i="2" s="1"/>
  <c r="D218" i="2"/>
  <c r="E218" i="2" s="1"/>
  <c r="D219" i="2"/>
  <c r="F219" i="2" s="1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E233" i="2" s="1"/>
  <c r="D234" i="2"/>
  <c r="E234" i="2" s="1"/>
  <c r="D235" i="2"/>
  <c r="E235" i="2" s="1"/>
  <c r="D236" i="2"/>
  <c r="D237" i="2"/>
  <c r="D238" i="2"/>
  <c r="D239" i="2"/>
  <c r="E239" i="2" s="1"/>
  <c r="D240" i="2"/>
  <c r="D3" i="2"/>
  <c r="C4" i="2"/>
  <c r="C5" i="2"/>
  <c r="C6" i="2"/>
  <c r="E6" i="2" s="1"/>
  <c r="C7" i="2"/>
  <c r="E7" i="2" s="1"/>
  <c r="C8" i="2"/>
  <c r="E8" i="2" s="1"/>
  <c r="C9" i="2"/>
  <c r="C10" i="2"/>
  <c r="C11" i="2"/>
  <c r="C12" i="2"/>
  <c r="E12" i="2" s="1"/>
  <c r="C13" i="2"/>
  <c r="E13" i="2" s="1"/>
  <c r="C14" i="2"/>
  <c r="C15" i="2"/>
  <c r="C16" i="2"/>
  <c r="C17" i="2"/>
  <c r="C18" i="2"/>
  <c r="C19" i="2"/>
  <c r="C20" i="2"/>
  <c r="C21" i="2"/>
  <c r="C22" i="2"/>
  <c r="E22" i="2" s="1"/>
  <c r="C23" i="2"/>
  <c r="E23" i="2" s="1"/>
  <c r="C24" i="2"/>
  <c r="F24" i="2" s="1"/>
  <c r="C25" i="2"/>
  <c r="E25" i="2" s="1"/>
  <c r="C26" i="2"/>
  <c r="E26" i="2" s="1"/>
  <c r="C27" i="2"/>
  <c r="E27" i="2" s="1"/>
  <c r="C28" i="2"/>
  <c r="E28" i="2" s="1"/>
  <c r="C29" i="2"/>
  <c r="E29" i="2" s="1"/>
  <c r="C30" i="2"/>
  <c r="C31" i="2"/>
  <c r="C32" i="2"/>
  <c r="C33" i="2"/>
  <c r="C34" i="2"/>
  <c r="C35" i="2"/>
  <c r="C36" i="2"/>
  <c r="C37" i="2"/>
  <c r="C38" i="2"/>
  <c r="C39" i="2"/>
  <c r="C40" i="2"/>
  <c r="E40" i="2" s="1"/>
  <c r="C41" i="2"/>
  <c r="C42" i="2"/>
  <c r="C43" i="2"/>
  <c r="C44" i="2"/>
  <c r="C45" i="2"/>
  <c r="E45" i="2" s="1"/>
  <c r="C46" i="2"/>
  <c r="C47" i="2"/>
  <c r="C48" i="2"/>
  <c r="C49" i="2"/>
  <c r="C50" i="2"/>
  <c r="C51" i="2"/>
  <c r="C52" i="2"/>
  <c r="C53" i="2"/>
  <c r="C54" i="2"/>
  <c r="E54" i="2" s="1"/>
  <c r="C55" i="2"/>
  <c r="E55" i="2" s="1"/>
  <c r="C56" i="2"/>
  <c r="E56" i="2" s="1"/>
  <c r="C57" i="2"/>
  <c r="C58" i="2"/>
  <c r="C59" i="2"/>
  <c r="C60" i="2"/>
  <c r="C61" i="2"/>
  <c r="E61" i="2" s="1"/>
  <c r="C62" i="2"/>
  <c r="C63" i="2"/>
  <c r="C64" i="2"/>
  <c r="C65" i="2"/>
  <c r="C66" i="2"/>
  <c r="C67" i="2"/>
  <c r="C68" i="2"/>
  <c r="C69" i="2"/>
  <c r="C70" i="2"/>
  <c r="C71" i="2"/>
  <c r="E71" i="2" s="1"/>
  <c r="C72" i="2"/>
  <c r="C73" i="2"/>
  <c r="C74" i="2"/>
  <c r="C75" i="2"/>
  <c r="C76" i="2"/>
  <c r="C77" i="2"/>
  <c r="E77" i="2" s="1"/>
  <c r="C78" i="2"/>
  <c r="C79" i="2"/>
  <c r="C80" i="2"/>
  <c r="C81" i="2"/>
  <c r="C82" i="2"/>
  <c r="C83" i="2"/>
  <c r="C84" i="2"/>
  <c r="C85" i="2"/>
  <c r="C86" i="2"/>
  <c r="E86" i="2" s="1"/>
  <c r="C87" i="2"/>
  <c r="E87" i="2" s="1"/>
  <c r="C88" i="2"/>
  <c r="C89" i="2"/>
  <c r="E89" i="2" s="1"/>
  <c r="C90" i="2"/>
  <c r="E90" i="2" s="1"/>
  <c r="C91" i="2"/>
  <c r="E91" i="2" s="1"/>
  <c r="C92" i="2"/>
  <c r="C93" i="2"/>
  <c r="E93" i="2" s="1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E109" i="2" s="1"/>
  <c r="C110" i="2"/>
  <c r="C111" i="2"/>
  <c r="C112" i="2"/>
  <c r="C113" i="2"/>
  <c r="C114" i="2"/>
  <c r="C115" i="2"/>
  <c r="C116" i="2"/>
  <c r="C117" i="2"/>
  <c r="C118" i="2"/>
  <c r="E118" i="2" s="1"/>
  <c r="C119" i="2"/>
  <c r="E119" i="2" s="1"/>
  <c r="C120" i="2"/>
  <c r="C121" i="2"/>
  <c r="C122" i="2"/>
  <c r="C123" i="2"/>
  <c r="C124" i="2"/>
  <c r="C125" i="2"/>
  <c r="E125" i="2" s="1"/>
  <c r="C126" i="2"/>
  <c r="C127" i="2"/>
  <c r="C128" i="2"/>
  <c r="C129" i="2"/>
  <c r="C130" i="2"/>
  <c r="C131" i="2"/>
  <c r="C132" i="2"/>
  <c r="C133" i="2"/>
  <c r="C134" i="2"/>
  <c r="E134" i="2" s="1"/>
  <c r="C135" i="2"/>
  <c r="E135" i="2" s="1"/>
  <c r="C136" i="2"/>
  <c r="C137" i="2"/>
  <c r="C138" i="2"/>
  <c r="C139" i="2"/>
  <c r="C140" i="2"/>
  <c r="C141" i="2"/>
  <c r="E141" i="2" s="1"/>
  <c r="C142" i="2"/>
  <c r="C143" i="2"/>
  <c r="C144" i="2"/>
  <c r="C145" i="2"/>
  <c r="C146" i="2"/>
  <c r="C147" i="2"/>
  <c r="C148" i="2"/>
  <c r="C149" i="2"/>
  <c r="C150" i="2"/>
  <c r="E150" i="2" s="1"/>
  <c r="C151" i="2"/>
  <c r="E151" i="2" s="1"/>
  <c r="C152" i="2"/>
  <c r="C153" i="2"/>
  <c r="C154" i="2"/>
  <c r="E154" i="2" s="1"/>
  <c r="C155" i="2"/>
  <c r="E155" i="2" s="1"/>
  <c r="C156" i="2"/>
  <c r="C157" i="2"/>
  <c r="E157" i="2" s="1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E182" i="2" s="1"/>
  <c r="C183" i="2"/>
  <c r="E183" i="2" s="1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E198" i="2" s="1"/>
  <c r="C199" i="2"/>
  <c r="E199" i="2" s="1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E214" i="2" s="1"/>
  <c r="C215" i="2"/>
  <c r="E215" i="2" s="1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3" i="2"/>
  <c r="E69" i="2" l="1"/>
  <c r="E5" i="2"/>
  <c r="E95" i="2"/>
  <c r="F238" i="2"/>
  <c r="F190" i="2"/>
  <c r="F174" i="2"/>
  <c r="F126" i="2"/>
  <c r="F94" i="2"/>
  <c r="F62" i="2"/>
  <c r="F30" i="2"/>
  <c r="H108" i="2"/>
  <c r="F187" i="2"/>
  <c r="E181" i="2"/>
  <c r="H107" i="2"/>
  <c r="E106" i="2"/>
  <c r="E10" i="2"/>
  <c r="E149" i="2"/>
  <c r="H170" i="2"/>
  <c r="E117" i="2"/>
  <c r="H171" i="2"/>
  <c r="E232" i="2"/>
  <c r="E216" i="2"/>
  <c r="E200" i="2"/>
  <c r="F184" i="2"/>
  <c r="E168" i="2"/>
  <c r="E152" i="2"/>
  <c r="F136" i="2"/>
  <c r="E120" i="2"/>
  <c r="E104" i="2"/>
  <c r="E88" i="2"/>
  <c r="F72" i="2"/>
  <c r="F70" i="2"/>
  <c r="E229" i="2"/>
  <c r="F133" i="2"/>
  <c r="F53" i="2"/>
  <c r="H222" i="2"/>
  <c r="H110" i="2"/>
  <c r="E195" i="2"/>
  <c r="E131" i="2"/>
  <c r="E99" i="2"/>
  <c r="E51" i="2"/>
  <c r="F86" i="2"/>
  <c r="E190" i="2"/>
  <c r="F87" i="2"/>
  <c r="E72" i="2"/>
  <c r="E238" i="2"/>
  <c r="E31" i="2"/>
  <c r="E237" i="2"/>
  <c r="E126" i="2"/>
  <c r="E70" i="2"/>
  <c r="F68" i="2"/>
  <c r="E83" i="2"/>
  <c r="F69" i="2"/>
  <c r="H78" i="2"/>
  <c r="E163" i="2"/>
  <c r="E19" i="2"/>
  <c r="E174" i="2"/>
  <c r="F181" i="2"/>
  <c r="F21" i="2"/>
  <c r="F116" i="2"/>
  <c r="E211" i="2"/>
  <c r="E62" i="2"/>
  <c r="E179" i="2"/>
  <c r="E124" i="2"/>
  <c r="E230" i="2"/>
  <c r="F182" i="2"/>
  <c r="F118" i="2"/>
  <c r="F38" i="2"/>
  <c r="F213" i="2"/>
  <c r="F149" i="2"/>
  <c r="F85" i="2"/>
  <c r="F5" i="2"/>
  <c r="E147" i="2"/>
  <c r="E67" i="2"/>
  <c r="E24" i="2"/>
  <c r="E108" i="2"/>
  <c r="E44" i="2"/>
  <c r="F198" i="2"/>
  <c r="E166" i="2"/>
  <c r="E102" i="2"/>
  <c r="F197" i="2"/>
  <c r="F117" i="2"/>
  <c r="H190" i="2"/>
  <c r="H126" i="2"/>
  <c r="H237" i="2"/>
  <c r="H189" i="2"/>
  <c r="E227" i="2"/>
  <c r="E115" i="2"/>
  <c r="E35" i="2"/>
  <c r="H238" i="2"/>
  <c r="E136" i="2"/>
  <c r="E140" i="2"/>
  <c r="E92" i="2"/>
  <c r="E76" i="2"/>
  <c r="E60" i="2"/>
  <c r="E231" i="2"/>
  <c r="F199" i="2"/>
  <c r="F167" i="2"/>
  <c r="E39" i="2"/>
  <c r="E213" i="2"/>
  <c r="E94" i="2"/>
  <c r="E53" i="2"/>
  <c r="F196" i="2"/>
  <c r="E196" i="2"/>
  <c r="F164" i="2"/>
  <c r="E164" i="2"/>
  <c r="F148" i="2"/>
  <c r="E148" i="2"/>
  <c r="F100" i="2"/>
  <c r="E100" i="2"/>
  <c r="F84" i="2"/>
  <c r="E84" i="2"/>
  <c r="F52" i="2"/>
  <c r="E52" i="2"/>
  <c r="F36" i="2"/>
  <c r="E36" i="2"/>
  <c r="F4" i="2"/>
  <c r="E4" i="2"/>
  <c r="H221" i="2"/>
  <c r="H205" i="2"/>
  <c r="L217" i="2"/>
  <c r="H157" i="2"/>
  <c r="L201" i="2"/>
  <c r="H141" i="2"/>
  <c r="L169" i="2"/>
  <c r="H109" i="2"/>
  <c r="L122" i="2"/>
  <c r="H220" i="2"/>
  <c r="H204" i="2"/>
  <c r="H188" i="2"/>
  <c r="L232" i="2"/>
  <c r="H168" i="2"/>
  <c r="L216" i="2"/>
  <c r="H156" i="2"/>
  <c r="L168" i="2"/>
  <c r="H95" i="2"/>
  <c r="L152" i="2"/>
  <c r="H92" i="2"/>
  <c r="L136" i="2"/>
  <c r="H76" i="2"/>
  <c r="H104" i="2"/>
  <c r="H203" i="2"/>
  <c r="H75" i="2"/>
  <c r="H103" i="2"/>
  <c r="H215" i="2"/>
  <c r="H200" i="2"/>
  <c r="H145" i="2"/>
  <c r="H74" i="2"/>
  <c r="H62" i="2"/>
  <c r="H99" i="2"/>
  <c r="H239" i="2"/>
  <c r="H98" i="2"/>
  <c r="F180" i="2"/>
  <c r="E180" i="2"/>
  <c r="L137" i="2"/>
  <c r="H77" i="2"/>
  <c r="H236" i="2"/>
  <c r="H227" i="2"/>
  <c r="L184" i="2"/>
  <c r="H124" i="2"/>
  <c r="H177" i="2"/>
  <c r="H175" i="2"/>
  <c r="H174" i="2"/>
  <c r="F228" i="2"/>
  <c r="E228" i="2"/>
  <c r="F132" i="2"/>
  <c r="E132" i="2"/>
  <c r="F20" i="2"/>
  <c r="E20" i="2"/>
  <c r="L233" i="2"/>
  <c r="L153" i="2"/>
  <c r="H93" i="2"/>
  <c r="L200" i="2"/>
  <c r="H140" i="2"/>
  <c r="E116" i="2"/>
  <c r="E68" i="2"/>
  <c r="H173" i="2"/>
  <c r="F212" i="2"/>
  <c r="E212" i="2"/>
  <c r="L185" i="2"/>
  <c r="H125" i="2"/>
  <c r="H106" i="2"/>
  <c r="H172" i="2"/>
  <c r="F210" i="2"/>
  <c r="E210" i="2"/>
  <c r="F194" i="2"/>
  <c r="E194" i="2"/>
  <c r="F162" i="2"/>
  <c r="E162" i="2"/>
  <c r="F114" i="2"/>
  <c r="E114" i="2"/>
  <c r="F82" i="2"/>
  <c r="E82" i="2"/>
  <c r="F66" i="2"/>
  <c r="E66" i="2"/>
  <c r="F34" i="2"/>
  <c r="E34" i="2"/>
  <c r="H235" i="2"/>
  <c r="H219" i="2"/>
  <c r="L215" i="2"/>
  <c r="H155" i="2"/>
  <c r="L199" i="2"/>
  <c r="H139" i="2"/>
  <c r="L167" i="2"/>
  <c r="H216" i="2"/>
  <c r="F161" i="2"/>
  <c r="E161" i="2"/>
  <c r="F49" i="2"/>
  <c r="E49" i="2"/>
  <c r="L182" i="2"/>
  <c r="H121" i="2"/>
  <c r="H120" i="2"/>
  <c r="H119" i="2"/>
  <c r="H122" i="2"/>
  <c r="F130" i="2"/>
  <c r="E130" i="2"/>
  <c r="L183" i="2"/>
  <c r="H123" i="2"/>
  <c r="E209" i="2"/>
  <c r="F97" i="2"/>
  <c r="E97" i="2"/>
  <c r="H217" i="2"/>
  <c r="H218" i="2"/>
  <c r="H185" i="2"/>
  <c r="H184" i="2"/>
  <c r="H186" i="2"/>
  <c r="H183" i="2"/>
  <c r="L198" i="2"/>
  <c r="H137" i="2"/>
  <c r="H138" i="2"/>
  <c r="L134" i="2"/>
  <c r="H73" i="2"/>
  <c r="E240" i="2"/>
  <c r="E192" i="2"/>
  <c r="E144" i="2"/>
  <c r="E96" i="2"/>
  <c r="E32" i="2"/>
  <c r="L229" i="2"/>
  <c r="L181" i="2"/>
  <c r="L133" i="2"/>
  <c r="H72" i="2"/>
  <c r="F223" i="2"/>
  <c r="E223" i="2"/>
  <c r="F191" i="2"/>
  <c r="E191" i="2"/>
  <c r="F143" i="2"/>
  <c r="E143" i="2"/>
  <c r="F63" i="2"/>
  <c r="L196" i="2"/>
  <c r="L148" i="2"/>
  <c r="H71" i="2"/>
  <c r="F222" i="2"/>
  <c r="E222" i="2"/>
  <c r="F142" i="2"/>
  <c r="E142" i="2"/>
  <c r="F110" i="2"/>
  <c r="E110" i="2"/>
  <c r="F78" i="2"/>
  <c r="E78" i="2"/>
  <c r="L211" i="2"/>
  <c r="L163" i="2"/>
  <c r="E189" i="2"/>
  <c r="F171" i="2"/>
  <c r="H230" i="2"/>
  <c r="F123" i="2"/>
  <c r="H182" i="2"/>
  <c r="F75" i="2"/>
  <c r="L194" i="2"/>
  <c r="H134" i="2"/>
  <c r="F27" i="2"/>
  <c r="L146" i="2"/>
  <c r="H86" i="2"/>
  <c r="H202" i="2"/>
  <c r="H131" i="2"/>
  <c r="F146" i="2"/>
  <c r="E146" i="2"/>
  <c r="L231" i="2"/>
  <c r="L151" i="2"/>
  <c r="H91" i="2"/>
  <c r="E225" i="2"/>
  <c r="F129" i="2"/>
  <c r="E129" i="2"/>
  <c r="H233" i="2"/>
  <c r="H234" i="2"/>
  <c r="L230" i="2"/>
  <c r="H169" i="2"/>
  <c r="H167" i="2"/>
  <c r="L166" i="2"/>
  <c r="H105" i="2"/>
  <c r="E208" i="2"/>
  <c r="E160" i="2"/>
  <c r="E128" i="2"/>
  <c r="E80" i="2"/>
  <c r="E48" i="2"/>
  <c r="L197" i="2"/>
  <c r="L149" i="2"/>
  <c r="F175" i="2"/>
  <c r="F95" i="2"/>
  <c r="L228" i="2"/>
  <c r="L180" i="2"/>
  <c r="L132" i="2"/>
  <c r="F206" i="2"/>
  <c r="E206" i="2"/>
  <c r="F46" i="2"/>
  <c r="E46" i="2"/>
  <c r="H231" i="2"/>
  <c r="L227" i="2"/>
  <c r="L179" i="2"/>
  <c r="L131" i="2"/>
  <c r="E205" i="2"/>
  <c r="E173" i="2"/>
  <c r="F155" i="2"/>
  <c r="H214" i="2"/>
  <c r="F107" i="2"/>
  <c r="L226" i="2"/>
  <c r="H166" i="2"/>
  <c r="F59" i="2"/>
  <c r="L178" i="2"/>
  <c r="H118" i="2"/>
  <c r="F43" i="2"/>
  <c r="L162" i="2"/>
  <c r="H102" i="2"/>
  <c r="E220" i="2"/>
  <c r="E156" i="2"/>
  <c r="L209" i="2"/>
  <c r="H149" i="2"/>
  <c r="H130" i="2"/>
  <c r="F226" i="2"/>
  <c r="E226" i="2"/>
  <c r="F178" i="2"/>
  <c r="E178" i="2"/>
  <c r="F98" i="2"/>
  <c r="E98" i="2"/>
  <c r="F50" i="2"/>
  <c r="E50" i="2"/>
  <c r="F18" i="2"/>
  <c r="E18" i="2"/>
  <c r="H187" i="2"/>
  <c r="L135" i="2"/>
  <c r="H146" i="2"/>
  <c r="E3" i="2"/>
  <c r="E193" i="2"/>
  <c r="F177" i="2"/>
  <c r="E177" i="2"/>
  <c r="F145" i="2"/>
  <c r="E145" i="2"/>
  <c r="F113" i="2"/>
  <c r="E113" i="2"/>
  <c r="F81" i="2"/>
  <c r="E81" i="2"/>
  <c r="F65" i="2"/>
  <c r="E65" i="2"/>
  <c r="F33" i="2"/>
  <c r="E33" i="2"/>
  <c r="F17" i="2"/>
  <c r="E17" i="2"/>
  <c r="H201" i="2"/>
  <c r="L214" i="2"/>
  <c r="H153" i="2"/>
  <c r="H151" i="2"/>
  <c r="H154" i="2"/>
  <c r="H152" i="2"/>
  <c r="L150" i="2"/>
  <c r="H89" i="2"/>
  <c r="H88" i="2"/>
  <c r="H90" i="2"/>
  <c r="H87" i="2"/>
  <c r="E224" i="2"/>
  <c r="E176" i="2"/>
  <c r="E112" i="2"/>
  <c r="E64" i="2"/>
  <c r="E16" i="2"/>
  <c r="L213" i="2"/>
  <c r="L165" i="2"/>
  <c r="H143" i="2"/>
  <c r="F239" i="2"/>
  <c r="F207" i="2"/>
  <c r="E207" i="2"/>
  <c r="F159" i="2"/>
  <c r="E159" i="2"/>
  <c r="F127" i="2"/>
  <c r="F111" i="2"/>
  <c r="E111" i="2"/>
  <c r="F79" i="2"/>
  <c r="E79" i="2"/>
  <c r="F47" i="2"/>
  <c r="E47" i="2"/>
  <c r="F31" i="2"/>
  <c r="F15" i="2"/>
  <c r="E15" i="2"/>
  <c r="H232" i="2"/>
  <c r="L212" i="2"/>
  <c r="L164" i="2"/>
  <c r="H136" i="2"/>
  <c r="F158" i="2"/>
  <c r="E158" i="2"/>
  <c r="F14" i="2"/>
  <c r="E14" i="2"/>
  <c r="L195" i="2"/>
  <c r="L147" i="2"/>
  <c r="H135" i="2"/>
  <c r="E221" i="2"/>
  <c r="F139" i="2"/>
  <c r="H198" i="2"/>
  <c r="E139" i="2"/>
  <c r="F91" i="2"/>
  <c r="L210" i="2"/>
  <c r="H150" i="2"/>
  <c r="F11" i="2"/>
  <c r="L130" i="2"/>
  <c r="H70" i="2"/>
  <c r="E236" i="2"/>
  <c r="E204" i="2"/>
  <c r="E188" i="2"/>
  <c r="E172" i="2"/>
  <c r="E219" i="2"/>
  <c r="E171" i="2"/>
  <c r="E107" i="2"/>
  <c r="E75" i="2"/>
  <c r="E43" i="2"/>
  <c r="E11" i="2"/>
  <c r="H191" i="2"/>
  <c r="E30" i="2"/>
  <c r="H199" i="2"/>
  <c r="H129" i="2"/>
  <c r="H197" i="2"/>
  <c r="E187" i="2"/>
  <c r="E123" i="2"/>
  <c r="E59" i="2"/>
  <c r="H212" i="2"/>
  <c r="H211" i="2"/>
  <c r="L240" i="2"/>
  <c r="H180" i="2"/>
  <c r="L208" i="2"/>
  <c r="H148" i="2"/>
  <c r="L176" i="2"/>
  <c r="H116" i="2"/>
  <c r="H115" i="2"/>
  <c r="L144" i="2"/>
  <c r="H84" i="2"/>
  <c r="E138" i="2"/>
  <c r="E85" i="2"/>
  <c r="H194" i="2"/>
  <c r="L223" i="2"/>
  <c r="L175" i="2"/>
  <c r="E137" i="2"/>
  <c r="H223" i="2"/>
  <c r="H83" i="2"/>
  <c r="E185" i="2"/>
  <c r="E197" i="2"/>
  <c r="H229" i="2"/>
  <c r="H213" i="2"/>
  <c r="H181" i="2"/>
  <c r="E122" i="2"/>
  <c r="L225" i="2"/>
  <c r="H165" i="2"/>
  <c r="L193" i="2"/>
  <c r="H133" i="2"/>
  <c r="L177" i="2"/>
  <c r="H117" i="2"/>
  <c r="E58" i="2"/>
  <c r="L161" i="2"/>
  <c r="H101" i="2"/>
  <c r="F26" i="2"/>
  <c r="L145" i="2"/>
  <c r="H85" i="2"/>
  <c r="L129" i="2"/>
  <c r="H69" i="2"/>
  <c r="H226" i="2"/>
  <c r="H195" i="2"/>
  <c r="H158" i="2"/>
  <c r="H127" i="2"/>
  <c r="H94" i="2"/>
  <c r="H228" i="2"/>
  <c r="F137" i="2"/>
  <c r="H196" i="2"/>
  <c r="L224" i="2"/>
  <c r="H164" i="2"/>
  <c r="H163" i="2"/>
  <c r="L192" i="2"/>
  <c r="H132" i="2"/>
  <c r="L160" i="2"/>
  <c r="H100" i="2"/>
  <c r="L128" i="2"/>
  <c r="H68" i="2"/>
  <c r="H67" i="2"/>
  <c r="H225" i="2"/>
  <c r="L239" i="2"/>
  <c r="L191" i="2"/>
  <c r="L143" i="2"/>
  <c r="E170" i="2"/>
  <c r="H193" i="2"/>
  <c r="E57" i="2"/>
  <c r="H210" i="2"/>
  <c r="E74" i="2"/>
  <c r="E21" i="2"/>
  <c r="H82" i="2"/>
  <c r="E73" i="2"/>
  <c r="H79" i="2"/>
  <c r="E105" i="2"/>
  <c r="H207" i="2"/>
  <c r="H63" i="2"/>
  <c r="E133" i="2"/>
  <c r="E42" i="2"/>
  <c r="E9" i="2"/>
  <c r="H179" i="2"/>
  <c r="F165" i="2"/>
  <c r="E165" i="2"/>
  <c r="F101" i="2"/>
  <c r="E101" i="2"/>
  <c r="F37" i="2"/>
  <c r="E37" i="2"/>
  <c r="H206" i="2"/>
  <c r="L234" i="2"/>
  <c r="L218" i="2"/>
  <c r="L202" i="2"/>
  <c r="H142" i="2"/>
  <c r="L186" i="2"/>
  <c r="L170" i="2"/>
  <c r="L154" i="2"/>
  <c r="L138" i="2"/>
  <c r="E41" i="2"/>
  <c r="H178" i="2"/>
  <c r="H147" i="2"/>
  <c r="L127" i="2"/>
  <c r="L222" i="2"/>
  <c r="F55" i="2"/>
  <c r="L174" i="2"/>
  <c r="F7" i="2"/>
  <c r="L126" i="2"/>
  <c r="H66" i="2"/>
  <c r="F214" i="2"/>
  <c r="F166" i="2"/>
  <c r="F150" i="2"/>
  <c r="F134" i="2"/>
  <c r="L237" i="2"/>
  <c r="F102" i="2"/>
  <c r="L221" i="2"/>
  <c r="L205" i="2"/>
  <c r="L189" i="2"/>
  <c r="L173" i="2"/>
  <c r="H113" i="2"/>
  <c r="L157" i="2"/>
  <c r="H97" i="2"/>
  <c r="F22" i="2"/>
  <c r="L141" i="2"/>
  <c r="H81" i="2"/>
  <c r="F6" i="2"/>
  <c r="L125" i="2"/>
  <c r="H65" i="2"/>
  <c r="E38" i="2"/>
  <c r="H209" i="2"/>
  <c r="H162" i="2"/>
  <c r="F121" i="2"/>
  <c r="F119" i="2"/>
  <c r="L238" i="2"/>
  <c r="L190" i="2"/>
  <c r="L142" i="2"/>
  <c r="E167" i="2"/>
  <c r="E103" i="2"/>
  <c r="F183" i="2"/>
  <c r="F135" i="2"/>
  <c r="F39" i="2"/>
  <c r="F23" i="2"/>
  <c r="H240" i="2"/>
  <c r="H224" i="2"/>
  <c r="H208" i="2"/>
  <c r="H192" i="2"/>
  <c r="L236" i="2"/>
  <c r="H176" i="2"/>
  <c r="L220" i="2"/>
  <c r="H160" i="2"/>
  <c r="L204" i="2"/>
  <c r="H144" i="2"/>
  <c r="L188" i="2"/>
  <c r="H128" i="2"/>
  <c r="L172" i="2"/>
  <c r="H112" i="2"/>
  <c r="L156" i="2"/>
  <c r="H96" i="2"/>
  <c r="L140" i="2"/>
  <c r="H80" i="2"/>
  <c r="L124" i="2"/>
  <c r="H64" i="2"/>
  <c r="E121" i="2"/>
  <c r="H161" i="2"/>
  <c r="H114" i="2"/>
  <c r="F25" i="2"/>
  <c r="L206" i="2"/>
  <c r="L158" i="2"/>
  <c r="L235" i="2"/>
  <c r="L219" i="2"/>
  <c r="L203" i="2"/>
  <c r="L187" i="2"/>
  <c r="L171" i="2"/>
  <c r="L155" i="2"/>
  <c r="L139" i="2"/>
  <c r="L123" i="2"/>
  <c r="E184" i="2"/>
  <c r="H159" i="2"/>
  <c r="H111" i="2"/>
  <c r="F170" i="2"/>
  <c r="F122" i="2"/>
  <c r="F88" i="2"/>
  <c r="F40" i="2"/>
  <c r="L207" i="2"/>
  <c r="L159" i="2"/>
  <c r="F138" i="2"/>
  <c r="F58" i="2"/>
  <c r="F217" i="2"/>
  <c r="F169" i="2"/>
  <c r="F105" i="2"/>
  <c r="F41" i="2"/>
  <c r="F216" i="2"/>
  <c r="F152" i="2"/>
  <c r="F56" i="2"/>
  <c r="F54" i="2"/>
  <c r="F202" i="2"/>
  <c r="F120" i="2"/>
  <c r="F215" i="2"/>
  <c r="F186" i="2"/>
  <c r="F9" i="2"/>
  <c r="F200" i="2"/>
  <c r="F71" i="2"/>
  <c r="F211" i="2"/>
  <c r="F179" i="2"/>
  <c r="F163" i="2"/>
  <c r="F147" i="2"/>
  <c r="F131" i="2"/>
  <c r="F115" i="2"/>
  <c r="F99" i="2"/>
  <c r="F83" i="2"/>
  <c r="F67" i="2"/>
  <c r="F51" i="2"/>
  <c r="F35" i="2"/>
  <c r="F19" i="2"/>
  <c r="F90" i="2"/>
  <c r="F10" i="2"/>
  <c r="F151" i="2"/>
  <c r="F103" i="2"/>
  <c r="F195" i="2"/>
  <c r="F218" i="2"/>
  <c r="F154" i="2"/>
  <c r="F106" i="2"/>
  <c r="F42" i="2"/>
  <c r="F201" i="2"/>
  <c r="F153" i="2"/>
  <c r="F89" i="2"/>
  <c r="F57" i="2"/>
  <c r="F168" i="2"/>
  <c r="F104" i="2"/>
  <c r="F8" i="2"/>
  <c r="F229" i="2"/>
  <c r="F227" i="2"/>
  <c r="F189" i="2"/>
  <c r="F125" i="2"/>
  <c r="F77" i="2"/>
  <c r="F188" i="2"/>
  <c r="F140" i="2"/>
  <c r="F108" i="2"/>
  <c r="F44" i="2"/>
  <c r="F235" i="2"/>
  <c r="F232" i="2"/>
  <c r="F231" i="2"/>
  <c r="F230" i="2"/>
  <c r="F204" i="2"/>
  <c r="F12" i="2"/>
  <c r="F173" i="2"/>
  <c r="F13" i="2"/>
  <c r="F237" i="2"/>
  <c r="F61" i="2"/>
  <c r="F60" i="2"/>
  <c r="F205" i="2"/>
  <c r="F141" i="2"/>
  <c r="F93" i="2"/>
  <c r="F29" i="2"/>
  <c r="F236" i="2"/>
  <c r="F172" i="2"/>
  <c r="F92" i="2"/>
  <c r="F234" i="2"/>
  <c r="F233" i="2"/>
  <c r="F3" i="2"/>
  <c r="F209" i="2"/>
  <c r="F221" i="2"/>
  <c r="F157" i="2"/>
  <c r="F109" i="2"/>
  <c r="F45" i="2"/>
  <c r="F220" i="2"/>
  <c r="F156" i="2"/>
  <c r="F124" i="2"/>
  <c r="F76" i="2"/>
  <c r="F28" i="2"/>
  <c r="F225" i="2"/>
  <c r="F193" i="2"/>
  <c r="F240" i="2"/>
  <c r="F224" i="2"/>
  <c r="F208" i="2"/>
  <c r="F192" i="2"/>
  <c r="F176" i="2"/>
  <c r="F160" i="2"/>
  <c r="F144" i="2"/>
  <c r="F128" i="2"/>
  <c r="F112" i="2"/>
  <c r="F96" i="2"/>
  <c r="F80" i="2"/>
  <c r="F64" i="2"/>
  <c r="F48" i="2"/>
  <c r="F32" i="2"/>
  <c r="F16" i="2"/>
  <c r="K164" i="2" l="1"/>
  <c r="G167" i="2"/>
  <c r="G146" i="2"/>
  <c r="G154" i="2"/>
  <c r="G200" i="2"/>
  <c r="G190" i="2"/>
  <c r="K221" i="2"/>
  <c r="K129" i="2"/>
  <c r="G158" i="2"/>
  <c r="M236" i="2"/>
  <c r="G210" i="2"/>
  <c r="G184" i="2"/>
  <c r="G240" i="2"/>
  <c r="K145" i="2"/>
  <c r="G165" i="2"/>
  <c r="I240" i="2"/>
  <c r="M140" i="2"/>
  <c r="G193" i="2"/>
  <c r="K182" i="2"/>
  <c r="K196" i="2"/>
  <c r="M180" i="2"/>
  <c r="I120" i="2"/>
  <c r="M172" i="2"/>
  <c r="I146" i="2"/>
  <c r="M181" i="2"/>
  <c r="I195" i="2"/>
  <c r="M124" i="2"/>
  <c r="M231" i="2"/>
  <c r="I171" i="2"/>
  <c r="M206" i="2"/>
  <c r="I131" i="2"/>
  <c r="M205" i="2"/>
  <c r="M164" i="2"/>
  <c r="I104" i="2"/>
  <c r="M157" i="2"/>
  <c r="M143" i="2"/>
  <c r="I210" i="2"/>
  <c r="M174" i="2"/>
  <c r="I114" i="2"/>
  <c r="K178" i="2"/>
  <c r="G118" i="2"/>
  <c r="G230" i="2"/>
  <c r="M134" i="2"/>
  <c r="I74" i="2"/>
  <c r="G204" i="2"/>
  <c r="I205" i="2"/>
  <c r="I202" i="2"/>
  <c r="G127" i="2"/>
  <c r="K187" i="2"/>
  <c r="G207" i="2"/>
  <c r="I148" i="2"/>
  <c r="M208" i="2"/>
  <c r="I115" i="2"/>
  <c r="M175" i="2"/>
  <c r="G132" i="2"/>
  <c r="K192" i="2"/>
  <c r="G131" i="2"/>
  <c r="G130" i="2"/>
  <c r="I204" i="2"/>
  <c r="I194" i="2"/>
  <c r="I198" i="2"/>
  <c r="I116" i="2"/>
  <c r="M176" i="2"/>
  <c r="M186" i="2"/>
  <c r="I126" i="2"/>
  <c r="M173" i="2"/>
  <c r="I113" i="2"/>
  <c r="I84" i="2"/>
  <c r="M144" i="2"/>
  <c r="G149" i="2"/>
  <c r="G237" i="2"/>
  <c r="G232" i="2"/>
  <c r="G221" i="2"/>
  <c r="I112" i="2"/>
  <c r="M202" i="2"/>
  <c r="I142" i="2"/>
  <c r="I192" i="2"/>
  <c r="K143" i="2"/>
  <c r="G181" i="2"/>
  <c r="G182" i="2"/>
  <c r="M150" i="2"/>
  <c r="I90" i="2"/>
  <c r="I237" i="2"/>
  <c r="M214" i="2"/>
  <c r="I154" i="2"/>
  <c r="I89" i="2"/>
  <c r="I221" i="2"/>
  <c r="G175" i="2"/>
  <c r="K235" i="2"/>
  <c r="K154" i="2"/>
  <c r="K189" i="2"/>
  <c r="G84" i="2"/>
  <c r="I207" i="2"/>
  <c r="M211" i="2"/>
  <c r="I151" i="2"/>
  <c r="I212" i="2"/>
  <c r="M218" i="2"/>
  <c r="I158" i="2"/>
  <c r="I211" i="2"/>
  <c r="M238" i="2"/>
  <c r="I177" i="2"/>
  <c r="I178" i="2"/>
  <c r="G224" i="2"/>
  <c r="G179" i="2"/>
  <c r="G145" i="2"/>
  <c r="G147" i="2"/>
  <c r="K166" i="2"/>
  <c r="G106" i="2"/>
  <c r="K135" i="2"/>
  <c r="G75" i="2"/>
  <c r="G236" i="2"/>
  <c r="M178" i="2"/>
  <c r="I118" i="2"/>
  <c r="I234" i="2"/>
  <c r="I233" i="2"/>
  <c r="M149" i="2"/>
  <c r="K188" i="2"/>
  <c r="K144" i="2"/>
  <c r="G223" i="2"/>
  <c r="G222" i="2"/>
  <c r="I231" i="2"/>
  <c r="M234" i="2"/>
  <c r="I174" i="2"/>
  <c r="K240" i="2"/>
  <c r="G180" i="2"/>
  <c r="K239" i="2"/>
  <c r="I180" i="2"/>
  <c r="M240" i="2"/>
  <c r="I224" i="2"/>
  <c r="G144" i="2"/>
  <c r="K204" i="2"/>
  <c r="K225" i="2"/>
  <c r="K133" i="2"/>
  <c r="G73" i="2"/>
  <c r="M166" i="2"/>
  <c r="I106" i="2"/>
  <c r="K183" i="2"/>
  <c r="G123" i="2"/>
  <c r="I236" i="2"/>
  <c r="K124" i="2"/>
  <c r="G137" i="2"/>
  <c r="K197" i="2"/>
  <c r="G189" i="2"/>
  <c r="G128" i="2"/>
  <c r="G82" i="2"/>
  <c r="G186" i="2"/>
  <c r="K148" i="2"/>
  <c r="I223" i="2"/>
  <c r="M135" i="2"/>
  <c r="I75" i="2"/>
  <c r="M163" i="2"/>
  <c r="I103" i="2"/>
  <c r="I101" i="2"/>
  <c r="M161" i="2"/>
  <c r="I190" i="2"/>
  <c r="I100" i="2"/>
  <c r="M160" i="2"/>
  <c r="M221" i="2"/>
  <c r="I161" i="2"/>
  <c r="I64" i="2"/>
  <c r="G80" i="2"/>
  <c r="K140" i="2"/>
  <c r="G197" i="2"/>
  <c r="G71" i="2"/>
  <c r="M130" i="2"/>
  <c r="I70" i="2"/>
  <c r="M133" i="2"/>
  <c r="I73" i="2"/>
  <c r="K198" i="2"/>
  <c r="G138" i="2"/>
  <c r="K231" i="2"/>
  <c r="G171" i="2"/>
  <c r="G64" i="2"/>
  <c r="M197" i="2"/>
  <c r="I137" i="2"/>
  <c r="I189" i="2"/>
  <c r="K236" i="2"/>
  <c r="G83" i="2"/>
  <c r="K150" i="2"/>
  <c r="G63" i="2"/>
  <c r="K123" i="2"/>
  <c r="M151" i="2"/>
  <c r="I91" i="2"/>
  <c r="M147" i="2"/>
  <c r="I87" i="2"/>
  <c r="M148" i="2"/>
  <c r="I88" i="2"/>
  <c r="M227" i="2"/>
  <c r="I167" i="2"/>
  <c r="I165" i="2"/>
  <c r="M225" i="2"/>
  <c r="I206" i="2"/>
  <c r="I164" i="2"/>
  <c r="M224" i="2"/>
  <c r="I176" i="2"/>
  <c r="G133" i="2"/>
  <c r="K193" i="2"/>
  <c r="K163" i="2"/>
  <c r="K131" i="2"/>
  <c r="G119" i="2"/>
  <c r="M198" i="2"/>
  <c r="I138" i="2"/>
  <c r="G235" i="2"/>
  <c r="K122" i="2"/>
  <c r="G62" i="2"/>
  <c r="M226" i="2"/>
  <c r="I166" i="2"/>
  <c r="G209" i="2"/>
  <c r="G188" i="2"/>
  <c r="K229" i="2"/>
  <c r="G169" i="2"/>
  <c r="G65" i="2"/>
  <c r="G176" i="2"/>
  <c r="G90" i="2"/>
  <c r="M123" i="2"/>
  <c r="I63" i="2"/>
  <c r="M167" i="2"/>
  <c r="I107" i="2"/>
  <c r="M195" i="2"/>
  <c r="I135" i="2"/>
  <c r="M212" i="2"/>
  <c r="I152" i="2"/>
  <c r="I199" i="2"/>
  <c r="I213" i="2"/>
  <c r="I222" i="2"/>
  <c r="I228" i="2"/>
  <c r="G97" i="2"/>
  <c r="K157" i="2"/>
  <c r="I193" i="2"/>
  <c r="K127" i="2"/>
  <c r="I80" i="2"/>
  <c r="K128" i="2"/>
  <c r="G68" i="2"/>
  <c r="G67" i="2"/>
  <c r="K191" i="2"/>
  <c r="K147" i="2"/>
  <c r="K179" i="2"/>
  <c r="G217" i="2"/>
  <c r="G216" i="2"/>
  <c r="G170" i="2"/>
  <c r="K230" i="2"/>
  <c r="K136" i="2"/>
  <c r="G76" i="2"/>
  <c r="G69" i="2"/>
  <c r="K165" i="2"/>
  <c r="G105" i="2"/>
  <c r="G103" i="2"/>
  <c r="I188" i="2"/>
  <c r="M146" i="2"/>
  <c r="I86" i="2"/>
  <c r="M229" i="2"/>
  <c r="I169" i="2"/>
  <c r="K212" i="2"/>
  <c r="K125" i="2"/>
  <c r="K237" i="2"/>
  <c r="G79" i="2"/>
  <c r="K139" i="2"/>
  <c r="G95" i="2"/>
  <c r="K155" i="2"/>
  <c r="G94" i="2"/>
  <c r="K173" i="2"/>
  <c r="M183" i="2"/>
  <c r="I123" i="2"/>
  <c r="I183" i="2"/>
  <c r="I200" i="2"/>
  <c r="I238" i="2"/>
  <c r="I209" i="2"/>
  <c r="K158" i="2"/>
  <c r="K159" i="2"/>
  <c r="K160" i="2"/>
  <c r="G98" i="2"/>
  <c r="G100" i="2"/>
  <c r="G99" i="2"/>
  <c r="G101" i="2"/>
  <c r="K161" i="2"/>
  <c r="G116" i="2"/>
  <c r="K175" i="2"/>
  <c r="K176" i="2"/>
  <c r="I85" i="2"/>
  <c r="M145" i="2"/>
  <c r="G135" i="2"/>
  <c r="M210" i="2"/>
  <c r="I150" i="2"/>
  <c r="I217" i="2"/>
  <c r="M230" i="2"/>
  <c r="I170" i="2"/>
  <c r="K213" i="2"/>
  <c r="M136" i="2"/>
  <c r="I76" i="2"/>
  <c r="K126" i="2"/>
  <c r="I214" i="2"/>
  <c r="M165" i="2"/>
  <c r="I105" i="2"/>
  <c r="G201" i="2"/>
  <c r="G177" i="2"/>
  <c r="I79" i="2"/>
  <c r="M139" i="2"/>
  <c r="M193" i="2"/>
  <c r="G110" i="2"/>
  <c r="I95" i="2"/>
  <c r="M155" i="2"/>
  <c r="I208" i="2"/>
  <c r="M199" i="2"/>
  <c r="I139" i="2"/>
  <c r="I215" i="2"/>
  <c r="M196" i="2"/>
  <c r="I136" i="2"/>
  <c r="I117" i="2"/>
  <c r="M177" i="2"/>
  <c r="M142" i="2"/>
  <c r="I82" i="2"/>
  <c r="I225" i="2"/>
  <c r="G129" i="2"/>
  <c r="G96" i="2"/>
  <c r="K156" i="2"/>
  <c r="K190" i="2"/>
  <c r="K195" i="2"/>
  <c r="G198" i="2"/>
  <c r="I186" i="2"/>
  <c r="G153" i="2"/>
  <c r="K152" i="2"/>
  <c r="G92" i="2"/>
  <c r="G72" i="2"/>
  <c r="I153" i="2"/>
  <c r="K167" i="2"/>
  <c r="G107" i="2"/>
  <c r="G121" i="2"/>
  <c r="I201" i="2"/>
  <c r="K153" i="2"/>
  <c r="G93" i="2"/>
  <c r="M192" i="2"/>
  <c r="G233" i="2"/>
  <c r="M187" i="2"/>
  <c r="I133" i="2"/>
  <c r="K170" i="2"/>
  <c r="G111" i="2"/>
  <c r="K171" i="2"/>
  <c r="G122" i="2"/>
  <c r="M215" i="2"/>
  <c r="I155" i="2"/>
  <c r="M179" i="2"/>
  <c r="I119" i="2"/>
  <c r="I184" i="2"/>
  <c r="M222" i="2"/>
  <c r="I162" i="2"/>
  <c r="M190" i="2"/>
  <c r="I130" i="2"/>
  <c r="I129" i="2"/>
  <c r="I197" i="2"/>
  <c r="M158" i="2"/>
  <c r="I98" i="2"/>
  <c r="I97" i="2"/>
  <c r="M125" i="2"/>
  <c r="I65" i="2"/>
  <c r="M191" i="2"/>
  <c r="M156" i="2"/>
  <c r="I96" i="2"/>
  <c r="G192" i="2"/>
  <c r="G229" i="2"/>
  <c r="G228" i="2"/>
  <c r="G227" i="2"/>
  <c r="G115" i="2"/>
  <c r="G89" i="2"/>
  <c r="K149" i="2"/>
  <c r="G88" i="2"/>
  <c r="G87" i="2"/>
  <c r="K211" i="2"/>
  <c r="K172" i="2"/>
  <c r="G218" i="2"/>
  <c r="M152" i="2"/>
  <c r="I92" i="2"/>
  <c r="K132" i="2"/>
  <c r="M213" i="2"/>
  <c r="K199" i="2"/>
  <c r="G139" i="2"/>
  <c r="M194" i="2"/>
  <c r="I134" i="2"/>
  <c r="M153" i="2"/>
  <c r="I93" i="2"/>
  <c r="I132" i="2"/>
  <c r="I127" i="2"/>
  <c r="G78" i="2"/>
  <c r="G85" i="2"/>
  <c r="K202" i="2"/>
  <c r="I111" i="2"/>
  <c r="M171" i="2"/>
  <c r="G213" i="2"/>
  <c r="I218" i="2"/>
  <c r="K184" i="2"/>
  <c r="G124" i="2"/>
  <c r="G104" i="2"/>
  <c r="K214" i="2"/>
  <c r="K151" i="2"/>
  <c r="G91" i="2"/>
  <c r="K185" i="2"/>
  <c r="G125" i="2"/>
  <c r="K238" i="2"/>
  <c r="K138" i="2"/>
  <c r="G212" i="2"/>
  <c r="M228" i="2"/>
  <c r="I168" i="2"/>
  <c r="K227" i="2"/>
  <c r="G136" i="2"/>
  <c r="G208" i="2"/>
  <c r="M184" i="2"/>
  <c r="I124" i="2"/>
  <c r="M137" i="2"/>
  <c r="I77" i="2"/>
  <c r="G219" i="2"/>
  <c r="G211" i="2"/>
  <c r="I182" i="2"/>
  <c r="K215" i="2"/>
  <c r="G155" i="2"/>
  <c r="K205" i="2"/>
  <c r="K206" i="2"/>
  <c r="K207" i="2"/>
  <c r="K208" i="2"/>
  <c r="K209" i="2"/>
  <c r="G152" i="2"/>
  <c r="K210" i="2"/>
  <c r="G151" i="2"/>
  <c r="G150" i="2"/>
  <c r="K216" i="2"/>
  <c r="G156" i="2"/>
  <c r="M185" i="2"/>
  <c r="I125" i="2"/>
  <c r="G178" i="2"/>
  <c r="I191" i="2"/>
  <c r="K218" i="2"/>
  <c r="G206" i="2"/>
  <c r="I143" i="2"/>
  <c r="M203" i="2"/>
  <c r="G126" i="2"/>
  <c r="I203" i="2"/>
  <c r="I216" i="2"/>
  <c r="M132" i="2"/>
  <c r="I72" i="2"/>
  <c r="I149" i="2"/>
  <c r="M209" i="2"/>
  <c r="I99" i="2"/>
  <c r="M159" i="2"/>
  <c r="M189" i="2"/>
  <c r="M141" i="2"/>
  <c r="I81" i="2"/>
  <c r="M188" i="2"/>
  <c r="K130" i="2"/>
  <c r="G70" i="2"/>
  <c r="G183" i="2"/>
  <c r="K200" i="2"/>
  <c r="G140" i="2"/>
  <c r="K169" i="2"/>
  <c r="G109" i="2"/>
  <c r="G148" i="2"/>
  <c r="G120" i="2"/>
  <c r="G203" i="2"/>
  <c r="M216" i="2"/>
  <c r="I156" i="2"/>
  <c r="K168" i="2"/>
  <c r="G108" i="2"/>
  <c r="K201" i="2"/>
  <c r="G141" i="2"/>
  <c r="G234" i="2"/>
  <c r="K146" i="2"/>
  <c r="G159" i="2"/>
  <c r="K219" i="2"/>
  <c r="K186" i="2"/>
  <c r="I219" i="2"/>
  <c r="I232" i="2"/>
  <c r="I67" i="2"/>
  <c r="M127" i="2"/>
  <c r="M138" i="2"/>
  <c r="I78" i="2"/>
  <c r="I147" i="2"/>
  <c r="M207" i="2"/>
  <c r="M237" i="2"/>
  <c r="K222" i="2"/>
  <c r="G162" i="2"/>
  <c r="M204" i="2"/>
  <c r="G161" i="2"/>
  <c r="K141" i="2"/>
  <c r="K162" i="2"/>
  <c r="G102" i="2"/>
  <c r="G199" i="2"/>
  <c r="M200" i="2"/>
  <c r="I140" i="2"/>
  <c r="M169" i="2"/>
  <c r="I109" i="2"/>
  <c r="K180" i="2"/>
  <c r="K174" i="2"/>
  <c r="I230" i="2"/>
  <c r="M168" i="2"/>
  <c r="I108" i="2"/>
  <c r="M201" i="2"/>
  <c r="I141" i="2"/>
  <c r="G185" i="2"/>
  <c r="G86" i="2"/>
  <c r="I159" i="2"/>
  <c r="M219" i="2"/>
  <c r="K234" i="2"/>
  <c r="I235" i="2"/>
  <c r="M131" i="2"/>
  <c r="I71" i="2"/>
  <c r="I163" i="2"/>
  <c r="M223" i="2"/>
  <c r="M154" i="2"/>
  <c r="I94" i="2"/>
  <c r="I179" i="2"/>
  <c r="M239" i="2"/>
  <c r="I181" i="2"/>
  <c r="G226" i="2"/>
  <c r="M126" i="2"/>
  <c r="I66" i="2"/>
  <c r="G160" i="2"/>
  <c r="K220" i="2"/>
  <c r="G225" i="2"/>
  <c r="K142" i="2"/>
  <c r="G81" i="2"/>
  <c r="K194" i="2"/>
  <c r="G134" i="2"/>
  <c r="G231" i="2"/>
  <c r="K232" i="2"/>
  <c r="G172" i="2"/>
  <c r="K217" i="2"/>
  <c r="G157" i="2"/>
  <c r="G168" i="2"/>
  <c r="M182" i="2"/>
  <c r="I121" i="2"/>
  <c r="I122" i="2"/>
  <c r="K181" i="2"/>
  <c r="G220" i="2"/>
  <c r="K233" i="2"/>
  <c r="G173" i="2"/>
  <c r="I144" i="2"/>
  <c r="G239" i="2"/>
  <c r="M235" i="2"/>
  <c r="G174" i="2"/>
  <c r="I196" i="2"/>
  <c r="G117" i="2"/>
  <c r="K177" i="2"/>
  <c r="G112" i="2"/>
  <c r="K137" i="2"/>
  <c r="G77" i="2"/>
  <c r="G215" i="2"/>
  <c r="G214" i="2"/>
  <c r="I185" i="2"/>
  <c r="G187" i="2"/>
  <c r="G191" i="2"/>
  <c r="G142" i="2"/>
  <c r="G143" i="2"/>
  <c r="K203" i="2"/>
  <c r="I187" i="2"/>
  <c r="I69" i="2"/>
  <c r="M129" i="2"/>
  <c r="I68" i="2"/>
  <c r="M128" i="2"/>
  <c r="I83" i="2"/>
  <c r="I128" i="2"/>
  <c r="I62" i="2"/>
  <c r="M122" i="2"/>
  <c r="I227" i="2"/>
  <c r="I226" i="2"/>
  <c r="M170" i="2"/>
  <c r="I110" i="2"/>
  <c r="I229" i="2"/>
  <c r="M220" i="2"/>
  <c r="I160" i="2"/>
  <c r="K223" i="2"/>
  <c r="K224" i="2"/>
  <c r="G164" i="2"/>
  <c r="G163" i="2"/>
  <c r="G196" i="2"/>
  <c r="G195" i="2"/>
  <c r="G194" i="2"/>
  <c r="K226" i="2"/>
  <c r="G166" i="2"/>
  <c r="K134" i="2"/>
  <c r="G74" i="2"/>
  <c r="G113" i="2"/>
  <c r="M232" i="2"/>
  <c r="I172" i="2"/>
  <c r="M217" i="2"/>
  <c r="I157" i="2"/>
  <c r="M162" i="2"/>
  <c r="I102" i="2"/>
  <c r="K228" i="2"/>
  <c r="G205" i="2"/>
  <c r="G202" i="2"/>
  <c r="G114" i="2"/>
  <c r="I145" i="2"/>
  <c r="I220" i="2"/>
  <c r="M233" i="2"/>
  <c r="I173" i="2"/>
  <c r="G66" i="2"/>
  <c r="I239" i="2"/>
  <c r="I175" i="2"/>
  <c r="G23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<sst xmlns="http://schemas.openxmlformats.org/spreadsheetml/2006/main" count="351" uniqueCount="313">
  <si>
    <t>Date</t>
  </si>
  <si>
    <t>File</t>
  </si>
  <si>
    <t>S0</t>
  </si>
  <si>
    <t>Contract</t>
  </si>
  <si>
    <t>ContractExpiryDate</t>
  </si>
  <si>
    <t>Maturity</t>
  </si>
  <si>
    <t>Rf</t>
  </si>
  <si>
    <t>OptionsDaily_2023_01_03.csv</t>
  </si>
  <si>
    <t>OptionsDaily_2023_01_04.csv</t>
  </si>
  <si>
    <t>OptionsDaily_2023_01_05.csv</t>
  </si>
  <si>
    <t>OptionsDaily_2023_01_06.csv</t>
  </si>
  <si>
    <t>OptionsDaily_2023_01_09.csv</t>
  </si>
  <si>
    <t>OptionsDaily_2023_01_10.csv</t>
  </si>
  <si>
    <t>OptionsDaily_2023_01_11.csv</t>
  </si>
  <si>
    <t>OptionsDaily_2023_01_12.csv</t>
  </si>
  <si>
    <t>OptionsDaily_2023_01_13.csv</t>
  </si>
  <si>
    <t>OptionsDaily_2023_01_16.csv</t>
  </si>
  <si>
    <t>OptionsDaily_2023_01_17.csv</t>
  </si>
  <si>
    <t>OptionsDaily_2023_01_30.csv</t>
  </si>
  <si>
    <t>OptionsDaily_2023_01_31.csv</t>
  </si>
  <si>
    <t>OptionsDaily_2023_02_01.csv</t>
  </si>
  <si>
    <t>OptionsDaily_2023_02_02.csv</t>
  </si>
  <si>
    <t>OptionsDaily_2023_02_03.csv</t>
  </si>
  <si>
    <t>OptionsDaily_2023_02_06.csv</t>
  </si>
  <si>
    <t>OptionsDaily_2023_02_07.csv</t>
  </si>
  <si>
    <t>OptionsDaily_2023_02_08.csv</t>
  </si>
  <si>
    <t>OptionsDaily_2023_02_09.csv</t>
  </si>
  <si>
    <t>OptionsDaily_2023_02_10.csv</t>
  </si>
  <si>
    <t>OptionsDaily_2023_02_13.csv</t>
  </si>
  <si>
    <t>OptionsDaily_2023_02_14.csv</t>
  </si>
  <si>
    <t>OptionsDaily_2023_02_15.csv</t>
  </si>
  <si>
    <t>OptionsDaily_2023_02_16.csv</t>
  </si>
  <si>
    <t>OptionsDaily_2023_02_17.csv</t>
  </si>
  <si>
    <t>OptionsDaily_2023_02_20.csv</t>
  </si>
  <si>
    <t>OptionsDaily_2023_02_21.csv</t>
  </si>
  <si>
    <t>OptionsDaily_2023_02_22.csv</t>
  </si>
  <si>
    <t>OptionsDaily_2023_02_23.csv</t>
  </si>
  <si>
    <t>OptionsDaily_2023_02_24.csv</t>
  </si>
  <si>
    <t>OptionsDaily_2023_03_01.csv</t>
  </si>
  <si>
    <t>OptionsDaily_2023_03_02.csv</t>
  </si>
  <si>
    <t>OptionsDaily_2023_03_03.csv</t>
  </si>
  <si>
    <t>OptionsDaily_2023_03_06.csv</t>
  </si>
  <si>
    <t>OptionsDaily_2023_03_07.csv</t>
  </si>
  <si>
    <t>OptionsDaily_2023_03_08.csv</t>
  </si>
  <si>
    <t>OptionsDaily_2023_03_09.csv</t>
  </si>
  <si>
    <t>OptionsDaily_2023_03_10.csv</t>
  </si>
  <si>
    <t>OptionsDaily_2023_03_13.csv</t>
  </si>
  <si>
    <t>OptionsDaily_2023_03_14.csv</t>
  </si>
  <si>
    <t>OptionsDaily_2023_03_15.csv</t>
  </si>
  <si>
    <t>OptionsDaily_2023_03_16.csv</t>
  </si>
  <si>
    <t>OptionsDaily_2023_03_17.csv</t>
  </si>
  <si>
    <t>OptionsDaily_2023_03_20.csv</t>
  </si>
  <si>
    <t>OptionsDaily_2023_03_21.csv</t>
  </si>
  <si>
    <t>OptionsDaily_2023_03_22.csv</t>
  </si>
  <si>
    <t>OptionsDaily_2023_03_23.csv</t>
  </si>
  <si>
    <t>OptionsDaily_2023_03_24.csv</t>
  </si>
  <si>
    <t>OptionsDaily_2023_03_27.csv</t>
  </si>
  <si>
    <t>OptionsDaily_2023_03_28.csv</t>
  </si>
  <si>
    <t>OptionsDaily_2023_03_29.csv</t>
  </si>
  <si>
    <t>OptionsDaily_2023_03_30.csv</t>
  </si>
  <si>
    <t>OptionsDaily_2023_03_31.csv</t>
  </si>
  <si>
    <t>OptionsDaily_2023_04_06.csv</t>
  </si>
  <si>
    <t>OptionsDaily_2023_04_07.csv</t>
  </si>
  <si>
    <t>OptionsDaily_2023_04_10.csv</t>
  </si>
  <si>
    <t>OptionsDaily_2023_04_11.csv</t>
  </si>
  <si>
    <t>OptionsDaily_2023_04_12.csv</t>
  </si>
  <si>
    <t>OptionsDaily_2023_04_13.csv</t>
  </si>
  <si>
    <t>OptionsDaily_2023_04_14.csv</t>
  </si>
  <si>
    <t>OptionsDaily_2023_04_17.csv</t>
  </si>
  <si>
    <t>OptionsDaily_2023_04_18.csv</t>
  </si>
  <si>
    <t>OptionsDaily_2023_04_19.csv</t>
  </si>
  <si>
    <t>OptionsDaily_2023_04_20.csv</t>
  </si>
  <si>
    <t>OptionsDaily_2023_04_21.csv</t>
  </si>
  <si>
    <t>OptionsDaily_2023_04_24.csv</t>
  </si>
  <si>
    <t>OptionsDaily_2023_04_25.csv</t>
  </si>
  <si>
    <t>OptionsDaily_2023_04_26.csv</t>
  </si>
  <si>
    <t>OptionsDaily_2023_04_27.csv</t>
  </si>
  <si>
    <t>OptionsDaily_2023_04_28.csv</t>
  </si>
  <si>
    <t>OptionsDaily_2023_05_02.csv</t>
  </si>
  <si>
    <t>OptionsDaily_2023_05_03.csv</t>
  </si>
  <si>
    <t>OptionsDaily_2023_05_04.csv</t>
  </si>
  <si>
    <t>OptionsDaily_2023_05_05.csv</t>
  </si>
  <si>
    <t>OptionsDaily_2023_05_08.csv</t>
  </si>
  <si>
    <t>OptionsDaily_2023_05_09.csv</t>
  </si>
  <si>
    <t>OptionsDaily_2023_05_10.csv</t>
  </si>
  <si>
    <t>OptionsDaily_2023_05_11.csv</t>
  </si>
  <si>
    <t>OptionsDaily_2023_05_12.csv</t>
  </si>
  <si>
    <t>OptionsDaily_2023_05_15.csv</t>
  </si>
  <si>
    <t>OptionsDaily_2023_05_16.csv</t>
  </si>
  <si>
    <t>OptionsDaily_2023_05_17.csv</t>
  </si>
  <si>
    <t>OptionsDaily_2023_05_18.csv</t>
  </si>
  <si>
    <t>OptionsDaily_2023_05_19.csv</t>
  </si>
  <si>
    <t>OptionsDaily_2023_05_22.csv</t>
  </si>
  <si>
    <t>OptionsDaily_2023_05_23.csv</t>
  </si>
  <si>
    <t>OptionsDaily_2023_05_24.csv</t>
  </si>
  <si>
    <t>OptionsDaily_2023_05_25.csv</t>
  </si>
  <si>
    <t>OptionsDaily_2023_05_26.csv</t>
  </si>
  <si>
    <t>OptionsDaily_2023_05_29.csv</t>
  </si>
  <si>
    <t>OptionsDaily_2023_05_30.csv</t>
  </si>
  <si>
    <t>OptionsDaily_2023_05_31.csv</t>
  </si>
  <si>
    <t>OptionsDaily_2023_06_01.csv</t>
  </si>
  <si>
    <t>OptionsDaily_2023_06_02.csv</t>
  </si>
  <si>
    <t>OptionsDaily_2023_06_05.csv</t>
  </si>
  <si>
    <t>OptionsDaily_2023_06_06.csv</t>
  </si>
  <si>
    <t>OptionsDaily_2023_06_07.csv</t>
  </si>
  <si>
    <t>OptionsDaily_2023_06_08.csv</t>
  </si>
  <si>
    <t>OptionsDaily_2023_06_09.csv</t>
  </si>
  <si>
    <t>OptionsDaily_2023_06_12.csv</t>
  </si>
  <si>
    <t>OptionsDaily_2023_06_13.csv</t>
  </si>
  <si>
    <t>OptionsDaily_2023_06_14.csv</t>
  </si>
  <si>
    <t>OptionsDaily_2023_06_15.csv</t>
  </si>
  <si>
    <t>OptionsDaily_2023_06_16.csv</t>
  </si>
  <si>
    <t>OptionsDaily_2023_06_19.csv</t>
  </si>
  <si>
    <t>OptionsDaily_2023_06_20.csv</t>
  </si>
  <si>
    <t>OptionsDaily_2023_06_21.csv</t>
  </si>
  <si>
    <t>OptionsDaily_2023_06_26.csv</t>
  </si>
  <si>
    <t>OptionsDaily_2023_06_27.csv</t>
  </si>
  <si>
    <t>OptionsDaily_2023_06_28.csv</t>
  </si>
  <si>
    <t>OptionsDaily_2023_06_29.csv</t>
  </si>
  <si>
    <t>OptionsDaily_2023_06_30.csv</t>
  </si>
  <si>
    <t>OptionsDaily_2023_07_03.csv</t>
  </si>
  <si>
    <t>OptionsDaily_2023_07_04.csv</t>
  </si>
  <si>
    <t>OptionsDaily_2023_07_05.csv</t>
  </si>
  <si>
    <t>OptionsDaily_2023_07_06.csv</t>
  </si>
  <si>
    <t>OptionsDaily_2023_07_07.csv</t>
  </si>
  <si>
    <t>OptionsDaily_2023_07_10.csv</t>
  </si>
  <si>
    <t>OptionsDaily_2023_07_11.csv</t>
  </si>
  <si>
    <t>OptionsDaily_2023_07_12.csv</t>
  </si>
  <si>
    <t>OptionsDaily_2023_07_13.csv</t>
  </si>
  <si>
    <t>OptionsDaily_2023_07_14.csv</t>
  </si>
  <si>
    <t>OptionsDaily_2023_07_17.csv</t>
  </si>
  <si>
    <t>OptionsDaily_2023_07_18.csv</t>
  </si>
  <si>
    <t>OptionsDaily_2023_07_19.csv</t>
  </si>
  <si>
    <t>OptionsDaily_2023_07_20.csv</t>
  </si>
  <si>
    <t>OptionsDaily_2023_07_21.csv</t>
  </si>
  <si>
    <t>OptionsDaily_2023_07_24.csv</t>
  </si>
  <si>
    <t>OptionsDaily_2023_07_25.csv</t>
  </si>
  <si>
    <t>OptionsDaily_2023_07_26.csv</t>
  </si>
  <si>
    <t>OptionsDaily_2023_07_27.csv</t>
  </si>
  <si>
    <t>OptionsDaily_2023_07_28.csv</t>
  </si>
  <si>
    <t>OptionsDaily_2023_07_31.csv</t>
  </si>
  <si>
    <t>OptionsDaily_2023_08_01.csv</t>
  </si>
  <si>
    <t>OptionsDaily_2023_08_02.csv</t>
  </si>
  <si>
    <t>OptionsDaily_2023_08_04.csv</t>
  </si>
  <si>
    <t>OptionsDaily_2023_08_07.csv</t>
  </si>
  <si>
    <t>OptionsDaily_2023_08_08.csv</t>
  </si>
  <si>
    <t>OptionsDaily_2023_08_09.csv</t>
  </si>
  <si>
    <t>OptionsDaily_2023_08_10.csv</t>
  </si>
  <si>
    <t>OptionsDaily_2023_08_11.csv</t>
  </si>
  <si>
    <t>OptionsDaily_2023_08_14.csv</t>
  </si>
  <si>
    <t>OptionsDaily_2023_08_15.csv</t>
  </si>
  <si>
    <t>OptionsDaily_2023_08_16.csv</t>
  </si>
  <si>
    <t>OptionsDaily_2023_08_17.csv</t>
  </si>
  <si>
    <t>OptionsDaily_2023_08_18.csv</t>
  </si>
  <si>
    <t>OptionsDaily_2023_08_21.csv</t>
  </si>
  <si>
    <t>OptionsDaily_2023_08_22.csv</t>
  </si>
  <si>
    <t>OptionsDaily_2023_08_23.csv</t>
  </si>
  <si>
    <t>OptionsDaily_2023_08_24.csv</t>
  </si>
  <si>
    <t>OptionsDaily_2023_08_25.csv</t>
  </si>
  <si>
    <t>OptionsDaily_2023_08_28.csv</t>
  </si>
  <si>
    <t>OptionsDaily_2023_08_29.csv</t>
  </si>
  <si>
    <t>OptionsDaily_2023_08_30.csv</t>
  </si>
  <si>
    <t>OptionsDaily_2023_08_31.csv</t>
  </si>
  <si>
    <t>OptionsDaily_2023_09_01.csv</t>
  </si>
  <si>
    <t>OptionsDaily_2023_09_04.csv</t>
  </si>
  <si>
    <t>OptionsDaily_2023_09_05.csv</t>
  </si>
  <si>
    <t>OptionsDaily_2023_09_06.csv</t>
  </si>
  <si>
    <t>OptionsDaily_2023_09_07.csv</t>
  </si>
  <si>
    <t>OptionsDaily_2023_09_08.csv</t>
  </si>
  <si>
    <t>OptionsDaily_2023_09_11.csv</t>
  </si>
  <si>
    <t>OptionsDaily_2023_09_12.csv</t>
  </si>
  <si>
    <t>OptionsDaily_2023_09_13.csv</t>
  </si>
  <si>
    <t>OptionsDaily_2023_09_14.csv</t>
  </si>
  <si>
    <t>OptionsDaily_2023_09_15.csv</t>
  </si>
  <si>
    <t>OptionsDaily_2023_09_18.csv</t>
  </si>
  <si>
    <t>OptionsDaily_2023_09_19.csv</t>
  </si>
  <si>
    <t>OptionsDaily_2023_09_20.csv</t>
  </si>
  <si>
    <t>OptionsDaily_2023_09_21.csv</t>
  </si>
  <si>
    <t>OptionsDaily_2023_09_22.csv</t>
  </si>
  <si>
    <t>OptionsDaily_2023_09_25.csv</t>
  </si>
  <si>
    <t>OptionsDaily_2023_09_26.csv</t>
  </si>
  <si>
    <t>OptionsDaily_2023_09_27.csv</t>
  </si>
  <si>
    <t>OptionsDaily_2023_09_28.csv</t>
  </si>
  <si>
    <t>OptionsDaily_2023_10_02.csv</t>
  </si>
  <si>
    <t>OptionsDaily_2023_10_03.csv</t>
  </si>
  <si>
    <t>OptionsDaily_2023_10_04.csv</t>
  </si>
  <si>
    <t>OptionsDaily_2023_10_05.csv</t>
  </si>
  <si>
    <t>OptionsDaily_2023_10_06.csv</t>
  </si>
  <si>
    <t>OptionsDaily_2023_10_11.csv</t>
  </si>
  <si>
    <t>OptionsDaily_2023_10_12.csv</t>
  </si>
  <si>
    <t>OptionsDaily_2023_10_13.csv</t>
  </si>
  <si>
    <t>OptionsDaily_2023_10_16.csv</t>
  </si>
  <si>
    <t>OptionsDaily_2023_10_17.csv</t>
  </si>
  <si>
    <t>OptionsDaily_2023_10_18.csv</t>
  </si>
  <si>
    <t>OptionsDaily_2023_10_19.csv</t>
  </si>
  <si>
    <t>OptionsDaily_2023_10_20.csv</t>
  </si>
  <si>
    <t>OptionsDaily_2023_10_23.csv</t>
  </si>
  <si>
    <t>OptionsDaily_2023_10_24.csv</t>
  </si>
  <si>
    <t>OptionsDaily_2023_10_25.csv</t>
  </si>
  <si>
    <t>OptionsDaily_2023_10_26.csv</t>
  </si>
  <si>
    <t>OptionsDaily_2023_10_27.csv</t>
  </si>
  <si>
    <t>OptionsDaily_2023_10_30.csv</t>
  </si>
  <si>
    <t>OptionsDaily_2023_10_31.csv</t>
  </si>
  <si>
    <t>OptionsDaily_2023_11_01.csv</t>
  </si>
  <si>
    <t>OptionsDaily_2023_11_02.csv</t>
  </si>
  <si>
    <t>OptionsDaily_2023_11_03.csv</t>
  </si>
  <si>
    <t>OptionsDaily_2023_11_06.csv</t>
  </si>
  <si>
    <t>OptionsDaily_2023_11_07.csv</t>
  </si>
  <si>
    <t>OptionsDaily_2023_11_08.csv</t>
  </si>
  <si>
    <t>OptionsDaily_2023_11_09.csv</t>
  </si>
  <si>
    <t>OptionsDaily_2023_11_10.csv</t>
  </si>
  <si>
    <t>OptionsDaily_2023_11_13.csv</t>
  </si>
  <si>
    <t>OptionsDaily_2023_11_14.csv</t>
  </si>
  <si>
    <t>OptionsDaily_2023_11_15.csv</t>
  </si>
  <si>
    <t>OptionsDaily_2023_11_16.csv</t>
  </si>
  <si>
    <t>OptionsDaily_2023_11_17.csv</t>
  </si>
  <si>
    <t>OptionsDaily_2023_11_20.csv</t>
  </si>
  <si>
    <t>OptionsDaily_2023_11_21.csv</t>
  </si>
  <si>
    <t>OptionsDaily_2023_11_22.csv</t>
  </si>
  <si>
    <t>OptionsDaily_2023_11_23.csv</t>
  </si>
  <si>
    <t>OptionsDaily_2023_11_24.csv</t>
  </si>
  <si>
    <t>OptionsDaily_2023_11_27.csv</t>
  </si>
  <si>
    <t>OptionsDaily_2023_11_28.csv</t>
  </si>
  <si>
    <t>OptionsDaily_2023_11_29.csv</t>
  </si>
  <si>
    <t>OptionsDaily_2023_11_30.csv</t>
  </si>
  <si>
    <t>OptionsDaily_2023_12_01.csv</t>
  </si>
  <si>
    <t>OptionsDaily_2023_12_04.csv</t>
  </si>
  <si>
    <t>OptionsDaily_2023_12_05.csv</t>
  </si>
  <si>
    <t>OptionsDaily_2023_12_06.csv</t>
  </si>
  <si>
    <t>OptionsDaily_2023_12_07.csv</t>
  </si>
  <si>
    <t>OptionsDaily_2023_12_08.csv</t>
  </si>
  <si>
    <t>OptionsDaily_2023_12_11.csv</t>
  </si>
  <si>
    <t>OptionsDaily_2023_12_12.csv</t>
  </si>
  <si>
    <t>OptionsDaily_2023_12_13.csv</t>
  </si>
  <si>
    <t>OptionsDaily_2023_12_14.csv</t>
  </si>
  <si>
    <t>OptionsDaily_2023_12_15.csv</t>
  </si>
  <si>
    <t>OptionsDaily_2023_12_18.csv</t>
  </si>
  <si>
    <t>OptionsDaily_2023_12_19.csv</t>
  </si>
  <si>
    <t>OptionsDaily_2023_12_20.csv</t>
  </si>
  <si>
    <t>OptionsDaily_2023_12_21.csv</t>
  </si>
  <si>
    <t>OptionsDaily_2023_12_22.csv</t>
  </si>
  <si>
    <t>OptionsDaily_2023_12_25.csv</t>
  </si>
  <si>
    <t>OptionsDaily_2023_12_26.csv</t>
  </si>
  <si>
    <t>OptionsDaily_2023_12_27.csv</t>
  </si>
  <si>
    <t>OptionsDaily_2023_12_28.csv</t>
  </si>
  <si>
    <t>OptionsDaily_2023_12_29.csv</t>
  </si>
  <si>
    <t>日報酬</t>
    <phoneticPr fontId="18" type="noConversion"/>
  </si>
  <si>
    <t>天數差</t>
    <phoneticPr fontId="18" type="noConversion"/>
  </si>
  <si>
    <t>消除天數差影下的報酬(mu)</t>
    <phoneticPr fontId="18" type="noConversion"/>
  </si>
  <si>
    <t>消除天數差影下的報酬(sigma)</t>
    <phoneticPr fontId="18" type="noConversion"/>
  </si>
  <si>
    <t>3M_Mu</t>
    <phoneticPr fontId="18" type="noConversion"/>
  </si>
  <si>
    <t>3M天數</t>
    <phoneticPr fontId="18" type="noConversion"/>
  </si>
  <si>
    <t>3M_Sigma</t>
    <phoneticPr fontId="18" type="noConversion"/>
  </si>
  <si>
    <t>3M_Downsiderisk</t>
    <phoneticPr fontId="18" type="noConversion"/>
  </si>
  <si>
    <t>6M_Mu</t>
    <phoneticPr fontId="18" type="noConversion"/>
  </si>
  <si>
    <t>6M天數</t>
    <phoneticPr fontId="18" type="noConversion"/>
  </si>
  <si>
    <t>6M_Sigma</t>
    <phoneticPr fontId="18" type="noConversion"/>
  </si>
  <si>
    <t>6M_Downsiderisk</t>
    <phoneticPr fontId="18" type="noConversion"/>
  </si>
  <si>
    <t>五日報酬</t>
    <phoneticPr fontId="18" type="noConversion"/>
  </si>
  <si>
    <t>Target2(&gt;=1.015)</t>
    <phoneticPr fontId="18" type="noConversion"/>
  </si>
  <si>
    <t>Target3(&lt;=0.985)</t>
    <phoneticPr fontId="18" type="noConversion"/>
  </si>
  <si>
    <t>max</t>
    <phoneticPr fontId="18" type="noConversion"/>
  </si>
  <si>
    <t>計算3M次數</t>
    <phoneticPr fontId="18" type="noConversion"/>
  </si>
  <si>
    <t>計算6M次數</t>
    <phoneticPr fontId="18" type="noConversion"/>
  </si>
  <si>
    <t>等於1個數</t>
    <phoneticPr fontId="18" type="noConversion"/>
  </si>
  <si>
    <t>等於0個數</t>
    <phoneticPr fontId="18" type="noConversion"/>
  </si>
  <si>
    <t>Target1(&gt;=1.015 OR &lt;= 0.985)</t>
    <phoneticPr fontId="18" type="noConversion"/>
  </si>
  <si>
    <t>IV_C0</t>
    <phoneticPr fontId="18" type="noConversion"/>
  </si>
  <si>
    <t>Std_C0</t>
    <phoneticPr fontId="18" type="noConversion"/>
  </si>
  <si>
    <t>IV_P0</t>
    <phoneticPr fontId="18" type="noConversion"/>
  </si>
  <si>
    <t>Std_P0</t>
    <phoneticPr fontId="18" type="noConversion"/>
  </si>
  <si>
    <t>IV_C1</t>
  </si>
  <si>
    <t>Std_C1</t>
  </si>
  <si>
    <t>IV_P1</t>
  </si>
  <si>
    <t>Std_P1</t>
  </si>
  <si>
    <t>IV_C2</t>
  </si>
  <si>
    <t>Std_C2</t>
  </si>
  <si>
    <t>IV_P2</t>
  </si>
  <si>
    <t>Std_P2</t>
  </si>
  <si>
    <t>IV_C3</t>
  </si>
  <si>
    <t>Std_C3</t>
  </si>
  <si>
    <t>IV_P3</t>
  </si>
  <si>
    <t>Std_P3</t>
  </si>
  <si>
    <t>IV_C4</t>
  </si>
  <si>
    <t>Std_C4</t>
  </si>
  <si>
    <t>IV_P4</t>
  </si>
  <si>
    <t>Std_P4</t>
  </si>
  <si>
    <t>3M_Mu</t>
  </si>
  <si>
    <t>3M_Sigma</t>
  </si>
  <si>
    <t>3M_Downsiderisk</t>
  </si>
  <si>
    <t>6M_Mu</t>
  </si>
  <si>
    <t>6M_Sigma</t>
  </si>
  <si>
    <t>6M_Downsiderisk</t>
  </si>
  <si>
    <t>Target2(&gt;=1.015)</t>
  </si>
  <si>
    <t>Target3(&lt;=0.985)</t>
  </si>
  <si>
    <t>Target2 (&gt;=1.015)</t>
    <phoneticPr fontId="18" type="noConversion"/>
  </si>
  <si>
    <t>Target1 (&gt;=1.015 OR&lt;=0.985)</t>
    <phoneticPr fontId="18" type="noConversion"/>
  </si>
  <si>
    <t>Target1(&gt;=1.015 OR &lt;= 0.985)</t>
  </si>
  <si>
    <t>等於1個數</t>
  </si>
  <si>
    <t>等於0個數</t>
  </si>
  <si>
    <t>IV_C0</t>
  </si>
  <si>
    <t>Std_C0</t>
  </si>
  <si>
    <t>IV_P0</t>
  </si>
  <si>
    <t>Std_P0</t>
  </si>
  <si>
    <t>3M_DownsideRisk</t>
  </si>
  <si>
    <t>6M_Mu_1</t>
  </si>
  <si>
    <t>6M_Sigma_1</t>
  </si>
  <si>
    <t>6M_DownsideRisk</t>
  </si>
  <si>
    <t>Target2 (&gt;=1.015)</t>
  </si>
  <si>
    <t>Target3 (&lt;=0.985)</t>
  </si>
  <si>
    <t>Target1 (&gt;=1.015 OR&lt;=0.985)</t>
  </si>
  <si>
    <t>等於1</t>
  </si>
  <si>
    <t>等於0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</si>
</sst>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_ "/>
    <numFmt numFmtId="177" formatCode="0.000000_ "/>
  </numFmts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>
      <alignment vertical="center"/>
    </xf>
    <xf numFmtId="0" fontId="19" fillId="0" borderId="0" xfId="0" applyFont="1">
      <alignment vertical="center"/>
    </xf>
    <xf numFmtId="14" fontId="19" fillId="0" borderId="0" xfId="0" applyNumberFormat="1" applyFont="1">
      <alignment vertical="center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177" fontId="0" fillId="0" borderId="0" xfId="0" applyNumberFormat="1">
      <alignment vertical="center"/>
    </xf>
    <xf numFmtId="177" fontId="0" fillId="0" borderId="0" xfId="0" applyNumberFormat="1">
      <alignment vertical="center"/>
    </xf>
    <xf numFmtId="177" fontId="0" fillId="0" borderId="0" xfId="0" applyNumberFormat="1">
      <alignment vertical="center"/>
    </xf>
    <xf numFmtId="177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>
      <alignment vertical="center"/>
    </xf>
    <xf numFmtId="177" fontId="0" fillId="0" borderId="0" xfId="0" applyNumberFormat="1">
      <alignment vertical="center"/>
    </xf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80AE2-0404-4873-8B4C-C2A796996816}">
  <dimension ref="A1:G240"/>
  <sheetViews>
    <sheetView workbookViewId="0"/>
  </sheetViews>
  <sheetFormatPr defaultRowHeight="16.2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44929</v>
      </c>
      <c r="B2" t="s">
        <v>7</v>
      </c>
      <c r="C2">
        <v>14224.12</v>
      </c>
      <c r="D2">
        <v>202301</v>
      </c>
      <c r="E2" s="1">
        <v>44956</v>
      </c>
      <c r="F2">
        <v>27</v>
      </c>
      <c r="G2">
        <v>1.465E-2</v>
      </c>
    </row>
    <row r="3" spans="1:7" x14ac:dyDescent="0.3">
      <c r="A3" s="1">
        <v>44930</v>
      </c>
      <c r="B3" t="s">
        <v>8</v>
      </c>
      <c r="C3">
        <v>14199.13</v>
      </c>
      <c r="D3">
        <v>202301</v>
      </c>
      <c r="E3" s="1">
        <v>44956</v>
      </c>
      <c r="F3">
        <v>26</v>
      </c>
      <c r="G3">
        <v>1.465E-2</v>
      </c>
    </row>
    <row r="4" spans="1:7" x14ac:dyDescent="0.3">
      <c r="A4" s="1">
        <v>44931</v>
      </c>
      <c r="B4" t="s">
        <v>9</v>
      </c>
      <c r="C4">
        <v>14301.05</v>
      </c>
      <c r="D4">
        <v>202301</v>
      </c>
      <c r="E4" s="1">
        <v>44956</v>
      </c>
      <c r="F4">
        <v>25</v>
      </c>
      <c r="G4">
        <v>1.465E-2</v>
      </c>
    </row>
    <row r="5" spans="1:7" x14ac:dyDescent="0.3">
      <c r="A5" s="1">
        <v>44932</v>
      </c>
      <c r="B5" t="s">
        <v>10</v>
      </c>
      <c r="C5">
        <v>14373.34</v>
      </c>
      <c r="D5">
        <v>202301</v>
      </c>
      <c r="E5" s="1">
        <v>44956</v>
      </c>
      <c r="F5">
        <v>24</v>
      </c>
      <c r="G5">
        <v>1.465E-2</v>
      </c>
    </row>
    <row r="6" spans="1:7" x14ac:dyDescent="0.3">
      <c r="A6" s="1">
        <v>44935</v>
      </c>
      <c r="B6" t="s">
        <v>11</v>
      </c>
      <c r="C6">
        <v>14752.21</v>
      </c>
      <c r="D6">
        <v>202301</v>
      </c>
      <c r="E6" s="1">
        <v>44956</v>
      </c>
      <c r="F6">
        <v>21</v>
      </c>
      <c r="G6">
        <v>1.465E-2</v>
      </c>
    </row>
    <row r="7" spans="1:7" x14ac:dyDescent="0.3">
      <c r="A7" s="1">
        <v>44936</v>
      </c>
      <c r="B7" t="s">
        <v>12</v>
      </c>
      <c r="C7">
        <v>14802.96</v>
      </c>
      <c r="D7">
        <v>202301</v>
      </c>
      <c r="E7" s="1">
        <v>44956</v>
      </c>
      <c r="F7">
        <v>20</v>
      </c>
      <c r="G7">
        <v>1.465E-2</v>
      </c>
    </row>
    <row r="8" spans="1:7" x14ac:dyDescent="0.3">
      <c r="A8" s="1">
        <v>44937</v>
      </c>
      <c r="B8" t="s">
        <v>13</v>
      </c>
      <c r="C8">
        <v>14751.44</v>
      </c>
      <c r="D8">
        <v>202301</v>
      </c>
      <c r="E8" s="1">
        <v>44956</v>
      </c>
      <c r="F8">
        <v>19</v>
      </c>
      <c r="G8">
        <v>1.465E-2</v>
      </c>
    </row>
    <row r="9" spans="1:7" x14ac:dyDescent="0.3">
      <c r="A9" s="1">
        <v>44938</v>
      </c>
      <c r="B9" t="s">
        <v>14</v>
      </c>
      <c r="C9">
        <v>14731.64</v>
      </c>
      <c r="D9">
        <v>202301</v>
      </c>
      <c r="E9" s="1">
        <v>44956</v>
      </c>
      <c r="F9">
        <v>18</v>
      </c>
      <c r="G9">
        <v>1.465E-2</v>
      </c>
    </row>
    <row r="10" spans="1:7" x14ac:dyDescent="0.3">
      <c r="A10" s="1">
        <v>44939</v>
      </c>
      <c r="B10" t="s">
        <v>15</v>
      </c>
      <c r="C10">
        <v>14824.13</v>
      </c>
      <c r="D10">
        <v>202301</v>
      </c>
      <c r="E10" s="1">
        <v>44956</v>
      </c>
      <c r="F10">
        <v>17</v>
      </c>
      <c r="G10">
        <v>1.465E-2</v>
      </c>
    </row>
    <row r="11" spans="1:7" x14ac:dyDescent="0.3">
      <c r="A11" s="1">
        <v>44942</v>
      </c>
      <c r="B11" t="s">
        <v>16</v>
      </c>
      <c r="C11">
        <v>14927.01</v>
      </c>
      <c r="D11">
        <v>202301</v>
      </c>
      <c r="E11" s="1">
        <v>44956</v>
      </c>
      <c r="F11">
        <v>14</v>
      </c>
      <c r="G11">
        <v>1.465E-2</v>
      </c>
    </row>
    <row r="12" spans="1:7" x14ac:dyDescent="0.3">
      <c r="A12" s="1">
        <v>44943</v>
      </c>
      <c r="B12" t="s">
        <v>17</v>
      </c>
      <c r="C12">
        <v>14932.93</v>
      </c>
      <c r="D12">
        <v>202301</v>
      </c>
      <c r="E12" s="1">
        <v>44956</v>
      </c>
      <c r="F12">
        <v>13</v>
      </c>
      <c r="G12">
        <v>1.465E-2</v>
      </c>
    </row>
    <row r="13" spans="1:7" x14ac:dyDescent="0.3">
      <c r="A13" s="1">
        <v>44956</v>
      </c>
      <c r="B13" t="s">
        <v>18</v>
      </c>
      <c r="C13">
        <v>15493.82</v>
      </c>
      <c r="D13">
        <v>202302</v>
      </c>
      <c r="E13" s="1">
        <v>44972</v>
      </c>
      <c r="F13">
        <v>16</v>
      </c>
      <c r="G13">
        <v>1.465E-2</v>
      </c>
    </row>
    <row r="14" spans="1:7" x14ac:dyDescent="0.3">
      <c r="A14" s="1">
        <v>44957</v>
      </c>
      <c r="B14" t="s">
        <v>19</v>
      </c>
      <c r="C14">
        <v>15265.2</v>
      </c>
      <c r="D14">
        <v>202302</v>
      </c>
      <c r="E14" s="1">
        <v>44972</v>
      </c>
      <c r="F14">
        <v>15</v>
      </c>
      <c r="G14">
        <v>1.465E-2</v>
      </c>
    </row>
    <row r="15" spans="1:7" x14ac:dyDescent="0.3">
      <c r="A15" s="1">
        <v>44958</v>
      </c>
      <c r="B15" t="s">
        <v>20</v>
      </c>
      <c r="C15">
        <v>15420.13</v>
      </c>
      <c r="D15">
        <v>202302</v>
      </c>
      <c r="E15" s="1">
        <v>44972</v>
      </c>
      <c r="F15">
        <v>14</v>
      </c>
      <c r="G15">
        <v>1.465E-2</v>
      </c>
    </row>
    <row r="16" spans="1:7" x14ac:dyDescent="0.3">
      <c r="A16" s="1">
        <v>44959</v>
      </c>
      <c r="B16" t="s">
        <v>21</v>
      </c>
      <c r="C16">
        <v>15595.16</v>
      </c>
      <c r="D16">
        <v>202302</v>
      </c>
      <c r="E16" s="1">
        <v>44972</v>
      </c>
      <c r="F16">
        <v>13</v>
      </c>
      <c r="G16">
        <v>1.465E-2</v>
      </c>
    </row>
    <row r="17" spans="1:7" x14ac:dyDescent="0.3">
      <c r="A17" s="1">
        <v>44960</v>
      </c>
      <c r="B17" t="s">
        <v>22</v>
      </c>
      <c r="C17">
        <v>15602.66</v>
      </c>
      <c r="D17">
        <v>202302</v>
      </c>
      <c r="E17" s="1">
        <v>44972</v>
      </c>
      <c r="F17">
        <v>12</v>
      </c>
      <c r="G17">
        <v>1.465E-2</v>
      </c>
    </row>
    <row r="18" spans="1:7" x14ac:dyDescent="0.3">
      <c r="A18" s="1">
        <v>44963</v>
      </c>
      <c r="B18" t="s">
        <v>23</v>
      </c>
      <c r="C18">
        <v>15392.82</v>
      </c>
      <c r="D18">
        <v>202302</v>
      </c>
      <c r="E18" s="1">
        <v>44972</v>
      </c>
      <c r="F18">
        <v>9</v>
      </c>
      <c r="G18">
        <v>1.465E-2</v>
      </c>
    </row>
    <row r="19" spans="1:7" x14ac:dyDescent="0.3">
      <c r="A19" s="1">
        <v>44964</v>
      </c>
      <c r="B19" t="s">
        <v>24</v>
      </c>
      <c r="C19">
        <v>15400.91</v>
      </c>
      <c r="D19">
        <v>202302</v>
      </c>
      <c r="E19" s="1">
        <v>44972</v>
      </c>
      <c r="F19">
        <v>8</v>
      </c>
      <c r="G19">
        <v>1.465E-2</v>
      </c>
    </row>
    <row r="20" spans="1:7" x14ac:dyDescent="0.3">
      <c r="A20" s="1">
        <v>44965</v>
      </c>
      <c r="B20" t="s">
        <v>25</v>
      </c>
      <c r="C20">
        <v>15618.17</v>
      </c>
      <c r="D20">
        <v>202302</v>
      </c>
      <c r="E20" s="1">
        <v>44972</v>
      </c>
      <c r="F20">
        <v>7</v>
      </c>
      <c r="G20">
        <v>1.465E-2</v>
      </c>
    </row>
    <row r="21" spans="1:7" x14ac:dyDescent="0.3">
      <c r="A21" s="1">
        <v>44966</v>
      </c>
      <c r="B21" t="s">
        <v>26</v>
      </c>
      <c r="C21">
        <v>15598.71</v>
      </c>
      <c r="D21">
        <v>202302</v>
      </c>
      <c r="E21" s="1">
        <v>44972</v>
      </c>
      <c r="F21">
        <v>6</v>
      </c>
      <c r="G21">
        <v>1.465E-2</v>
      </c>
    </row>
    <row r="22" spans="1:7" x14ac:dyDescent="0.3">
      <c r="A22" s="1">
        <v>44967</v>
      </c>
      <c r="B22" t="s">
        <v>27</v>
      </c>
      <c r="C22">
        <v>15586.65</v>
      </c>
      <c r="D22">
        <v>202302</v>
      </c>
      <c r="E22" s="1">
        <v>44972</v>
      </c>
      <c r="F22">
        <v>5</v>
      </c>
      <c r="G22">
        <v>1.465E-2</v>
      </c>
    </row>
    <row r="23" spans="1:7" x14ac:dyDescent="0.3">
      <c r="A23" s="1">
        <v>44970</v>
      </c>
      <c r="B23" t="s">
        <v>28</v>
      </c>
      <c r="C23">
        <v>15544.28</v>
      </c>
      <c r="D23">
        <v>202302</v>
      </c>
      <c r="E23" s="1">
        <v>44972</v>
      </c>
      <c r="F23">
        <v>2</v>
      </c>
      <c r="G23">
        <v>1.465E-2</v>
      </c>
    </row>
    <row r="24" spans="1:7" x14ac:dyDescent="0.3">
      <c r="A24" s="1">
        <v>44971</v>
      </c>
      <c r="B24" t="s">
        <v>29</v>
      </c>
      <c r="C24">
        <v>15654.48</v>
      </c>
      <c r="D24">
        <v>202303</v>
      </c>
      <c r="E24" s="1">
        <v>45000</v>
      </c>
      <c r="F24">
        <v>29</v>
      </c>
      <c r="G24">
        <v>1.465E-2</v>
      </c>
    </row>
    <row r="25" spans="1:7" x14ac:dyDescent="0.3">
      <c r="A25" s="1">
        <v>44972</v>
      </c>
      <c r="B25" t="s">
        <v>30</v>
      </c>
      <c r="C25">
        <v>15432.89</v>
      </c>
      <c r="D25">
        <v>202303</v>
      </c>
      <c r="E25" s="1">
        <v>45000</v>
      </c>
      <c r="F25">
        <v>28</v>
      </c>
      <c r="G25">
        <v>1.465E-2</v>
      </c>
    </row>
    <row r="26" spans="1:7" x14ac:dyDescent="0.3">
      <c r="A26" s="1">
        <v>44973</v>
      </c>
      <c r="B26" t="s">
        <v>31</v>
      </c>
      <c r="C26">
        <v>15550.5</v>
      </c>
      <c r="D26">
        <v>202303</v>
      </c>
      <c r="E26" s="1">
        <v>45000</v>
      </c>
      <c r="F26">
        <v>27</v>
      </c>
      <c r="G26">
        <v>1.465E-2</v>
      </c>
    </row>
    <row r="27" spans="1:7" x14ac:dyDescent="0.3">
      <c r="A27" s="1">
        <v>44974</v>
      </c>
      <c r="B27" t="s">
        <v>32</v>
      </c>
      <c r="C27">
        <v>15479.7</v>
      </c>
      <c r="D27">
        <v>202303</v>
      </c>
      <c r="E27" s="1">
        <v>45000</v>
      </c>
      <c r="F27">
        <v>26</v>
      </c>
      <c r="G27">
        <v>1.465E-2</v>
      </c>
    </row>
    <row r="28" spans="1:7" x14ac:dyDescent="0.3">
      <c r="A28" s="1">
        <v>44977</v>
      </c>
      <c r="B28" t="s">
        <v>33</v>
      </c>
      <c r="C28">
        <v>15551.23</v>
      </c>
      <c r="D28">
        <v>202303</v>
      </c>
      <c r="E28" s="1">
        <v>45000</v>
      </c>
      <c r="F28">
        <v>23</v>
      </c>
      <c r="G28">
        <v>1.465E-2</v>
      </c>
    </row>
    <row r="29" spans="1:7" x14ac:dyDescent="0.3">
      <c r="A29" s="1">
        <v>44978</v>
      </c>
      <c r="B29" t="s">
        <v>34</v>
      </c>
      <c r="C29">
        <v>15563</v>
      </c>
      <c r="D29">
        <v>202303</v>
      </c>
      <c r="E29" s="1">
        <v>45000</v>
      </c>
      <c r="F29">
        <v>22</v>
      </c>
      <c r="G29">
        <v>1.465E-2</v>
      </c>
    </row>
    <row r="30" spans="1:7" x14ac:dyDescent="0.3">
      <c r="A30" s="1">
        <v>44979</v>
      </c>
      <c r="B30" t="s">
        <v>35</v>
      </c>
      <c r="C30">
        <v>15418.77</v>
      </c>
      <c r="D30">
        <v>202303</v>
      </c>
      <c r="E30" s="1">
        <v>45000</v>
      </c>
      <c r="F30">
        <v>21</v>
      </c>
      <c r="G30">
        <v>1.465E-2</v>
      </c>
    </row>
    <row r="31" spans="1:7" x14ac:dyDescent="0.3">
      <c r="A31" s="1">
        <v>44980</v>
      </c>
      <c r="B31" t="s">
        <v>36</v>
      </c>
      <c r="C31">
        <v>15615.41</v>
      </c>
      <c r="D31">
        <v>202303</v>
      </c>
      <c r="E31" s="1">
        <v>45000</v>
      </c>
      <c r="F31">
        <v>20</v>
      </c>
      <c r="G31">
        <v>1.465E-2</v>
      </c>
    </row>
    <row r="32" spans="1:7" x14ac:dyDescent="0.3">
      <c r="A32" s="1">
        <v>44981</v>
      </c>
      <c r="B32" t="s">
        <v>37</v>
      </c>
      <c r="C32">
        <v>15503.79</v>
      </c>
      <c r="D32">
        <v>202303</v>
      </c>
      <c r="E32" s="1">
        <v>45000</v>
      </c>
      <c r="F32">
        <v>19</v>
      </c>
      <c r="G32">
        <v>1.465E-2</v>
      </c>
    </row>
    <row r="33" spans="1:7" x14ac:dyDescent="0.3">
      <c r="A33" s="1">
        <v>44986</v>
      </c>
      <c r="B33" t="s">
        <v>38</v>
      </c>
      <c r="C33">
        <v>15598.49</v>
      </c>
      <c r="D33">
        <v>202303</v>
      </c>
      <c r="E33" s="1">
        <v>45000</v>
      </c>
      <c r="F33">
        <v>14</v>
      </c>
      <c r="G33">
        <v>1.465E-2</v>
      </c>
    </row>
    <row r="34" spans="1:7" x14ac:dyDescent="0.3">
      <c r="A34" s="1">
        <v>44987</v>
      </c>
      <c r="B34" t="s">
        <v>39</v>
      </c>
      <c r="C34">
        <v>15598.72</v>
      </c>
      <c r="D34">
        <v>202303</v>
      </c>
      <c r="E34" s="1">
        <v>45000</v>
      </c>
      <c r="F34">
        <v>13</v>
      </c>
      <c r="G34">
        <v>1.465E-2</v>
      </c>
    </row>
    <row r="35" spans="1:7" x14ac:dyDescent="0.3">
      <c r="A35" s="1">
        <v>44988</v>
      </c>
      <c r="B35" t="s">
        <v>40</v>
      </c>
      <c r="C35">
        <v>15608.42</v>
      </c>
      <c r="D35">
        <v>202303</v>
      </c>
      <c r="E35" s="1">
        <v>45000</v>
      </c>
      <c r="F35">
        <v>12</v>
      </c>
      <c r="G35">
        <v>1.465E-2</v>
      </c>
    </row>
    <row r="36" spans="1:7" x14ac:dyDescent="0.3">
      <c r="A36" s="1">
        <v>44991</v>
      </c>
      <c r="B36" t="s">
        <v>41</v>
      </c>
      <c r="C36">
        <v>15763.51</v>
      </c>
      <c r="D36">
        <v>202303</v>
      </c>
      <c r="E36" s="1">
        <v>45000</v>
      </c>
      <c r="F36">
        <v>9</v>
      </c>
      <c r="G36">
        <v>1.465E-2</v>
      </c>
    </row>
    <row r="37" spans="1:7" x14ac:dyDescent="0.3">
      <c r="A37" s="1">
        <v>44992</v>
      </c>
      <c r="B37" t="s">
        <v>42</v>
      </c>
      <c r="C37">
        <v>15857.89</v>
      </c>
      <c r="D37">
        <v>202303</v>
      </c>
      <c r="E37" s="1">
        <v>45000</v>
      </c>
      <c r="F37">
        <v>8</v>
      </c>
      <c r="G37">
        <v>1.465E-2</v>
      </c>
    </row>
    <row r="38" spans="1:7" x14ac:dyDescent="0.3">
      <c r="A38" s="1">
        <v>44993</v>
      </c>
      <c r="B38" t="s">
        <v>43</v>
      </c>
      <c r="C38">
        <v>15818.2</v>
      </c>
      <c r="D38">
        <v>202303</v>
      </c>
      <c r="E38" s="1">
        <v>45000</v>
      </c>
      <c r="F38">
        <v>7</v>
      </c>
      <c r="G38">
        <v>1.465E-2</v>
      </c>
    </row>
    <row r="39" spans="1:7" x14ac:dyDescent="0.3">
      <c r="A39" s="1">
        <v>44994</v>
      </c>
      <c r="B39" t="s">
        <v>44</v>
      </c>
      <c r="C39">
        <v>15770.66</v>
      </c>
      <c r="D39">
        <v>202303</v>
      </c>
      <c r="E39" s="1">
        <v>45000</v>
      </c>
      <c r="F39">
        <v>6</v>
      </c>
      <c r="G39">
        <v>1.465E-2</v>
      </c>
    </row>
    <row r="40" spans="1:7" x14ac:dyDescent="0.3">
      <c r="A40" s="1">
        <v>44995</v>
      </c>
      <c r="B40" t="s">
        <v>45</v>
      </c>
      <c r="C40">
        <v>15526.2</v>
      </c>
      <c r="D40">
        <v>202303</v>
      </c>
      <c r="E40" s="1">
        <v>45000</v>
      </c>
      <c r="F40">
        <v>5</v>
      </c>
      <c r="G40">
        <v>1.465E-2</v>
      </c>
    </row>
    <row r="41" spans="1:7" x14ac:dyDescent="0.3">
      <c r="A41" s="1">
        <v>44998</v>
      </c>
      <c r="B41" t="s">
        <v>46</v>
      </c>
      <c r="C41">
        <v>15560.49</v>
      </c>
      <c r="D41">
        <v>202303</v>
      </c>
      <c r="E41" s="1">
        <v>45000</v>
      </c>
      <c r="F41">
        <v>2</v>
      </c>
      <c r="G41">
        <v>1.465E-2</v>
      </c>
    </row>
    <row r="42" spans="1:7" x14ac:dyDescent="0.3">
      <c r="A42" s="1">
        <v>44999</v>
      </c>
      <c r="B42" t="s">
        <v>47</v>
      </c>
      <c r="C42">
        <v>15360.42</v>
      </c>
      <c r="D42">
        <v>202304</v>
      </c>
      <c r="E42" s="1">
        <v>45035</v>
      </c>
      <c r="F42">
        <v>36</v>
      </c>
      <c r="G42">
        <v>1.465E-2</v>
      </c>
    </row>
    <row r="43" spans="1:7" x14ac:dyDescent="0.3">
      <c r="A43" s="1">
        <v>45000</v>
      </c>
      <c r="B43" t="s">
        <v>48</v>
      </c>
      <c r="C43">
        <v>15387.59</v>
      </c>
      <c r="D43">
        <v>202304</v>
      </c>
      <c r="E43" s="1">
        <v>45035</v>
      </c>
      <c r="F43">
        <v>35</v>
      </c>
      <c r="G43">
        <v>1.465E-2</v>
      </c>
    </row>
    <row r="44" spans="1:7" x14ac:dyDescent="0.3">
      <c r="A44" s="1">
        <v>45001</v>
      </c>
      <c r="B44" t="s">
        <v>49</v>
      </c>
      <c r="C44">
        <v>15221.12</v>
      </c>
      <c r="D44">
        <v>202304</v>
      </c>
      <c r="E44" s="1">
        <v>45035</v>
      </c>
      <c r="F44">
        <v>34</v>
      </c>
      <c r="G44">
        <v>1.465E-2</v>
      </c>
    </row>
    <row r="45" spans="1:7" x14ac:dyDescent="0.3">
      <c r="A45" s="1">
        <v>45002</v>
      </c>
      <c r="B45" t="s">
        <v>50</v>
      </c>
      <c r="C45">
        <v>15452.96</v>
      </c>
      <c r="D45">
        <v>202304</v>
      </c>
      <c r="E45" s="1">
        <v>45035</v>
      </c>
      <c r="F45">
        <v>33</v>
      </c>
      <c r="G45">
        <v>1.465E-2</v>
      </c>
    </row>
    <row r="46" spans="1:7" x14ac:dyDescent="0.3">
      <c r="A46" s="1">
        <v>45005</v>
      </c>
      <c r="B46" t="s">
        <v>51</v>
      </c>
      <c r="C46">
        <v>15419.97</v>
      </c>
      <c r="D46">
        <v>202304</v>
      </c>
      <c r="E46" s="1">
        <v>45035</v>
      </c>
      <c r="F46">
        <v>30</v>
      </c>
      <c r="G46">
        <v>1.465E-2</v>
      </c>
    </row>
    <row r="47" spans="1:7" x14ac:dyDescent="0.3">
      <c r="A47" s="1">
        <v>45006</v>
      </c>
      <c r="B47" t="s">
        <v>52</v>
      </c>
      <c r="C47">
        <v>15513.45</v>
      </c>
      <c r="D47">
        <v>202304</v>
      </c>
      <c r="E47" s="1">
        <v>45035</v>
      </c>
      <c r="F47">
        <v>29</v>
      </c>
      <c r="G47">
        <v>1.465E-2</v>
      </c>
    </row>
    <row r="48" spans="1:7" x14ac:dyDescent="0.3">
      <c r="A48" s="1">
        <v>45007</v>
      </c>
      <c r="B48" t="s">
        <v>53</v>
      </c>
      <c r="C48">
        <v>15760.46</v>
      </c>
      <c r="D48">
        <v>202304</v>
      </c>
      <c r="E48" s="1">
        <v>45035</v>
      </c>
      <c r="F48">
        <v>28</v>
      </c>
      <c r="G48">
        <v>1.465E-2</v>
      </c>
    </row>
    <row r="49" spans="1:7" x14ac:dyDescent="0.3">
      <c r="A49" s="1">
        <v>45008</v>
      </c>
      <c r="B49" t="s">
        <v>54</v>
      </c>
      <c r="C49">
        <v>15863.95</v>
      </c>
      <c r="D49">
        <v>202304</v>
      </c>
      <c r="E49" s="1">
        <v>45035</v>
      </c>
      <c r="F49">
        <v>27</v>
      </c>
      <c r="G49">
        <v>1.465E-2</v>
      </c>
    </row>
    <row r="50" spans="1:7" x14ac:dyDescent="0.3">
      <c r="A50" s="1">
        <v>45009</v>
      </c>
      <c r="B50" t="s">
        <v>55</v>
      </c>
      <c r="C50">
        <v>15914.7</v>
      </c>
      <c r="D50">
        <v>202304</v>
      </c>
      <c r="E50" s="1">
        <v>45035</v>
      </c>
      <c r="F50">
        <v>26</v>
      </c>
      <c r="G50">
        <v>1.465E-2</v>
      </c>
    </row>
    <row r="51" spans="1:7" x14ac:dyDescent="0.3">
      <c r="A51" s="1">
        <v>45012</v>
      </c>
      <c r="B51" t="s">
        <v>56</v>
      </c>
      <c r="C51">
        <v>15830.31</v>
      </c>
      <c r="D51">
        <v>202304</v>
      </c>
      <c r="E51" s="1">
        <v>45035</v>
      </c>
      <c r="F51">
        <v>23</v>
      </c>
      <c r="G51">
        <v>1.5900000000000001E-2</v>
      </c>
    </row>
    <row r="52" spans="1:7" x14ac:dyDescent="0.3">
      <c r="A52" s="1">
        <v>45013</v>
      </c>
      <c r="B52" t="s">
        <v>57</v>
      </c>
      <c r="C52">
        <v>15701.48</v>
      </c>
      <c r="D52">
        <v>202304</v>
      </c>
      <c r="E52" s="1">
        <v>45035</v>
      </c>
      <c r="F52">
        <v>22</v>
      </c>
      <c r="G52">
        <v>1.5900000000000001E-2</v>
      </c>
    </row>
    <row r="53" spans="1:7" x14ac:dyDescent="0.3">
      <c r="A53" s="1">
        <v>45014</v>
      </c>
      <c r="B53" t="s">
        <v>58</v>
      </c>
      <c r="C53">
        <v>15769.76</v>
      </c>
      <c r="D53">
        <v>202304</v>
      </c>
      <c r="E53" s="1">
        <v>45035</v>
      </c>
      <c r="F53">
        <v>21</v>
      </c>
      <c r="G53">
        <v>1.5900000000000001E-2</v>
      </c>
    </row>
    <row r="54" spans="1:7" x14ac:dyDescent="0.3">
      <c r="A54" s="1">
        <v>45015</v>
      </c>
      <c r="B54" t="s">
        <v>59</v>
      </c>
      <c r="C54">
        <v>15849.43</v>
      </c>
      <c r="D54">
        <v>202304</v>
      </c>
      <c r="E54" s="1">
        <v>45035</v>
      </c>
      <c r="F54">
        <v>20</v>
      </c>
      <c r="G54">
        <v>1.5900000000000001E-2</v>
      </c>
    </row>
    <row r="55" spans="1:7" x14ac:dyDescent="0.3">
      <c r="A55" s="1">
        <v>45016</v>
      </c>
      <c r="B55" t="s">
        <v>60</v>
      </c>
      <c r="C55">
        <v>15868.06</v>
      </c>
      <c r="D55">
        <v>202304</v>
      </c>
      <c r="E55" s="1">
        <v>45035</v>
      </c>
      <c r="F55">
        <v>19</v>
      </c>
      <c r="G55">
        <v>1.5900000000000001E-2</v>
      </c>
    </row>
    <row r="56" spans="1:7" x14ac:dyDescent="0.3">
      <c r="A56" s="1">
        <v>45022</v>
      </c>
      <c r="B56" t="s">
        <v>61</v>
      </c>
      <c r="C56">
        <v>15810.77</v>
      </c>
      <c r="D56">
        <v>202304</v>
      </c>
      <c r="E56" s="1">
        <v>45035</v>
      </c>
      <c r="F56">
        <v>13</v>
      </c>
      <c r="G56">
        <v>1.5900000000000001E-2</v>
      </c>
    </row>
    <row r="57" spans="1:7" x14ac:dyDescent="0.3">
      <c r="A57" s="1">
        <v>45023</v>
      </c>
      <c r="B57" t="s">
        <v>62</v>
      </c>
      <c r="C57">
        <v>15836.5</v>
      </c>
      <c r="D57">
        <v>202304</v>
      </c>
      <c r="E57" s="1">
        <v>45035</v>
      </c>
      <c r="F57">
        <v>12</v>
      </c>
      <c r="G57">
        <v>1.5900000000000001E-2</v>
      </c>
    </row>
    <row r="58" spans="1:7" x14ac:dyDescent="0.3">
      <c r="A58" s="1">
        <v>45026</v>
      </c>
      <c r="B58" t="s">
        <v>63</v>
      </c>
      <c r="C58">
        <v>15876.17</v>
      </c>
      <c r="D58">
        <v>202304</v>
      </c>
      <c r="E58" s="1">
        <v>45035</v>
      </c>
      <c r="F58">
        <v>9</v>
      </c>
      <c r="G58">
        <v>1.5900000000000001E-2</v>
      </c>
    </row>
    <row r="59" spans="1:7" x14ac:dyDescent="0.3">
      <c r="A59" s="1">
        <v>45027</v>
      </c>
      <c r="B59" t="s">
        <v>64</v>
      </c>
      <c r="C59">
        <v>15913.88</v>
      </c>
      <c r="D59">
        <v>202304</v>
      </c>
      <c r="E59" s="1">
        <v>45035</v>
      </c>
      <c r="F59">
        <v>8</v>
      </c>
      <c r="G59">
        <v>1.5900000000000001E-2</v>
      </c>
    </row>
    <row r="60" spans="1:7" x14ac:dyDescent="0.3">
      <c r="A60" s="1">
        <v>45028</v>
      </c>
      <c r="B60" t="s">
        <v>65</v>
      </c>
      <c r="C60">
        <v>15932.97</v>
      </c>
      <c r="D60">
        <v>202304</v>
      </c>
      <c r="E60" s="1">
        <v>45035</v>
      </c>
      <c r="F60">
        <v>7</v>
      </c>
      <c r="G60">
        <v>1.5900000000000001E-2</v>
      </c>
    </row>
    <row r="61" spans="1:7" x14ac:dyDescent="0.3">
      <c r="A61" s="1">
        <v>45029</v>
      </c>
      <c r="B61" t="s">
        <v>66</v>
      </c>
      <c r="C61">
        <v>15804.76</v>
      </c>
      <c r="D61">
        <v>202304</v>
      </c>
      <c r="E61" s="1">
        <v>45035</v>
      </c>
      <c r="F61">
        <v>6</v>
      </c>
      <c r="G61">
        <v>1.5900000000000001E-2</v>
      </c>
    </row>
    <row r="62" spans="1:7" x14ac:dyDescent="0.3">
      <c r="A62" s="1">
        <v>45030</v>
      </c>
      <c r="B62" t="s">
        <v>67</v>
      </c>
      <c r="C62">
        <v>15929.43</v>
      </c>
      <c r="D62">
        <v>202304</v>
      </c>
      <c r="E62" s="1">
        <v>45035</v>
      </c>
      <c r="F62">
        <v>5</v>
      </c>
      <c r="G62">
        <v>1.5900000000000001E-2</v>
      </c>
    </row>
    <row r="63" spans="1:7" x14ac:dyDescent="0.3">
      <c r="A63" s="1">
        <v>45033</v>
      </c>
      <c r="B63" t="s">
        <v>68</v>
      </c>
      <c r="C63">
        <v>15963.55</v>
      </c>
      <c r="D63">
        <v>202304</v>
      </c>
      <c r="E63" s="1">
        <v>45035</v>
      </c>
      <c r="F63">
        <v>2</v>
      </c>
      <c r="G63">
        <v>1.5900000000000001E-2</v>
      </c>
    </row>
    <row r="64" spans="1:7" x14ac:dyDescent="0.3">
      <c r="A64" s="1">
        <v>45034</v>
      </c>
      <c r="B64" t="s">
        <v>69</v>
      </c>
      <c r="C64">
        <v>15869.44</v>
      </c>
      <c r="D64">
        <v>202305</v>
      </c>
      <c r="E64" s="1">
        <v>45063</v>
      </c>
      <c r="F64">
        <v>29</v>
      </c>
      <c r="G64">
        <v>1.5900000000000001E-2</v>
      </c>
    </row>
    <row r="65" spans="1:7" x14ac:dyDescent="0.3">
      <c r="A65" s="1">
        <v>45035</v>
      </c>
      <c r="B65" t="s">
        <v>70</v>
      </c>
      <c r="C65">
        <v>15770.47</v>
      </c>
      <c r="D65">
        <v>202305</v>
      </c>
      <c r="E65" s="1">
        <v>45063</v>
      </c>
      <c r="F65">
        <v>28</v>
      </c>
      <c r="G65">
        <v>1.5900000000000001E-2</v>
      </c>
    </row>
    <row r="66" spans="1:7" x14ac:dyDescent="0.3">
      <c r="A66" s="1">
        <v>45036</v>
      </c>
      <c r="B66" t="s">
        <v>71</v>
      </c>
      <c r="C66">
        <v>15707.52</v>
      </c>
      <c r="D66">
        <v>202305</v>
      </c>
      <c r="E66" s="1">
        <v>45063</v>
      </c>
      <c r="F66">
        <v>27</v>
      </c>
      <c r="G66">
        <v>1.5900000000000001E-2</v>
      </c>
    </row>
    <row r="67" spans="1:7" x14ac:dyDescent="0.3">
      <c r="A67" s="1">
        <v>45037</v>
      </c>
      <c r="B67" t="s">
        <v>72</v>
      </c>
      <c r="C67">
        <v>15602.99</v>
      </c>
      <c r="D67">
        <v>202305</v>
      </c>
      <c r="E67" s="1">
        <v>45063</v>
      </c>
      <c r="F67">
        <v>26</v>
      </c>
      <c r="G67">
        <v>1.5900000000000001E-2</v>
      </c>
    </row>
    <row r="68" spans="1:7" x14ac:dyDescent="0.3">
      <c r="A68" s="1">
        <v>45040</v>
      </c>
      <c r="B68" t="s">
        <v>73</v>
      </c>
      <c r="C68">
        <v>15626.87</v>
      </c>
      <c r="D68">
        <v>202305</v>
      </c>
      <c r="E68" s="1">
        <v>45063</v>
      </c>
      <c r="F68">
        <v>23</v>
      </c>
      <c r="G68">
        <v>1.5900000000000001E-2</v>
      </c>
    </row>
    <row r="69" spans="1:7" x14ac:dyDescent="0.3">
      <c r="A69" s="1">
        <v>45041</v>
      </c>
      <c r="B69" t="s">
        <v>74</v>
      </c>
      <c r="C69">
        <v>15370.73</v>
      </c>
      <c r="D69">
        <v>202305</v>
      </c>
      <c r="E69" s="1">
        <v>45063</v>
      </c>
      <c r="F69">
        <v>22</v>
      </c>
      <c r="G69">
        <v>1.5900000000000001E-2</v>
      </c>
    </row>
    <row r="70" spans="1:7" x14ac:dyDescent="0.3">
      <c r="A70" s="1">
        <v>45042</v>
      </c>
      <c r="B70" t="s">
        <v>75</v>
      </c>
      <c r="C70">
        <v>15374.63</v>
      </c>
      <c r="D70">
        <v>202305</v>
      </c>
      <c r="E70" s="1">
        <v>45063</v>
      </c>
      <c r="F70">
        <v>21</v>
      </c>
      <c r="G70">
        <v>1.5900000000000001E-2</v>
      </c>
    </row>
    <row r="71" spans="1:7" x14ac:dyDescent="0.3">
      <c r="A71" s="1">
        <v>45043</v>
      </c>
      <c r="B71" t="s">
        <v>76</v>
      </c>
      <c r="C71">
        <v>15411.49</v>
      </c>
      <c r="D71">
        <v>202305</v>
      </c>
      <c r="E71" s="1">
        <v>45063</v>
      </c>
      <c r="F71">
        <v>20</v>
      </c>
      <c r="G71">
        <v>1.5900000000000001E-2</v>
      </c>
    </row>
    <row r="72" spans="1:7" x14ac:dyDescent="0.3">
      <c r="A72" s="1">
        <v>45044</v>
      </c>
      <c r="B72" t="s">
        <v>77</v>
      </c>
      <c r="C72">
        <v>15579.18</v>
      </c>
      <c r="D72">
        <v>202305</v>
      </c>
      <c r="E72" s="1">
        <v>45063</v>
      </c>
      <c r="F72">
        <v>19</v>
      </c>
      <c r="G72">
        <v>1.5900000000000001E-2</v>
      </c>
    </row>
    <row r="73" spans="1:7" x14ac:dyDescent="0.3">
      <c r="A73" s="1">
        <v>45048</v>
      </c>
      <c r="B73" t="s">
        <v>78</v>
      </c>
      <c r="C73">
        <v>15636.48</v>
      </c>
      <c r="D73">
        <v>202305</v>
      </c>
      <c r="E73" s="1">
        <v>45063</v>
      </c>
      <c r="F73">
        <v>15</v>
      </c>
      <c r="G73">
        <v>1.5900000000000001E-2</v>
      </c>
    </row>
    <row r="74" spans="1:7" x14ac:dyDescent="0.3">
      <c r="A74" s="1">
        <v>45049</v>
      </c>
      <c r="B74" t="s">
        <v>79</v>
      </c>
      <c r="C74">
        <v>15553.41</v>
      </c>
      <c r="D74">
        <v>202305</v>
      </c>
      <c r="E74" s="1">
        <v>45063</v>
      </c>
      <c r="F74">
        <v>14</v>
      </c>
      <c r="G74">
        <v>1.5900000000000001E-2</v>
      </c>
    </row>
    <row r="75" spans="1:7" x14ac:dyDescent="0.3">
      <c r="A75" s="1">
        <v>45050</v>
      </c>
      <c r="B75" t="s">
        <v>80</v>
      </c>
      <c r="C75">
        <v>15609.03</v>
      </c>
      <c r="D75">
        <v>202305</v>
      </c>
      <c r="E75" s="1">
        <v>45063</v>
      </c>
      <c r="F75">
        <v>13</v>
      </c>
      <c r="G75">
        <v>1.5900000000000001E-2</v>
      </c>
    </row>
    <row r="76" spans="1:7" x14ac:dyDescent="0.3">
      <c r="A76" s="1">
        <v>45051</v>
      </c>
      <c r="B76" t="s">
        <v>81</v>
      </c>
      <c r="C76">
        <v>15626.07</v>
      </c>
      <c r="D76">
        <v>202305</v>
      </c>
      <c r="E76" s="1">
        <v>45063</v>
      </c>
      <c r="F76">
        <v>12</v>
      </c>
      <c r="G76">
        <v>1.5900000000000001E-2</v>
      </c>
    </row>
    <row r="77" spans="1:7" x14ac:dyDescent="0.3">
      <c r="A77" s="1">
        <v>45054</v>
      </c>
      <c r="B77" t="s">
        <v>82</v>
      </c>
      <c r="C77">
        <v>15699.57</v>
      </c>
      <c r="D77">
        <v>202305</v>
      </c>
      <c r="E77" s="1">
        <v>45063</v>
      </c>
      <c r="F77">
        <v>9</v>
      </c>
      <c r="G77">
        <v>1.5900000000000001E-2</v>
      </c>
    </row>
    <row r="78" spans="1:7" x14ac:dyDescent="0.3">
      <c r="A78" s="1">
        <v>45055</v>
      </c>
      <c r="B78" t="s">
        <v>83</v>
      </c>
      <c r="C78">
        <v>15727.7</v>
      </c>
      <c r="D78">
        <v>202305</v>
      </c>
      <c r="E78" s="1">
        <v>45063</v>
      </c>
      <c r="F78">
        <v>8</v>
      </c>
      <c r="G78">
        <v>1.5900000000000001E-2</v>
      </c>
    </row>
    <row r="79" spans="1:7" x14ac:dyDescent="0.3">
      <c r="A79" s="1">
        <v>45056</v>
      </c>
      <c r="B79" t="s">
        <v>84</v>
      </c>
      <c r="C79">
        <v>15641.76</v>
      </c>
      <c r="D79">
        <v>202305</v>
      </c>
      <c r="E79" s="1">
        <v>45063</v>
      </c>
      <c r="F79">
        <v>7</v>
      </c>
      <c r="G79">
        <v>1.5900000000000001E-2</v>
      </c>
    </row>
    <row r="80" spans="1:7" x14ac:dyDescent="0.3">
      <c r="A80" s="1">
        <v>45057</v>
      </c>
      <c r="B80" t="s">
        <v>85</v>
      </c>
      <c r="C80">
        <v>15514.64</v>
      </c>
      <c r="D80">
        <v>202305</v>
      </c>
      <c r="E80" s="1">
        <v>45063</v>
      </c>
      <c r="F80">
        <v>6</v>
      </c>
      <c r="G80">
        <v>1.5900000000000001E-2</v>
      </c>
    </row>
    <row r="81" spans="1:7" x14ac:dyDescent="0.3">
      <c r="A81" s="1">
        <v>45058</v>
      </c>
      <c r="B81" t="s">
        <v>86</v>
      </c>
      <c r="C81">
        <v>15502.36</v>
      </c>
      <c r="D81">
        <v>202305</v>
      </c>
      <c r="E81" s="1">
        <v>45063</v>
      </c>
      <c r="F81">
        <v>5</v>
      </c>
      <c r="G81">
        <v>1.5900000000000001E-2</v>
      </c>
    </row>
    <row r="82" spans="1:7" x14ac:dyDescent="0.3">
      <c r="A82" s="1">
        <v>45061</v>
      </c>
      <c r="B82" t="s">
        <v>87</v>
      </c>
      <c r="C82">
        <v>15475.05</v>
      </c>
      <c r="D82">
        <v>202305</v>
      </c>
      <c r="E82" s="1">
        <v>45063</v>
      </c>
      <c r="F82">
        <v>2</v>
      </c>
      <c r="G82">
        <v>1.5900000000000001E-2</v>
      </c>
    </row>
    <row r="83" spans="1:7" x14ac:dyDescent="0.3">
      <c r="A83" s="1">
        <v>45062</v>
      </c>
      <c r="B83" t="s">
        <v>88</v>
      </c>
      <c r="C83">
        <v>15673.9</v>
      </c>
      <c r="D83">
        <v>202306</v>
      </c>
      <c r="E83" s="1">
        <v>45098</v>
      </c>
      <c r="F83">
        <v>36</v>
      </c>
      <c r="G83">
        <v>1.5900000000000001E-2</v>
      </c>
    </row>
    <row r="84" spans="1:7" x14ac:dyDescent="0.3">
      <c r="A84" s="1">
        <v>45063</v>
      </c>
      <c r="B84" t="s">
        <v>89</v>
      </c>
      <c r="C84">
        <v>15925.29</v>
      </c>
      <c r="D84">
        <v>202306</v>
      </c>
      <c r="E84" s="1">
        <v>45098</v>
      </c>
      <c r="F84">
        <v>35</v>
      </c>
      <c r="G84">
        <v>1.5900000000000001E-2</v>
      </c>
    </row>
    <row r="85" spans="1:7" x14ac:dyDescent="0.3">
      <c r="A85" s="1">
        <v>45064</v>
      </c>
      <c r="B85" t="s">
        <v>90</v>
      </c>
      <c r="C85">
        <v>16101.88</v>
      </c>
      <c r="D85">
        <v>202306</v>
      </c>
      <c r="E85" s="1">
        <v>45098</v>
      </c>
      <c r="F85">
        <v>34</v>
      </c>
      <c r="G85">
        <v>1.5900000000000001E-2</v>
      </c>
    </row>
    <row r="86" spans="1:7" x14ac:dyDescent="0.3">
      <c r="A86" s="1">
        <v>45065</v>
      </c>
      <c r="B86" t="s">
        <v>91</v>
      </c>
      <c r="C86">
        <v>16174.92</v>
      </c>
      <c r="D86">
        <v>202306</v>
      </c>
      <c r="E86" s="1">
        <v>45098</v>
      </c>
      <c r="F86">
        <v>33</v>
      </c>
      <c r="G86">
        <v>1.5900000000000001E-2</v>
      </c>
    </row>
    <row r="87" spans="1:7" x14ac:dyDescent="0.3">
      <c r="A87" s="1">
        <v>45068</v>
      </c>
      <c r="B87" t="s">
        <v>92</v>
      </c>
      <c r="C87">
        <v>16180.89</v>
      </c>
      <c r="D87">
        <v>202306</v>
      </c>
      <c r="E87" s="1">
        <v>45098</v>
      </c>
      <c r="F87">
        <v>30</v>
      </c>
      <c r="G87">
        <v>1.5900000000000001E-2</v>
      </c>
    </row>
    <row r="88" spans="1:7" x14ac:dyDescent="0.3">
      <c r="A88" s="1">
        <v>45069</v>
      </c>
      <c r="B88" t="s">
        <v>93</v>
      </c>
      <c r="C88">
        <v>16188.03</v>
      </c>
      <c r="D88">
        <v>202306</v>
      </c>
      <c r="E88" s="1">
        <v>45098</v>
      </c>
      <c r="F88">
        <v>29</v>
      </c>
      <c r="G88">
        <v>1.5900000000000001E-2</v>
      </c>
    </row>
    <row r="89" spans="1:7" x14ac:dyDescent="0.3">
      <c r="A89" s="1">
        <v>45070</v>
      </c>
      <c r="B89" t="s">
        <v>94</v>
      </c>
      <c r="C89">
        <v>16159.32</v>
      </c>
      <c r="D89">
        <v>202306</v>
      </c>
      <c r="E89" s="1">
        <v>45098</v>
      </c>
      <c r="F89">
        <v>28</v>
      </c>
      <c r="G89">
        <v>1.5900000000000001E-2</v>
      </c>
    </row>
    <row r="90" spans="1:7" x14ac:dyDescent="0.3">
      <c r="A90" s="1">
        <v>45071</v>
      </c>
      <c r="B90" t="s">
        <v>95</v>
      </c>
      <c r="C90">
        <v>16292</v>
      </c>
      <c r="D90">
        <v>202306</v>
      </c>
      <c r="E90" s="1">
        <v>45098</v>
      </c>
      <c r="F90">
        <v>27</v>
      </c>
      <c r="G90">
        <v>1.5900000000000001E-2</v>
      </c>
    </row>
    <row r="91" spans="1:7" x14ac:dyDescent="0.3">
      <c r="A91" s="1">
        <v>45072</v>
      </c>
      <c r="B91" t="s">
        <v>96</v>
      </c>
      <c r="C91">
        <v>16505.05</v>
      </c>
      <c r="D91">
        <v>202306</v>
      </c>
      <c r="E91" s="1">
        <v>45098</v>
      </c>
      <c r="F91">
        <v>26</v>
      </c>
      <c r="G91">
        <v>1.5900000000000001E-2</v>
      </c>
    </row>
    <row r="92" spans="1:7" x14ac:dyDescent="0.3">
      <c r="A92" s="1">
        <v>45075</v>
      </c>
      <c r="B92" t="s">
        <v>97</v>
      </c>
      <c r="C92">
        <v>16636.3</v>
      </c>
      <c r="D92">
        <v>202306</v>
      </c>
      <c r="E92" s="1">
        <v>45098</v>
      </c>
      <c r="F92">
        <v>23</v>
      </c>
      <c r="G92">
        <v>1.5900000000000001E-2</v>
      </c>
    </row>
    <row r="93" spans="1:7" x14ac:dyDescent="0.3">
      <c r="A93" s="1">
        <v>45076</v>
      </c>
      <c r="B93" t="s">
        <v>98</v>
      </c>
      <c r="C93">
        <v>16622.740000000002</v>
      </c>
      <c r="D93">
        <v>202306</v>
      </c>
      <c r="E93" s="1">
        <v>45098</v>
      </c>
      <c r="F93">
        <v>22</v>
      </c>
      <c r="G93">
        <v>1.5900000000000001E-2</v>
      </c>
    </row>
    <row r="94" spans="1:7" x14ac:dyDescent="0.3">
      <c r="A94" s="1">
        <v>45077</v>
      </c>
      <c r="B94" t="s">
        <v>99</v>
      </c>
      <c r="C94">
        <v>16578.96</v>
      </c>
      <c r="D94">
        <v>202306</v>
      </c>
      <c r="E94" s="1">
        <v>45098</v>
      </c>
      <c r="F94">
        <v>21</v>
      </c>
      <c r="G94">
        <v>1.5900000000000001E-2</v>
      </c>
    </row>
    <row r="95" spans="1:7" x14ac:dyDescent="0.3">
      <c r="A95" s="1">
        <v>45078</v>
      </c>
      <c r="B95" t="s">
        <v>100</v>
      </c>
      <c r="C95">
        <v>16512.650000000001</v>
      </c>
      <c r="D95">
        <v>202306</v>
      </c>
      <c r="E95" s="1">
        <v>45098</v>
      </c>
      <c r="F95">
        <v>20</v>
      </c>
      <c r="G95">
        <v>1.5900000000000001E-2</v>
      </c>
    </row>
    <row r="96" spans="1:7" x14ac:dyDescent="0.3">
      <c r="A96" s="1">
        <v>45079</v>
      </c>
      <c r="B96" t="s">
        <v>101</v>
      </c>
      <c r="C96">
        <v>16706.91</v>
      </c>
      <c r="D96">
        <v>202306</v>
      </c>
      <c r="E96" s="1">
        <v>45098</v>
      </c>
      <c r="F96">
        <v>19</v>
      </c>
      <c r="G96">
        <v>1.5900000000000001E-2</v>
      </c>
    </row>
    <row r="97" spans="1:7" x14ac:dyDescent="0.3">
      <c r="A97" s="1">
        <v>45082</v>
      </c>
      <c r="B97" t="s">
        <v>102</v>
      </c>
      <c r="C97">
        <v>16714.43</v>
      </c>
      <c r="D97">
        <v>202306</v>
      </c>
      <c r="E97" s="1">
        <v>45098</v>
      </c>
      <c r="F97">
        <v>16</v>
      </c>
      <c r="G97">
        <v>1.5900000000000001E-2</v>
      </c>
    </row>
    <row r="98" spans="1:7" x14ac:dyDescent="0.3">
      <c r="A98" s="1">
        <v>45083</v>
      </c>
      <c r="B98" t="s">
        <v>103</v>
      </c>
      <c r="C98">
        <v>16761.66</v>
      </c>
      <c r="D98">
        <v>202306</v>
      </c>
      <c r="E98" s="1">
        <v>45098</v>
      </c>
      <c r="F98">
        <v>15</v>
      </c>
      <c r="G98">
        <v>1.5900000000000001E-2</v>
      </c>
    </row>
    <row r="99" spans="1:7" x14ac:dyDescent="0.3">
      <c r="A99" s="1">
        <v>45084</v>
      </c>
      <c r="B99" t="s">
        <v>104</v>
      </c>
      <c r="C99">
        <v>16922.48</v>
      </c>
      <c r="D99">
        <v>202306</v>
      </c>
      <c r="E99" s="1">
        <v>45098</v>
      </c>
      <c r="F99">
        <v>14</v>
      </c>
      <c r="G99">
        <v>1.5900000000000001E-2</v>
      </c>
    </row>
    <row r="100" spans="1:7" x14ac:dyDescent="0.3">
      <c r="A100" s="1">
        <v>45085</v>
      </c>
      <c r="B100" t="s">
        <v>105</v>
      </c>
      <c r="C100">
        <v>16733.689999999999</v>
      </c>
      <c r="D100">
        <v>202306</v>
      </c>
      <c r="E100" s="1">
        <v>45098</v>
      </c>
      <c r="F100">
        <v>13</v>
      </c>
      <c r="G100">
        <v>1.5900000000000001E-2</v>
      </c>
    </row>
    <row r="101" spans="1:7" x14ac:dyDescent="0.3">
      <c r="A101" s="1">
        <v>45086</v>
      </c>
      <c r="B101" t="s">
        <v>106</v>
      </c>
      <c r="C101">
        <v>16886.400000000001</v>
      </c>
      <c r="D101">
        <v>202306</v>
      </c>
      <c r="E101" s="1">
        <v>45098</v>
      </c>
      <c r="F101">
        <v>12</v>
      </c>
      <c r="G101">
        <v>1.5900000000000001E-2</v>
      </c>
    </row>
    <row r="102" spans="1:7" x14ac:dyDescent="0.3">
      <c r="A102" s="1">
        <v>45089</v>
      </c>
      <c r="B102" t="s">
        <v>107</v>
      </c>
      <c r="C102">
        <v>16955.37</v>
      </c>
      <c r="D102">
        <v>202306</v>
      </c>
      <c r="E102" s="1">
        <v>45098</v>
      </c>
      <c r="F102">
        <v>9</v>
      </c>
      <c r="G102">
        <v>1.5900000000000001E-2</v>
      </c>
    </row>
    <row r="103" spans="1:7" x14ac:dyDescent="0.3">
      <c r="A103" s="1">
        <v>45090</v>
      </c>
      <c r="B103" t="s">
        <v>108</v>
      </c>
      <c r="C103">
        <v>17216.599999999999</v>
      </c>
      <c r="D103">
        <v>202306</v>
      </c>
      <c r="E103" s="1">
        <v>45098</v>
      </c>
      <c r="F103">
        <v>8</v>
      </c>
      <c r="G103">
        <v>1.5900000000000001E-2</v>
      </c>
    </row>
    <row r="104" spans="1:7" x14ac:dyDescent="0.3">
      <c r="A104" s="1">
        <v>45091</v>
      </c>
      <c r="B104" t="s">
        <v>109</v>
      </c>
      <c r="C104">
        <v>17238.14</v>
      </c>
      <c r="D104">
        <v>202306</v>
      </c>
      <c r="E104" s="1">
        <v>45098</v>
      </c>
      <c r="F104">
        <v>7</v>
      </c>
      <c r="G104">
        <v>1.5900000000000001E-2</v>
      </c>
    </row>
    <row r="105" spans="1:7" x14ac:dyDescent="0.3">
      <c r="A105" s="1">
        <v>45092</v>
      </c>
      <c r="B105" t="s">
        <v>110</v>
      </c>
      <c r="C105">
        <v>17334.98</v>
      </c>
      <c r="D105">
        <v>202306</v>
      </c>
      <c r="E105" s="1">
        <v>45098</v>
      </c>
      <c r="F105">
        <v>6</v>
      </c>
      <c r="G105">
        <v>1.5900000000000001E-2</v>
      </c>
    </row>
    <row r="106" spans="1:7" x14ac:dyDescent="0.3">
      <c r="A106" s="1">
        <v>45093</v>
      </c>
      <c r="B106" t="s">
        <v>111</v>
      </c>
      <c r="C106">
        <v>17288.91</v>
      </c>
      <c r="D106">
        <v>202306</v>
      </c>
      <c r="E106" s="1">
        <v>45098</v>
      </c>
      <c r="F106">
        <v>5</v>
      </c>
      <c r="G106">
        <v>1.5900000000000001E-2</v>
      </c>
    </row>
    <row r="107" spans="1:7" x14ac:dyDescent="0.3">
      <c r="A107" s="1">
        <v>45096</v>
      </c>
      <c r="B107" t="s">
        <v>112</v>
      </c>
      <c r="C107">
        <v>17274.560000000001</v>
      </c>
      <c r="D107">
        <v>202306</v>
      </c>
      <c r="E107" s="1">
        <v>45098</v>
      </c>
      <c r="F107">
        <v>2</v>
      </c>
      <c r="G107">
        <v>1.5900000000000001E-2</v>
      </c>
    </row>
    <row r="108" spans="1:7" x14ac:dyDescent="0.3">
      <c r="A108" s="1">
        <v>45097</v>
      </c>
      <c r="B108" t="s">
        <v>113</v>
      </c>
      <c r="C108">
        <v>17184.91</v>
      </c>
      <c r="D108">
        <v>202307</v>
      </c>
      <c r="E108" s="1">
        <v>45126</v>
      </c>
      <c r="F108">
        <v>29</v>
      </c>
      <c r="G108">
        <v>1.5900000000000001E-2</v>
      </c>
    </row>
    <row r="109" spans="1:7" x14ac:dyDescent="0.3">
      <c r="A109" s="1">
        <v>45098</v>
      </c>
      <c r="B109" t="s">
        <v>114</v>
      </c>
      <c r="C109">
        <v>17202.400000000001</v>
      </c>
      <c r="D109">
        <v>202307</v>
      </c>
      <c r="E109" s="1">
        <v>45126</v>
      </c>
      <c r="F109">
        <v>28</v>
      </c>
      <c r="G109">
        <v>1.5900000000000001E-2</v>
      </c>
    </row>
    <row r="110" spans="1:7" x14ac:dyDescent="0.3">
      <c r="A110" s="1">
        <v>45103</v>
      </c>
      <c r="B110" t="s">
        <v>115</v>
      </c>
      <c r="C110">
        <v>17059.240000000002</v>
      </c>
      <c r="D110">
        <v>202307</v>
      </c>
      <c r="E110" s="1">
        <v>45126</v>
      </c>
      <c r="F110">
        <v>23</v>
      </c>
      <c r="G110">
        <v>1.5900000000000001E-2</v>
      </c>
    </row>
    <row r="111" spans="1:7" x14ac:dyDescent="0.3">
      <c r="A111" s="1">
        <v>45104</v>
      </c>
      <c r="B111" t="s">
        <v>116</v>
      </c>
      <c r="C111">
        <v>16887.900000000001</v>
      </c>
      <c r="D111">
        <v>202307</v>
      </c>
      <c r="E111" s="1">
        <v>45126</v>
      </c>
      <c r="F111">
        <v>22</v>
      </c>
      <c r="G111">
        <v>1.5900000000000001E-2</v>
      </c>
    </row>
    <row r="112" spans="1:7" x14ac:dyDescent="0.3">
      <c r="A112" s="1">
        <v>45105</v>
      </c>
      <c r="B112" t="s">
        <v>117</v>
      </c>
      <c r="C112">
        <v>16935.63</v>
      </c>
      <c r="D112">
        <v>202307</v>
      </c>
      <c r="E112" s="1">
        <v>45126</v>
      </c>
      <c r="F112">
        <v>21</v>
      </c>
      <c r="G112">
        <v>1.5900000000000001E-2</v>
      </c>
    </row>
    <row r="113" spans="1:7" x14ac:dyDescent="0.3">
      <c r="A113" s="1">
        <v>45106</v>
      </c>
      <c r="B113" t="s">
        <v>118</v>
      </c>
      <c r="C113">
        <v>16942.3</v>
      </c>
      <c r="D113">
        <v>202307</v>
      </c>
      <c r="E113" s="1">
        <v>45126</v>
      </c>
      <c r="F113">
        <v>20</v>
      </c>
      <c r="G113">
        <v>1.5900000000000001E-2</v>
      </c>
    </row>
    <row r="114" spans="1:7" x14ac:dyDescent="0.3">
      <c r="A114" s="1">
        <v>45107</v>
      </c>
      <c r="B114" t="s">
        <v>119</v>
      </c>
      <c r="C114">
        <v>16915.54</v>
      </c>
      <c r="D114">
        <v>202307</v>
      </c>
      <c r="E114" s="1">
        <v>45126</v>
      </c>
      <c r="F114">
        <v>19</v>
      </c>
      <c r="G114">
        <v>1.5900000000000001E-2</v>
      </c>
    </row>
    <row r="115" spans="1:7" x14ac:dyDescent="0.3">
      <c r="A115" s="1">
        <v>45110</v>
      </c>
      <c r="B115" t="s">
        <v>120</v>
      </c>
      <c r="C115">
        <v>17084.2</v>
      </c>
      <c r="D115">
        <v>202307</v>
      </c>
      <c r="E115" s="1">
        <v>45126</v>
      </c>
      <c r="F115">
        <v>16</v>
      </c>
      <c r="G115">
        <v>1.5900000000000001E-2</v>
      </c>
    </row>
    <row r="116" spans="1:7" x14ac:dyDescent="0.3">
      <c r="A116" s="1">
        <v>45111</v>
      </c>
      <c r="B116" t="s">
        <v>121</v>
      </c>
      <c r="C116">
        <v>17140.77</v>
      </c>
      <c r="D116">
        <v>202307</v>
      </c>
      <c r="E116" s="1">
        <v>45126</v>
      </c>
      <c r="F116">
        <v>15</v>
      </c>
      <c r="G116">
        <v>1.5900000000000001E-2</v>
      </c>
    </row>
    <row r="117" spans="1:7" x14ac:dyDescent="0.3">
      <c r="A117" s="1">
        <v>45112</v>
      </c>
      <c r="B117" t="s">
        <v>122</v>
      </c>
      <c r="C117">
        <v>17056.43</v>
      </c>
      <c r="D117">
        <v>202307</v>
      </c>
      <c r="E117" s="1">
        <v>45126</v>
      </c>
      <c r="F117">
        <v>14</v>
      </c>
      <c r="G117">
        <v>1.5900000000000001E-2</v>
      </c>
    </row>
    <row r="118" spans="1:7" x14ac:dyDescent="0.3">
      <c r="A118" s="1">
        <v>45113</v>
      </c>
      <c r="B118" t="s">
        <v>123</v>
      </c>
      <c r="C118">
        <v>16762.169999999998</v>
      </c>
      <c r="D118">
        <v>202307</v>
      </c>
      <c r="E118" s="1">
        <v>45126</v>
      </c>
      <c r="F118">
        <v>13</v>
      </c>
      <c r="G118">
        <v>1.5900000000000001E-2</v>
      </c>
    </row>
    <row r="119" spans="1:7" x14ac:dyDescent="0.3">
      <c r="A119" s="1">
        <v>45114</v>
      </c>
      <c r="B119" t="s">
        <v>124</v>
      </c>
      <c r="C119">
        <v>16664.21</v>
      </c>
      <c r="D119">
        <v>202307</v>
      </c>
      <c r="E119" s="1">
        <v>45126</v>
      </c>
      <c r="F119">
        <v>12</v>
      </c>
      <c r="G119">
        <v>1.5900000000000001E-2</v>
      </c>
    </row>
    <row r="120" spans="1:7" x14ac:dyDescent="0.3">
      <c r="A120" s="1">
        <v>45117</v>
      </c>
      <c r="B120" t="s">
        <v>125</v>
      </c>
      <c r="C120">
        <v>16652.8</v>
      </c>
      <c r="D120">
        <v>202307</v>
      </c>
      <c r="E120" s="1">
        <v>45126</v>
      </c>
      <c r="F120">
        <v>9</v>
      </c>
      <c r="G120">
        <v>1.5900000000000001E-2</v>
      </c>
    </row>
    <row r="121" spans="1:7" x14ac:dyDescent="0.3">
      <c r="A121" s="1">
        <v>45118</v>
      </c>
      <c r="B121" t="s">
        <v>126</v>
      </c>
      <c r="C121">
        <v>16898.91</v>
      </c>
      <c r="D121">
        <v>202307</v>
      </c>
      <c r="E121" s="1">
        <v>45126</v>
      </c>
      <c r="F121">
        <v>8</v>
      </c>
      <c r="G121">
        <v>1.5900000000000001E-2</v>
      </c>
    </row>
    <row r="122" spans="1:7" x14ac:dyDescent="0.3">
      <c r="A122" s="1">
        <v>45119</v>
      </c>
      <c r="B122" t="s">
        <v>127</v>
      </c>
      <c r="C122">
        <v>16962.03</v>
      </c>
      <c r="D122">
        <v>202307</v>
      </c>
      <c r="E122" s="1">
        <v>45126</v>
      </c>
      <c r="F122">
        <v>7</v>
      </c>
      <c r="G122">
        <v>1.5900000000000001E-2</v>
      </c>
    </row>
    <row r="123" spans="1:7" x14ac:dyDescent="0.3">
      <c r="A123" s="1">
        <v>45120</v>
      </c>
      <c r="B123" t="s">
        <v>128</v>
      </c>
      <c r="C123">
        <v>17061.400000000001</v>
      </c>
      <c r="D123">
        <v>202307</v>
      </c>
      <c r="E123" s="1">
        <v>45126</v>
      </c>
      <c r="F123">
        <v>6</v>
      </c>
      <c r="G123">
        <v>1.5900000000000001E-2</v>
      </c>
    </row>
    <row r="124" spans="1:7" x14ac:dyDescent="0.3">
      <c r="A124" s="1">
        <v>45121</v>
      </c>
      <c r="B124" t="s">
        <v>129</v>
      </c>
      <c r="C124">
        <v>17283.71</v>
      </c>
      <c r="D124">
        <v>202307</v>
      </c>
      <c r="E124" s="1">
        <v>45126</v>
      </c>
      <c r="F124">
        <v>5</v>
      </c>
      <c r="G124">
        <v>1.5900000000000001E-2</v>
      </c>
    </row>
    <row r="125" spans="1:7" x14ac:dyDescent="0.3">
      <c r="A125" s="1">
        <v>45124</v>
      </c>
      <c r="B125" t="s">
        <v>130</v>
      </c>
      <c r="C125">
        <v>17334.29</v>
      </c>
      <c r="D125">
        <v>202307</v>
      </c>
      <c r="E125" s="1">
        <v>45126</v>
      </c>
      <c r="F125">
        <v>2</v>
      </c>
      <c r="G125">
        <v>1.5900000000000001E-2</v>
      </c>
    </row>
    <row r="126" spans="1:7" x14ac:dyDescent="0.3">
      <c r="A126" s="1">
        <v>45125</v>
      </c>
      <c r="B126" t="s">
        <v>131</v>
      </c>
      <c r="C126">
        <v>17227.91</v>
      </c>
      <c r="D126">
        <v>202308</v>
      </c>
      <c r="E126" s="1">
        <v>45154</v>
      </c>
      <c r="F126">
        <v>29</v>
      </c>
      <c r="G126">
        <v>1.5900000000000001E-2</v>
      </c>
    </row>
    <row r="127" spans="1:7" x14ac:dyDescent="0.3">
      <c r="A127" s="1">
        <v>45126</v>
      </c>
      <c r="B127" t="s">
        <v>132</v>
      </c>
      <c r="C127">
        <v>17116.439999999999</v>
      </c>
      <c r="D127">
        <v>202308</v>
      </c>
      <c r="E127" s="1">
        <v>45154</v>
      </c>
      <c r="F127">
        <v>28</v>
      </c>
      <c r="G127">
        <v>1.5900000000000001E-2</v>
      </c>
    </row>
    <row r="128" spans="1:7" x14ac:dyDescent="0.3">
      <c r="A128" s="1">
        <v>45127</v>
      </c>
      <c r="B128" t="s">
        <v>133</v>
      </c>
      <c r="C128">
        <v>17164.89</v>
      </c>
      <c r="D128">
        <v>202308</v>
      </c>
      <c r="E128" s="1">
        <v>45154</v>
      </c>
      <c r="F128">
        <v>27</v>
      </c>
      <c r="G128">
        <v>1.5900000000000001E-2</v>
      </c>
    </row>
    <row r="129" spans="1:7" x14ac:dyDescent="0.3">
      <c r="A129" s="1">
        <v>45128</v>
      </c>
      <c r="B129" t="s">
        <v>134</v>
      </c>
      <c r="C129">
        <v>17030.7</v>
      </c>
      <c r="D129">
        <v>202308</v>
      </c>
      <c r="E129" s="1">
        <v>45154</v>
      </c>
      <c r="F129">
        <v>26</v>
      </c>
      <c r="G129">
        <v>1.5900000000000001E-2</v>
      </c>
    </row>
    <row r="130" spans="1:7" x14ac:dyDescent="0.3">
      <c r="A130" s="1">
        <v>45131</v>
      </c>
      <c r="B130" t="s">
        <v>135</v>
      </c>
      <c r="C130">
        <v>17033.61</v>
      </c>
      <c r="D130">
        <v>202308</v>
      </c>
      <c r="E130" s="1">
        <v>45154</v>
      </c>
      <c r="F130">
        <v>23</v>
      </c>
      <c r="G130">
        <v>1.5900000000000001E-2</v>
      </c>
    </row>
    <row r="131" spans="1:7" x14ac:dyDescent="0.3">
      <c r="A131" s="1">
        <v>45132</v>
      </c>
      <c r="B131" t="s">
        <v>136</v>
      </c>
      <c r="C131">
        <v>17198.89</v>
      </c>
      <c r="D131">
        <v>202308</v>
      </c>
      <c r="E131" s="1">
        <v>45154</v>
      </c>
      <c r="F131">
        <v>22</v>
      </c>
      <c r="G131">
        <v>1.5900000000000001E-2</v>
      </c>
    </row>
    <row r="132" spans="1:7" x14ac:dyDescent="0.3">
      <c r="A132" s="1">
        <v>45133</v>
      </c>
      <c r="B132" t="s">
        <v>137</v>
      </c>
      <c r="C132">
        <v>17162.55</v>
      </c>
      <c r="D132">
        <v>202308</v>
      </c>
      <c r="E132" s="1">
        <v>45154</v>
      </c>
      <c r="F132">
        <v>21</v>
      </c>
      <c r="G132">
        <v>1.5900000000000001E-2</v>
      </c>
    </row>
    <row r="133" spans="1:7" x14ac:dyDescent="0.3">
      <c r="A133" s="1">
        <v>45134</v>
      </c>
      <c r="B133" t="s">
        <v>138</v>
      </c>
      <c r="C133">
        <v>17241.82</v>
      </c>
      <c r="D133">
        <v>202308</v>
      </c>
      <c r="E133" s="1">
        <v>45154</v>
      </c>
      <c r="F133">
        <v>20</v>
      </c>
      <c r="G133">
        <v>1.5900000000000001E-2</v>
      </c>
    </row>
    <row r="134" spans="1:7" x14ac:dyDescent="0.3">
      <c r="A134" s="1">
        <v>45135</v>
      </c>
      <c r="B134" t="s">
        <v>139</v>
      </c>
      <c r="C134">
        <v>17292.93</v>
      </c>
      <c r="D134">
        <v>202308</v>
      </c>
      <c r="E134" s="1">
        <v>45154</v>
      </c>
      <c r="F134">
        <v>19</v>
      </c>
      <c r="G134">
        <v>1.5900000000000001E-2</v>
      </c>
    </row>
    <row r="135" spans="1:7" x14ac:dyDescent="0.3">
      <c r="A135" s="1">
        <v>45138</v>
      </c>
      <c r="B135" t="s">
        <v>140</v>
      </c>
      <c r="C135">
        <v>17145.43</v>
      </c>
      <c r="D135">
        <v>202308</v>
      </c>
      <c r="E135" s="1">
        <v>45154</v>
      </c>
      <c r="F135">
        <v>16</v>
      </c>
      <c r="G135">
        <v>1.5900000000000001E-2</v>
      </c>
    </row>
    <row r="136" spans="1:7" x14ac:dyDescent="0.3">
      <c r="A136" s="1">
        <v>45139</v>
      </c>
      <c r="B136" t="s">
        <v>141</v>
      </c>
      <c r="C136">
        <v>17212.87</v>
      </c>
      <c r="D136">
        <v>202308</v>
      </c>
      <c r="E136" s="1">
        <v>45154</v>
      </c>
      <c r="F136">
        <v>15</v>
      </c>
      <c r="G136">
        <v>1.5900000000000001E-2</v>
      </c>
    </row>
    <row r="137" spans="1:7" x14ac:dyDescent="0.3">
      <c r="A137" s="1">
        <v>45140</v>
      </c>
      <c r="B137" t="s">
        <v>142</v>
      </c>
      <c r="C137">
        <v>16893.73</v>
      </c>
      <c r="D137">
        <v>202308</v>
      </c>
      <c r="E137" s="1">
        <v>45154</v>
      </c>
      <c r="F137">
        <v>14</v>
      </c>
      <c r="G137">
        <v>1.5900000000000001E-2</v>
      </c>
    </row>
    <row r="138" spans="1:7" x14ac:dyDescent="0.3">
      <c r="A138" s="1">
        <v>45142</v>
      </c>
      <c r="B138" t="s">
        <v>143</v>
      </c>
      <c r="C138">
        <v>16843.68</v>
      </c>
      <c r="D138">
        <v>202308</v>
      </c>
      <c r="E138" s="1">
        <v>45154</v>
      </c>
      <c r="F138">
        <v>12</v>
      </c>
      <c r="G138">
        <v>1.5900000000000001E-2</v>
      </c>
    </row>
    <row r="139" spans="1:7" x14ac:dyDescent="0.3">
      <c r="A139" s="1">
        <v>45145</v>
      </c>
      <c r="B139" t="s">
        <v>144</v>
      </c>
      <c r="C139">
        <v>16996</v>
      </c>
      <c r="D139">
        <v>202308</v>
      </c>
      <c r="E139" s="1">
        <v>45154</v>
      </c>
      <c r="F139">
        <v>9</v>
      </c>
      <c r="G139">
        <v>1.5900000000000001E-2</v>
      </c>
    </row>
    <row r="140" spans="1:7" x14ac:dyDescent="0.3">
      <c r="A140" s="1">
        <v>45146</v>
      </c>
      <c r="B140" t="s">
        <v>145</v>
      </c>
      <c r="C140">
        <v>16877.07</v>
      </c>
      <c r="D140">
        <v>202308</v>
      </c>
      <c r="E140" s="1">
        <v>45154</v>
      </c>
      <c r="F140">
        <v>8</v>
      </c>
      <c r="G140">
        <v>1.5900000000000001E-2</v>
      </c>
    </row>
    <row r="141" spans="1:7" x14ac:dyDescent="0.3">
      <c r="A141" s="1">
        <v>45147</v>
      </c>
      <c r="B141" t="s">
        <v>146</v>
      </c>
      <c r="C141">
        <v>16870.939999999999</v>
      </c>
      <c r="D141">
        <v>202308</v>
      </c>
      <c r="E141" s="1">
        <v>45154</v>
      </c>
      <c r="F141">
        <v>7</v>
      </c>
      <c r="G141">
        <v>1.5900000000000001E-2</v>
      </c>
    </row>
    <row r="142" spans="1:7" x14ac:dyDescent="0.3">
      <c r="A142" s="1">
        <v>45148</v>
      </c>
      <c r="B142" t="s">
        <v>147</v>
      </c>
      <c r="C142">
        <v>16634.7</v>
      </c>
      <c r="D142">
        <v>202308</v>
      </c>
      <c r="E142" s="1">
        <v>45154</v>
      </c>
      <c r="F142">
        <v>6</v>
      </c>
      <c r="G142">
        <v>1.5900000000000001E-2</v>
      </c>
    </row>
    <row r="143" spans="1:7" x14ac:dyDescent="0.3">
      <c r="A143" s="1">
        <v>45149</v>
      </c>
      <c r="B143" t="s">
        <v>148</v>
      </c>
      <c r="C143">
        <v>16601.25</v>
      </c>
      <c r="D143">
        <v>202308</v>
      </c>
      <c r="E143" s="1">
        <v>45154</v>
      </c>
      <c r="F143">
        <v>5</v>
      </c>
      <c r="G143">
        <v>1.5900000000000001E-2</v>
      </c>
    </row>
    <row r="144" spans="1:7" x14ac:dyDescent="0.3">
      <c r="A144" s="1">
        <v>45152</v>
      </c>
      <c r="B144" t="s">
        <v>149</v>
      </c>
      <c r="C144">
        <v>16393.66</v>
      </c>
      <c r="D144">
        <v>202308</v>
      </c>
      <c r="E144" s="1">
        <v>45154</v>
      </c>
      <c r="F144">
        <v>2</v>
      </c>
      <c r="G144">
        <v>1.5900000000000001E-2</v>
      </c>
    </row>
    <row r="145" spans="1:7" x14ac:dyDescent="0.3">
      <c r="A145" s="1">
        <v>45153</v>
      </c>
      <c r="B145" t="s">
        <v>150</v>
      </c>
      <c r="C145">
        <v>16454.8</v>
      </c>
      <c r="D145">
        <v>202309</v>
      </c>
      <c r="E145" s="1">
        <v>45189</v>
      </c>
      <c r="F145">
        <v>36</v>
      </c>
      <c r="G145">
        <v>1.5900000000000001E-2</v>
      </c>
    </row>
    <row r="146" spans="1:7" x14ac:dyDescent="0.3">
      <c r="A146" s="1">
        <v>45154</v>
      </c>
      <c r="B146" t="s">
        <v>151</v>
      </c>
      <c r="C146">
        <v>16446.78</v>
      </c>
      <c r="D146">
        <v>202309</v>
      </c>
      <c r="E146" s="1">
        <v>45189</v>
      </c>
      <c r="F146">
        <v>35</v>
      </c>
      <c r="G146">
        <v>1.5900000000000001E-2</v>
      </c>
    </row>
    <row r="147" spans="1:7" x14ac:dyDescent="0.3">
      <c r="A147" s="1">
        <v>45155</v>
      </c>
      <c r="B147" t="s">
        <v>152</v>
      </c>
      <c r="C147">
        <v>16516.66</v>
      </c>
      <c r="D147">
        <v>202309</v>
      </c>
      <c r="E147" s="1">
        <v>45189</v>
      </c>
      <c r="F147">
        <v>34</v>
      </c>
      <c r="G147">
        <v>1.5900000000000001E-2</v>
      </c>
    </row>
    <row r="148" spans="1:7" x14ac:dyDescent="0.3">
      <c r="A148" s="1">
        <v>45156</v>
      </c>
      <c r="B148" t="s">
        <v>153</v>
      </c>
      <c r="C148">
        <v>16381.31</v>
      </c>
      <c r="D148">
        <v>202309</v>
      </c>
      <c r="E148" s="1">
        <v>45189</v>
      </c>
      <c r="F148">
        <v>33</v>
      </c>
      <c r="G148">
        <v>1.5900000000000001E-2</v>
      </c>
    </row>
    <row r="149" spans="1:7" x14ac:dyDescent="0.3">
      <c r="A149" s="1">
        <v>45159</v>
      </c>
      <c r="B149" t="s">
        <v>154</v>
      </c>
      <c r="C149">
        <v>16381.49</v>
      </c>
      <c r="D149">
        <v>202309</v>
      </c>
      <c r="E149" s="1">
        <v>45189</v>
      </c>
      <c r="F149">
        <v>30</v>
      </c>
      <c r="G149">
        <v>1.5900000000000001E-2</v>
      </c>
    </row>
    <row r="150" spans="1:7" x14ac:dyDescent="0.3">
      <c r="A150" s="1">
        <v>45160</v>
      </c>
      <c r="B150" t="s">
        <v>155</v>
      </c>
      <c r="C150">
        <v>16437.61</v>
      </c>
      <c r="D150">
        <v>202309</v>
      </c>
      <c r="E150" s="1">
        <v>45189</v>
      </c>
      <c r="F150">
        <v>29</v>
      </c>
      <c r="G150">
        <v>1.5900000000000001E-2</v>
      </c>
    </row>
    <row r="151" spans="1:7" x14ac:dyDescent="0.3">
      <c r="A151" s="1">
        <v>45161</v>
      </c>
      <c r="B151" t="s">
        <v>156</v>
      </c>
      <c r="C151">
        <v>16576.900000000001</v>
      </c>
      <c r="D151">
        <v>202309</v>
      </c>
      <c r="E151" s="1">
        <v>45189</v>
      </c>
      <c r="F151">
        <v>28</v>
      </c>
      <c r="G151">
        <v>1.5900000000000001E-2</v>
      </c>
    </row>
    <row r="152" spans="1:7" x14ac:dyDescent="0.3">
      <c r="A152" s="1">
        <v>45162</v>
      </c>
      <c r="B152" t="s">
        <v>157</v>
      </c>
      <c r="C152">
        <v>16770.87</v>
      </c>
      <c r="D152">
        <v>202309</v>
      </c>
      <c r="E152" s="1">
        <v>45189</v>
      </c>
      <c r="F152">
        <v>27</v>
      </c>
      <c r="G152">
        <v>1.5900000000000001E-2</v>
      </c>
    </row>
    <row r="153" spans="1:7" x14ac:dyDescent="0.3">
      <c r="A153" s="1">
        <v>45163</v>
      </c>
      <c r="B153" t="s">
        <v>158</v>
      </c>
      <c r="C153">
        <v>16481.580000000002</v>
      </c>
      <c r="D153">
        <v>202309</v>
      </c>
      <c r="E153" s="1">
        <v>45189</v>
      </c>
      <c r="F153">
        <v>26</v>
      </c>
      <c r="G153">
        <v>1.5900000000000001E-2</v>
      </c>
    </row>
    <row r="154" spans="1:7" x14ac:dyDescent="0.3">
      <c r="A154" s="1">
        <v>45166</v>
      </c>
      <c r="B154" t="s">
        <v>159</v>
      </c>
      <c r="C154">
        <v>16509.259999999998</v>
      </c>
      <c r="D154">
        <v>202309</v>
      </c>
      <c r="E154" s="1">
        <v>45189</v>
      </c>
      <c r="F154">
        <v>23</v>
      </c>
      <c r="G154">
        <v>1.5900000000000001E-2</v>
      </c>
    </row>
    <row r="155" spans="1:7" x14ac:dyDescent="0.3">
      <c r="A155" s="1">
        <v>45167</v>
      </c>
      <c r="B155" t="s">
        <v>160</v>
      </c>
      <c r="C155">
        <v>16623.650000000001</v>
      </c>
      <c r="D155">
        <v>202309</v>
      </c>
      <c r="E155" s="1">
        <v>45189</v>
      </c>
      <c r="F155">
        <v>22</v>
      </c>
      <c r="G155">
        <v>1.5900000000000001E-2</v>
      </c>
    </row>
    <row r="156" spans="1:7" x14ac:dyDescent="0.3">
      <c r="A156" s="1">
        <v>45168</v>
      </c>
      <c r="B156" t="s">
        <v>161</v>
      </c>
      <c r="C156">
        <v>16719.82</v>
      </c>
      <c r="D156">
        <v>202309</v>
      </c>
      <c r="E156" s="1">
        <v>45189</v>
      </c>
      <c r="F156">
        <v>21</v>
      </c>
      <c r="G156">
        <v>1.5900000000000001E-2</v>
      </c>
    </row>
    <row r="157" spans="1:7" x14ac:dyDescent="0.3">
      <c r="A157" s="1">
        <v>45169</v>
      </c>
      <c r="B157" t="s">
        <v>162</v>
      </c>
      <c r="C157">
        <v>16634.509999999998</v>
      </c>
      <c r="D157">
        <v>202309</v>
      </c>
      <c r="E157" s="1">
        <v>45189</v>
      </c>
      <c r="F157">
        <v>20</v>
      </c>
      <c r="G157">
        <v>1.5900000000000001E-2</v>
      </c>
    </row>
    <row r="158" spans="1:7" x14ac:dyDescent="0.3">
      <c r="A158" s="1">
        <v>45170</v>
      </c>
      <c r="B158" t="s">
        <v>163</v>
      </c>
      <c r="C158">
        <v>16644.939999999999</v>
      </c>
      <c r="D158">
        <v>202309</v>
      </c>
      <c r="E158" s="1">
        <v>45189</v>
      </c>
      <c r="F158">
        <v>19</v>
      </c>
      <c r="G158">
        <v>1.5900000000000001E-2</v>
      </c>
    </row>
    <row r="159" spans="1:7" x14ac:dyDescent="0.3">
      <c r="A159" s="1">
        <v>45173</v>
      </c>
      <c r="B159" t="s">
        <v>164</v>
      </c>
      <c r="C159">
        <v>16789.689999999999</v>
      </c>
      <c r="D159">
        <v>202309</v>
      </c>
      <c r="E159" s="1">
        <v>45189</v>
      </c>
      <c r="F159">
        <v>16</v>
      </c>
      <c r="G159">
        <v>1.5900000000000001E-2</v>
      </c>
    </row>
    <row r="160" spans="1:7" x14ac:dyDescent="0.3">
      <c r="A160" s="1">
        <v>45174</v>
      </c>
      <c r="B160" t="s">
        <v>165</v>
      </c>
      <c r="C160">
        <v>16791.61</v>
      </c>
      <c r="D160">
        <v>202309</v>
      </c>
      <c r="E160" s="1">
        <v>45189</v>
      </c>
      <c r="F160">
        <v>15</v>
      </c>
      <c r="G160">
        <v>1.5900000000000001E-2</v>
      </c>
    </row>
    <row r="161" spans="1:7" x14ac:dyDescent="0.3">
      <c r="A161" s="1">
        <v>45175</v>
      </c>
      <c r="B161" t="s">
        <v>166</v>
      </c>
      <c r="C161">
        <v>16738.16</v>
      </c>
      <c r="D161">
        <v>202309</v>
      </c>
      <c r="E161" s="1">
        <v>45189</v>
      </c>
      <c r="F161">
        <v>14</v>
      </c>
      <c r="G161">
        <v>1.5900000000000001E-2</v>
      </c>
    </row>
    <row r="162" spans="1:7" x14ac:dyDescent="0.3">
      <c r="A162" s="1">
        <v>45176</v>
      </c>
      <c r="B162" t="s">
        <v>167</v>
      </c>
      <c r="C162">
        <v>16619.14</v>
      </c>
      <c r="D162">
        <v>202309</v>
      </c>
      <c r="E162" s="1">
        <v>45189</v>
      </c>
      <c r="F162">
        <v>13</v>
      </c>
      <c r="G162">
        <v>1.5900000000000001E-2</v>
      </c>
    </row>
    <row r="163" spans="1:7" x14ac:dyDescent="0.3">
      <c r="A163" s="1">
        <v>45177</v>
      </c>
      <c r="B163" t="s">
        <v>168</v>
      </c>
      <c r="C163">
        <v>16576.02</v>
      </c>
      <c r="D163">
        <v>202309</v>
      </c>
      <c r="E163" s="1">
        <v>45189</v>
      </c>
      <c r="F163">
        <v>12</v>
      </c>
      <c r="G163">
        <v>1.5900000000000001E-2</v>
      </c>
    </row>
    <row r="164" spans="1:7" x14ac:dyDescent="0.3">
      <c r="A164" s="1">
        <v>45180</v>
      </c>
      <c r="B164" t="s">
        <v>169</v>
      </c>
      <c r="C164">
        <v>16432.95</v>
      </c>
      <c r="D164">
        <v>202309</v>
      </c>
      <c r="E164" s="1">
        <v>45189</v>
      </c>
      <c r="F164">
        <v>9</v>
      </c>
      <c r="G164">
        <v>1.5900000000000001E-2</v>
      </c>
    </row>
    <row r="165" spans="1:7" x14ac:dyDescent="0.3">
      <c r="A165" s="1">
        <v>45181</v>
      </c>
      <c r="B165" t="s">
        <v>170</v>
      </c>
      <c r="C165">
        <v>16572.71</v>
      </c>
      <c r="D165">
        <v>202309</v>
      </c>
      <c r="E165" s="1">
        <v>45189</v>
      </c>
      <c r="F165">
        <v>8</v>
      </c>
      <c r="G165">
        <v>1.5900000000000001E-2</v>
      </c>
    </row>
    <row r="166" spans="1:7" x14ac:dyDescent="0.3">
      <c r="A166" s="1">
        <v>45182</v>
      </c>
      <c r="B166" t="s">
        <v>171</v>
      </c>
      <c r="C166">
        <v>16581.509999999998</v>
      </c>
      <c r="D166">
        <v>202309</v>
      </c>
      <c r="E166" s="1">
        <v>45189</v>
      </c>
      <c r="F166">
        <v>7</v>
      </c>
      <c r="G166">
        <v>1.5900000000000001E-2</v>
      </c>
    </row>
    <row r="167" spans="1:7" x14ac:dyDescent="0.3">
      <c r="A167" s="1">
        <v>45183</v>
      </c>
      <c r="B167" t="s">
        <v>172</v>
      </c>
      <c r="C167">
        <v>16807.560000000001</v>
      </c>
      <c r="D167">
        <v>202309</v>
      </c>
      <c r="E167" s="1">
        <v>45189</v>
      </c>
      <c r="F167">
        <v>6</v>
      </c>
      <c r="G167">
        <v>1.5900000000000001E-2</v>
      </c>
    </row>
    <row r="168" spans="1:7" x14ac:dyDescent="0.3">
      <c r="A168" s="1">
        <v>45184</v>
      </c>
      <c r="B168" t="s">
        <v>173</v>
      </c>
      <c r="C168">
        <v>16920.919999999998</v>
      </c>
      <c r="D168">
        <v>202309</v>
      </c>
      <c r="E168" s="1">
        <v>45189</v>
      </c>
      <c r="F168">
        <v>5</v>
      </c>
      <c r="G168">
        <v>1.5900000000000001E-2</v>
      </c>
    </row>
    <row r="169" spans="1:7" x14ac:dyDescent="0.3">
      <c r="A169" s="1">
        <v>45187</v>
      </c>
      <c r="B169" t="s">
        <v>174</v>
      </c>
      <c r="C169">
        <v>16698.240000000002</v>
      </c>
      <c r="D169">
        <v>202309</v>
      </c>
      <c r="E169" s="1">
        <v>45189</v>
      </c>
      <c r="F169">
        <v>2</v>
      </c>
      <c r="G169">
        <v>1.5900000000000001E-2</v>
      </c>
    </row>
    <row r="170" spans="1:7" x14ac:dyDescent="0.3">
      <c r="A170" s="1">
        <v>45188</v>
      </c>
      <c r="B170" t="s">
        <v>175</v>
      </c>
      <c r="C170">
        <v>16636.32</v>
      </c>
      <c r="D170">
        <v>202310</v>
      </c>
      <c r="E170" s="1">
        <v>45217</v>
      </c>
      <c r="F170">
        <v>29</v>
      </c>
      <c r="G170">
        <v>1.5900000000000001E-2</v>
      </c>
    </row>
    <row r="171" spans="1:7" x14ac:dyDescent="0.3">
      <c r="A171" s="1">
        <v>45189</v>
      </c>
      <c r="B171" t="s">
        <v>176</v>
      </c>
      <c r="C171">
        <v>16534.75</v>
      </c>
      <c r="D171">
        <v>202310</v>
      </c>
      <c r="E171" s="1">
        <v>45217</v>
      </c>
      <c r="F171">
        <v>28</v>
      </c>
      <c r="G171">
        <v>1.5900000000000001E-2</v>
      </c>
    </row>
    <row r="172" spans="1:7" x14ac:dyDescent="0.3">
      <c r="A172" s="1">
        <v>45190</v>
      </c>
      <c r="B172" t="s">
        <v>177</v>
      </c>
      <c r="C172">
        <v>16316.67</v>
      </c>
      <c r="D172">
        <v>202310</v>
      </c>
      <c r="E172" s="1">
        <v>45217</v>
      </c>
      <c r="F172">
        <v>27</v>
      </c>
      <c r="G172">
        <v>1.5900000000000001E-2</v>
      </c>
    </row>
    <row r="173" spans="1:7" x14ac:dyDescent="0.3">
      <c r="A173" s="1">
        <v>45191</v>
      </c>
      <c r="B173" t="s">
        <v>178</v>
      </c>
      <c r="C173">
        <v>16344.48</v>
      </c>
      <c r="D173">
        <v>202310</v>
      </c>
      <c r="E173" s="1">
        <v>45217</v>
      </c>
      <c r="F173">
        <v>26</v>
      </c>
      <c r="G173">
        <v>1.5900000000000001E-2</v>
      </c>
    </row>
    <row r="174" spans="1:7" x14ac:dyDescent="0.3">
      <c r="A174" s="1">
        <v>45194</v>
      </c>
      <c r="B174" t="s">
        <v>179</v>
      </c>
      <c r="C174">
        <v>16452.23</v>
      </c>
      <c r="D174">
        <v>202310</v>
      </c>
      <c r="E174" s="1">
        <v>45217</v>
      </c>
      <c r="F174">
        <v>23</v>
      </c>
      <c r="G174">
        <v>1.5900000000000001E-2</v>
      </c>
    </row>
    <row r="175" spans="1:7" x14ac:dyDescent="0.3">
      <c r="A175" s="1">
        <v>45195</v>
      </c>
      <c r="B175" t="s">
        <v>180</v>
      </c>
      <c r="C175">
        <v>16276.07</v>
      </c>
      <c r="D175">
        <v>202310</v>
      </c>
      <c r="E175" s="1">
        <v>45217</v>
      </c>
      <c r="F175">
        <v>22</v>
      </c>
      <c r="G175">
        <v>1.5900000000000001E-2</v>
      </c>
    </row>
    <row r="176" spans="1:7" x14ac:dyDescent="0.3">
      <c r="A176" s="1">
        <v>45196</v>
      </c>
      <c r="B176" t="s">
        <v>181</v>
      </c>
      <c r="C176">
        <v>16310.36</v>
      </c>
      <c r="D176">
        <v>202310</v>
      </c>
      <c r="E176" s="1">
        <v>45217</v>
      </c>
      <c r="F176">
        <v>21</v>
      </c>
      <c r="G176">
        <v>1.5900000000000001E-2</v>
      </c>
    </row>
    <row r="177" spans="1:7" x14ac:dyDescent="0.3">
      <c r="A177" s="1">
        <v>45197</v>
      </c>
      <c r="B177" t="s">
        <v>182</v>
      </c>
      <c r="C177">
        <v>16353.74</v>
      </c>
      <c r="D177">
        <v>202310</v>
      </c>
      <c r="E177" s="1">
        <v>45217</v>
      </c>
      <c r="F177">
        <v>20</v>
      </c>
      <c r="G177">
        <v>1.5900000000000001E-2</v>
      </c>
    </row>
    <row r="178" spans="1:7" x14ac:dyDescent="0.3">
      <c r="A178" s="1">
        <v>45201</v>
      </c>
      <c r="B178" t="s">
        <v>183</v>
      </c>
      <c r="C178">
        <v>16557.310000000001</v>
      </c>
      <c r="D178">
        <v>202310</v>
      </c>
      <c r="E178" s="1">
        <v>45217</v>
      </c>
      <c r="F178">
        <v>16</v>
      </c>
      <c r="G178">
        <v>1.5900000000000001E-2</v>
      </c>
    </row>
    <row r="179" spans="1:7" x14ac:dyDescent="0.3">
      <c r="A179" s="1">
        <v>45202</v>
      </c>
      <c r="B179" t="s">
        <v>184</v>
      </c>
      <c r="C179">
        <v>16454.34</v>
      </c>
      <c r="D179">
        <v>202310</v>
      </c>
      <c r="E179" s="1">
        <v>45217</v>
      </c>
      <c r="F179">
        <v>15</v>
      </c>
      <c r="G179">
        <v>1.5900000000000001E-2</v>
      </c>
    </row>
    <row r="180" spans="1:7" x14ac:dyDescent="0.3">
      <c r="A180" s="1">
        <v>45203</v>
      </c>
      <c r="B180" t="s">
        <v>185</v>
      </c>
      <c r="C180">
        <v>16273.38</v>
      </c>
      <c r="D180">
        <v>202310</v>
      </c>
      <c r="E180" s="1">
        <v>45217</v>
      </c>
      <c r="F180">
        <v>14</v>
      </c>
      <c r="G180">
        <v>1.5900000000000001E-2</v>
      </c>
    </row>
    <row r="181" spans="1:7" x14ac:dyDescent="0.3">
      <c r="A181" s="1">
        <v>45204</v>
      </c>
      <c r="B181" t="s">
        <v>186</v>
      </c>
      <c r="C181">
        <v>16453.52</v>
      </c>
      <c r="D181">
        <v>202310</v>
      </c>
      <c r="E181" s="1">
        <v>45217</v>
      </c>
      <c r="F181">
        <v>13</v>
      </c>
      <c r="G181">
        <v>1.5900000000000001E-2</v>
      </c>
    </row>
    <row r="182" spans="1:7" x14ac:dyDescent="0.3">
      <c r="A182" s="1">
        <v>45205</v>
      </c>
      <c r="B182" t="s">
        <v>187</v>
      </c>
      <c r="C182">
        <v>16520.57</v>
      </c>
      <c r="D182">
        <v>202310</v>
      </c>
      <c r="E182" s="1">
        <v>45217</v>
      </c>
      <c r="F182">
        <v>12</v>
      </c>
      <c r="G182">
        <v>1.5900000000000001E-2</v>
      </c>
    </row>
    <row r="183" spans="1:7" x14ac:dyDescent="0.3">
      <c r="A183" s="1">
        <v>45210</v>
      </c>
      <c r="B183" t="s">
        <v>188</v>
      </c>
      <c r="C183">
        <v>16672.03</v>
      </c>
      <c r="D183">
        <v>202310</v>
      </c>
      <c r="E183" s="1">
        <v>45217</v>
      </c>
      <c r="F183">
        <v>7</v>
      </c>
      <c r="G183">
        <v>1.5900000000000001E-2</v>
      </c>
    </row>
    <row r="184" spans="1:7" x14ac:dyDescent="0.3">
      <c r="A184" s="1">
        <v>45211</v>
      </c>
      <c r="B184" t="s">
        <v>189</v>
      </c>
      <c r="C184">
        <v>16825.91</v>
      </c>
      <c r="D184">
        <v>202310</v>
      </c>
      <c r="E184" s="1">
        <v>45217</v>
      </c>
      <c r="F184">
        <v>6</v>
      </c>
      <c r="G184">
        <v>1.5900000000000001E-2</v>
      </c>
    </row>
    <row r="185" spans="1:7" x14ac:dyDescent="0.3">
      <c r="A185" s="1">
        <v>45212</v>
      </c>
      <c r="B185" t="s">
        <v>190</v>
      </c>
      <c r="C185">
        <v>16782.57</v>
      </c>
      <c r="D185">
        <v>202310</v>
      </c>
      <c r="E185" s="1">
        <v>45217</v>
      </c>
      <c r="F185">
        <v>5</v>
      </c>
      <c r="G185">
        <v>1.5900000000000001E-2</v>
      </c>
    </row>
    <row r="186" spans="1:7" x14ac:dyDescent="0.3">
      <c r="A186" s="1">
        <v>45215</v>
      </c>
      <c r="B186" t="s">
        <v>191</v>
      </c>
      <c r="C186">
        <v>16652.240000000002</v>
      </c>
      <c r="D186">
        <v>202310</v>
      </c>
      <c r="E186" s="1">
        <v>45217</v>
      </c>
      <c r="F186">
        <v>2</v>
      </c>
      <c r="G186">
        <v>1.5900000000000001E-2</v>
      </c>
    </row>
    <row r="187" spans="1:7" x14ac:dyDescent="0.3">
      <c r="A187" s="1">
        <v>45216</v>
      </c>
      <c r="B187" t="s">
        <v>192</v>
      </c>
      <c r="C187">
        <v>16642.55</v>
      </c>
      <c r="D187">
        <v>202311</v>
      </c>
      <c r="E187" s="1">
        <v>45245</v>
      </c>
      <c r="F187">
        <v>29</v>
      </c>
      <c r="G187">
        <v>1.5900000000000001E-2</v>
      </c>
    </row>
    <row r="188" spans="1:7" x14ac:dyDescent="0.3">
      <c r="A188" s="1">
        <v>45217</v>
      </c>
      <c r="B188" t="s">
        <v>193</v>
      </c>
      <c r="C188">
        <v>16440.91</v>
      </c>
      <c r="D188">
        <v>202311</v>
      </c>
      <c r="E188" s="1">
        <v>45245</v>
      </c>
      <c r="F188">
        <v>28</v>
      </c>
      <c r="G188">
        <v>1.5900000000000001E-2</v>
      </c>
    </row>
    <row r="189" spans="1:7" x14ac:dyDescent="0.3">
      <c r="A189" s="1">
        <v>45218</v>
      </c>
      <c r="B189" t="s">
        <v>194</v>
      </c>
      <c r="C189">
        <v>16452.73</v>
      </c>
      <c r="D189">
        <v>202311</v>
      </c>
      <c r="E189" s="1">
        <v>45245</v>
      </c>
      <c r="F189">
        <v>27</v>
      </c>
      <c r="G189">
        <v>1.5900000000000001E-2</v>
      </c>
    </row>
    <row r="190" spans="1:7" x14ac:dyDescent="0.3">
      <c r="A190" s="1">
        <v>45219</v>
      </c>
      <c r="B190" t="s">
        <v>195</v>
      </c>
      <c r="C190">
        <v>16440.72</v>
      </c>
      <c r="D190">
        <v>202311</v>
      </c>
      <c r="E190" s="1">
        <v>45245</v>
      </c>
      <c r="F190">
        <v>26</v>
      </c>
      <c r="G190">
        <v>1.5900000000000001E-2</v>
      </c>
    </row>
    <row r="191" spans="1:7" x14ac:dyDescent="0.3">
      <c r="A191" s="1">
        <v>45222</v>
      </c>
      <c r="B191" t="s">
        <v>196</v>
      </c>
      <c r="C191">
        <v>16251.36</v>
      </c>
      <c r="D191">
        <v>202311</v>
      </c>
      <c r="E191" s="1">
        <v>45245</v>
      </c>
      <c r="F191">
        <v>23</v>
      </c>
      <c r="G191">
        <v>1.5900000000000001E-2</v>
      </c>
    </row>
    <row r="192" spans="1:7" x14ac:dyDescent="0.3">
      <c r="A192" s="1">
        <v>45223</v>
      </c>
      <c r="B192" t="s">
        <v>197</v>
      </c>
      <c r="C192">
        <v>16309.76</v>
      </c>
      <c r="D192">
        <v>202311</v>
      </c>
      <c r="E192" s="1">
        <v>45245</v>
      </c>
      <c r="F192">
        <v>22</v>
      </c>
      <c r="G192">
        <v>1.5900000000000001E-2</v>
      </c>
    </row>
    <row r="193" spans="1:7" x14ac:dyDescent="0.3">
      <c r="A193" s="1">
        <v>45224</v>
      </c>
      <c r="B193" t="s">
        <v>198</v>
      </c>
      <c r="C193">
        <v>16358.89</v>
      </c>
      <c r="D193">
        <v>202311</v>
      </c>
      <c r="E193" s="1">
        <v>45245</v>
      </c>
      <c r="F193">
        <v>21</v>
      </c>
      <c r="G193">
        <v>1.5900000000000001E-2</v>
      </c>
    </row>
    <row r="194" spans="1:7" x14ac:dyDescent="0.3">
      <c r="A194" s="1">
        <v>45225</v>
      </c>
      <c r="B194" t="s">
        <v>199</v>
      </c>
      <c r="C194">
        <v>16073.74</v>
      </c>
      <c r="D194">
        <v>202311</v>
      </c>
      <c r="E194" s="1">
        <v>45245</v>
      </c>
      <c r="F194">
        <v>20</v>
      </c>
      <c r="G194">
        <v>1.5900000000000001E-2</v>
      </c>
    </row>
    <row r="195" spans="1:7" x14ac:dyDescent="0.3">
      <c r="A195" s="1">
        <v>45226</v>
      </c>
      <c r="B195" t="s">
        <v>200</v>
      </c>
      <c r="C195">
        <v>16134.61</v>
      </c>
      <c r="D195">
        <v>202311</v>
      </c>
      <c r="E195" s="1">
        <v>45245</v>
      </c>
      <c r="F195">
        <v>19</v>
      </c>
      <c r="G195">
        <v>1.5900000000000001E-2</v>
      </c>
    </row>
    <row r="196" spans="1:7" x14ac:dyDescent="0.3">
      <c r="A196" s="1">
        <v>45229</v>
      </c>
      <c r="B196" t="s">
        <v>201</v>
      </c>
      <c r="C196">
        <v>16149.68</v>
      </c>
      <c r="D196">
        <v>202311</v>
      </c>
      <c r="E196" s="1">
        <v>45245</v>
      </c>
      <c r="F196">
        <v>16</v>
      </c>
      <c r="G196">
        <v>1.5900000000000001E-2</v>
      </c>
    </row>
    <row r="197" spans="1:7" x14ac:dyDescent="0.3">
      <c r="A197" s="1">
        <v>45230</v>
      </c>
      <c r="B197" t="s">
        <v>202</v>
      </c>
      <c r="C197">
        <v>16001.27</v>
      </c>
      <c r="D197">
        <v>202311</v>
      </c>
      <c r="E197" s="1">
        <v>45245</v>
      </c>
      <c r="F197">
        <v>15</v>
      </c>
      <c r="G197">
        <v>1.5900000000000001E-2</v>
      </c>
    </row>
    <row r="198" spans="1:7" x14ac:dyDescent="0.3">
      <c r="A198" s="1">
        <v>45231</v>
      </c>
      <c r="B198" t="s">
        <v>203</v>
      </c>
      <c r="C198">
        <v>16038.56</v>
      </c>
      <c r="D198">
        <v>202311</v>
      </c>
      <c r="E198" s="1">
        <v>45245</v>
      </c>
      <c r="F198">
        <v>14</v>
      </c>
      <c r="G198">
        <v>1.5900000000000001E-2</v>
      </c>
    </row>
    <row r="199" spans="1:7" x14ac:dyDescent="0.3">
      <c r="A199" s="1">
        <v>45232</v>
      </c>
      <c r="B199" t="s">
        <v>204</v>
      </c>
      <c r="C199">
        <v>16396.95</v>
      </c>
      <c r="D199">
        <v>202311</v>
      </c>
      <c r="E199" s="1">
        <v>45245</v>
      </c>
      <c r="F199">
        <v>13</v>
      </c>
      <c r="G199">
        <v>1.5900000000000001E-2</v>
      </c>
    </row>
    <row r="200" spans="1:7" x14ac:dyDescent="0.3">
      <c r="A200" s="1">
        <v>45233</v>
      </c>
      <c r="B200" t="s">
        <v>205</v>
      </c>
      <c r="C200">
        <v>16507.650000000001</v>
      </c>
      <c r="D200">
        <v>202311</v>
      </c>
      <c r="E200" s="1">
        <v>45245</v>
      </c>
      <c r="F200">
        <v>12</v>
      </c>
      <c r="G200">
        <v>1.5900000000000001E-2</v>
      </c>
    </row>
    <row r="201" spans="1:7" x14ac:dyDescent="0.3">
      <c r="A201" s="1">
        <v>45236</v>
      </c>
      <c r="B201" t="s">
        <v>206</v>
      </c>
      <c r="C201">
        <v>16649.36</v>
      </c>
      <c r="D201">
        <v>202311</v>
      </c>
      <c r="E201" s="1">
        <v>45245</v>
      </c>
      <c r="F201">
        <v>9</v>
      </c>
      <c r="G201">
        <v>1.5900000000000001E-2</v>
      </c>
    </row>
    <row r="202" spans="1:7" x14ac:dyDescent="0.3">
      <c r="A202" s="1">
        <v>45237</v>
      </c>
      <c r="B202" t="s">
        <v>207</v>
      </c>
      <c r="C202">
        <v>16684.95</v>
      </c>
      <c r="D202">
        <v>202311</v>
      </c>
      <c r="E202" s="1">
        <v>45245</v>
      </c>
      <c r="F202">
        <v>8</v>
      </c>
      <c r="G202">
        <v>1.5900000000000001E-2</v>
      </c>
    </row>
    <row r="203" spans="1:7" x14ac:dyDescent="0.3">
      <c r="A203" s="1">
        <v>45238</v>
      </c>
      <c r="B203" t="s">
        <v>208</v>
      </c>
      <c r="C203">
        <v>16740.830000000002</v>
      </c>
      <c r="D203">
        <v>202311</v>
      </c>
      <c r="E203" s="1">
        <v>45245</v>
      </c>
      <c r="F203">
        <v>7</v>
      </c>
      <c r="G203">
        <v>1.5900000000000001E-2</v>
      </c>
    </row>
    <row r="204" spans="1:7" x14ac:dyDescent="0.3">
      <c r="A204" s="1">
        <v>45239</v>
      </c>
      <c r="B204" t="s">
        <v>209</v>
      </c>
      <c r="C204">
        <v>16745.650000000001</v>
      </c>
      <c r="D204">
        <v>202311</v>
      </c>
      <c r="E204" s="1">
        <v>45245</v>
      </c>
      <c r="F204">
        <v>6</v>
      </c>
      <c r="G204">
        <v>1.5900000000000001E-2</v>
      </c>
    </row>
    <row r="205" spans="1:7" x14ac:dyDescent="0.3">
      <c r="A205" s="1">
        <v>45240</v>
      </c>
      <c r="B205" t="s">
        <v>210</v>
      </c>
      <c r="C205">
        <v>16682.669999999998</v>
      </c>
      <c r="D205">
        <v>202311</v>
      </c>
      <c r="E205" s="1">
        <v>45245</v>
      </c>
      <c r="F205">
        <v>5</v>
      </c>
      <c r="G205">
        <v>1.5900000000000001E-2</v>
      </c>
    </row>
    <row r="206" spans="1:7" x14ac:dyDescent="0.3">
      <c r="A206" s="1">
        <v>45243</v>
      </c>
      <c r="B206" t="s">
        <v>211</v>
      </c>
      <c r="C206">
        <v>16839.29</v>
      </c>
      <c r="D206">
        <v>202311</v>
      </c>
      <c r="E206" s="1">
        <v>45245</v>
      </c>
      <c r="F206">
        <v>2</v>
      </c>
      <c r="G206">
        <v>1.5900000000000001E-2</v>
      </c>
    </row>
    <row r="207" spans="1:7" x14ac:dyDescent="0.3">
      <c r="A207" s="1">
        <v>45244</v>
      </c>
      <c r="B207" t="s">
        <v>212</v>
      </c>
      <c r="C207">
        <v>16915.71</v>
      </c>
      <c r="D207">
        <v>202312</v>
      </c>
      <c r="E207" s="1">
        <v>45280</v>
      </c>
      <c r="F207">
        <v>36</v>
      </c>
      <c r="G207">
        <v>1.5900000000000001E-2</v>
      </c>
    </row>
    <row r="208" spans="1:7" x14ac:dyDescent="0.3">
      <c r="A208" s="1">
        <v>45245</v>
      </c>
      <c r="B208" t="s">
        <v>213</v>
      </c>
      <c r="C208">
        <v>17128.78</v>
      </c>
      <c r="D208">
        <v>202312</v>
      </c>
      <c r="E208" s="1">
        <v>45280</v>
      </c>
      <c r="F208">
        <v>35</v>
      </c>
      <c r="G208">
        <v>1.5900000000000001E-2</v>
      </c>
    </row>
    <row r="209" spans="1:7" x14ac:dyDescent="0.3">
      <c r="A209" s="1">
        <v>45246</v>
      </c>
      <c r="B209" t="s">
        <v>214</v>
      </c>
      <c r="C209">
        <v>17171.18</v>
      </c>
      <c r="D209">
        <v>202312</v>
      </c>
      <c r="E209" s="1">
        <v>45280</v>
      </c>
      <c r="F209">
        <v>34</v>
      </c>
      <c r="G209">
        <v>1.5900000000000001E-2</v>
      </c>
    </row>
    <row r="210" spans="1:7" x14ac:dyDescent="0.3">
      <c r="A210" s="1">
        <v>45247</v>
      </c>
      <c r="B210" t="s">
        <v>215</v>
      </c>
      <c r="C210">
        <v>17208.95</v>
      </c>
      <c r="D210">
        <v>202312</v>
      </c>
      <c r="E210" s="1">
        <v>45280</v>
      </c>
      <c r="F210">
        <v>33</v>
      </c>
      <c r="G210">
        <v>1.5900000000000001E-2</v>
      </c>
    </row>
    <row r="211" spans="1:7" x14ac:dyDescent="0.3">
      <c r="A211" s="1">
        <v>45250</v>
      </c>
      <c r="B211" t="s">
        <v>216</v>
      </c>
      <c r="C211">
        <v>17210.47</v>
      </c>
      <c r="D211">
        <v>202312</v>
      </c>
      <c r="E211" s="1">
        <v>45280</v>
      </c>
      <c r="F211">
        <v>30</v>
      </c>
      <c r="G211">
        <v>1.5900000000000001E-2</v>
      </c>
    </row>
    <row r="212" spans="1:7" x14ac:dyDescent="0.3">
      <c r="A212" s="1">
        <v>45251</v>
      </c>
      <c r="B212" t="s">
        <v>217</v>
      </c>
      <c r="C212">
        <v>17416.7</v>
      </c>
      <c r="D212">
        <v>202312</v>
      </c>
      <c r="E212" s="1">
        <v>45280</v>
      </c>
      <c r="F212">
        <v>29</v>
      </c>
      <c r="G212">
        <v>1.5900000000000001E-2</v>
      </c>
    </row>
    <row r="213" spans="1:7" x14ac:dyDescent="0.3">
      <c r="A213" s="1">
        <v>45252</v>
      </c>
      <c r="B213" t="s">
        <v>218</v>
      </c>
      <c r="C213">
        <v>17310.259999999998</v>
      </c>
      <c r="D213">
        <v>202312</v>
      </c>
      <c r="E213" s="1">
        <v>45280</v>
      </c>
      <c r="F213">
        <v>28</v>
      </c>
      <c r="G213">
        <v>1.5900000000000001E-2</v>
      </c>
    </row>
    <row r="214" spans="1:7" x14ac:dyDescent="0.3">
      <c r="A214" s="1">
        <v>45253</v>
      </c>
      <c r="B214" t="s">
        <v>219</v>
      </c>
      <c r="C214">
        <v>17294.55</v>
      </c>
      <c r="D214">
        <v>202312</v>
      </c>
      <c r="E214" s="1">
        <v>45280</v>
      </c>
      <c r="F214">
        <v>27</v>
      </c>
      <c r="G214">
        <v>1.5900000000000001E-2</v>
      </c>
    </row>
    <row r="215" spans="1:7" x14ac:dyDescent="0.3">
      <c r="A215" s="1">
        <v>45254</v>
      </c>
      <c r="B215" t="s">
        <v>220</v>
      </c>
      <c r="C215">
        <v>17287.419999999998</v>
      </c>
      <c r="D215">
        <v>202312</v>
      </c>
      <c r="E215" s="1">
        <v>45280</v>
      </c>
      <c r="F215">
        <v>26</v>
      </c>
      <c r="G215">
        <v>1.5900000000000001E-2</v>
      </c>
    </row>
    <row r="216" spans="1:7" x14ac:dyDescent="0.3">
      <c r="A216" s="1">
        <v>45257</v>
      </c>
      <c r="B216" t="s">
        <v>221</v>
      </c>
      <c r="C216">
        <v>17137.419999999998</v>
      </c>
      <c r="D216">
        <v>202312</v>
      </c>
      <c r="E216" s="1">
        <v>45280</v>
      </c>
      <c r="F216">
        <v>23</v>
      </c>
      <c r="G216">
        <v>1.5900000000000001E-2</v>
      </c>
    </row>
    <row r="217" spans="1:7" x14ac:dyDescent="0.3">
      <c r="A217" s="1">
        <v>45258</v>
      </c>
      <c r="B217" t="s">
        <v>222</v>
      </c>
      <c r="C217">
        <v>17341.25</v>
      </c>
      <c r="D217">
        <v>202312</v>
      </c>
      <c r="E217" s="1">
        <v>45280</v>
      </c>
      <c r="F217">
        <v>22</v>
      </c>
      <c r="G217">
        <v>1.5900000000000001E-2</v>
      </c>
    </row>
    <row r="218" spans="1:7" x14ac:dyDescent="0.3">
      <c r="A218" s="1">
        <v>45259</v>
      </c>
      <c r="B218" t="s">
        <v>223</v>
      </c>
      <c r="C218">
        <v>17370.560000000001</v>
      </c>
      <c r="D218">
        <v>202312</v>
      </c>
      <c r="E218" s="1">
        <v>45280</v>
      </c>
      <c r="F218">
        <v>21</v>
      </c>
      <c r="G218">
        <v>1.5900000000000001E-2</v>
      </c>
    </row>
    <row r="219" spans="1:7" x14ac:dyDescent="0.3">
      <c r="A219" s="1">
        <v>45260</v>
      </c>
      <c r="B219" t="s">
        <v>224</v>
      </c>
      <c r="C219">
        <v>17433.849999999999</v>
      </c>
      <c r="D219">
        <v>202312</v>
      </c>
      <c r="E219" s="1">
        <v>45280</v>
      </c>
      <c r="F219">
        <v>20</v>
      </c>
      <c r="G219">
        <v>1.5900000000000001E-2</v>
      </c>
    </row>
    <row r="220" spans="1:7" x14ac:dyDescent="0.3">
      <c r="A220" s="1">
        <v>45261</v>
      </c>
      <c r="B220" t="s">
        <v>225</v>
      </c>
      <c r="C220">
        <v>17438.349999999999</v>
      </c>
      <c r="D220">
        <v>202312</v>
      </c>
      <c r="E220" s="1">
        <v>45280</v>
      </c>
      <c r="F220">
        <v>19</v>
      </c>
      <c r="G220">
        <v>1.5900000000000001E-2</v>
      </c>
    </row>
    <row r="221" spans="1:7" x14ac:dyDescent="0.3">
      <c r="A221" s="1">
        <v>45264</v>
      </c>
      <c r="B221" t="s">
        <v>226</v>
      </c>
      <c r="C221">
        <v>17421.48</v>
      </c>
      <c r="D221">
        <v>202312</v>
      </c>
      <c r="E221" s="1">
        <v>45280</v>
      </c>
      <c r="F221">
        <v>16</v>
      </c>
      <c r="G221">
        <v>1.5900000000000001E-2</v>
      </c>
    </row>
    <row r="222" spans="1:7" x14ac:dyDescent="0.3">
      <c r="A222" s="1">
        <v>45265</v>
      </c>
      <c r="B222" t="s">
        <v>227</v>
      </c>
      <c r="C222">
        <v>17328.009999999998</v>
      </c>
      <c r="D222">
        <v>202312</v>
      </c>
      <c r="E222" s="1">
        <v>45280</v>
      </c>
      <c r="F222">
        <v>15</v>
      </c>
      <c r="G222">
        <v>1.5900000000000001E-2</v>
      </c>
    </row>
    <row r="223" spans="1:7" x14ac:dyDescent="0.3">
      <c r="A223" s="1">
        <v>45266</v>
      </c>
      <c r="B223" t="s">
        <v>228</v>
      </c>
      <c r="C223">
        <v>17360.72</v>
      </c>
      <c r="D223">
        <v>202312</v>
      </c>
      <c r="E223" s="1">
        <v>45280</v>
      </c>
      <c r="F223">
        <v>14</v>
      </c>
      <c r="G223">
        <v>1.5900000000000001E-2</v>
      </c>
    </row>
    <row r="224" spans="1:7" x14ac:dyDescent="0.3">
      <c r="A224" s="1">
        <v>45267</v>
      </c>
      <c r="B224" t="s">
        <v>229</v>
      </c>
      <c r="C224">
        <v>17278.740000000002</v>
      </c>
      <c r="D224">
        <v>202312</v>
      </c>
      <c r="E224" s="1">
        <v>45280</v>
      </c>
      <c r="F224">
        <v>13</v>
      </c>
      <c r="G224">
        <v>1.5900000000000001E-2</v>
      </c>
    </row>
    <row r="225" spans="1:7" x14ac:dyDescent="0.3">
      <c r="A225" s="1">
        <v>45268</v>
      </c>
      <c r="B225" t="s">
        <v>230</v>
      </c>
      <c r="C225">
        <v>17383.990000000002</v>
      </c>
      <c r="D225">
        <v>202312</v>
      </c>
      <c r="E225" s="1">
        <v>45280</v>
      </c>
      <c r="F225">
        <v>12</v>
      </c>
      <c r="G225">
        <v>1.5900000000000001E-2</v>
      </c>
    </row>
    <row r="226" spans="1:7" x14ac:dyDescent="0.3">
      <c r="A226" s="1">
        <v>45271</v>
      </c>
      <c r="B226" t="s">
        <v>231</v>
      </c>
      <c r="C226">
        <v>17418.34</v>
      </c>
      <c r="D226">
        <v>202312</v>
      </c>
      <c r="E226" s="1">
        <v>45280</v>
      </c>
      <c r="F226">
        <v>9</v>
      </c>
      <c r="G226">
        <v>1.5900000000000001E-2</v>
      </c>
    </row>
    <row r="227" spans="1:7" x14ac:dyDescent="0.3">
      <c r="A227" s="1">
        <v>45272</v>
      </c>
      <c r="B227" t="s">
        <v>232</v>
      </c>
      <c r="C227">
        <v>17450.63</v>
      </c>
      <c r="D227">
        <v>202312</v>
      </c>
      <c r="E227" s="1">
        <v>45280</v>
      </c>
      <c r="F227">
        <v>8</v>
      </c>
      <c r="G227">
        <v>1.5900000000000001E-2</v>
      </c>
    </row>
    <row r="228" spans="1:7" x14ac:dyDescent="0.3">
      <c r="A228" s="1">
        <v>45273</v>
      </c>
      <c r="B228" t="s">
        <v>233</v>
      </c>
      <c r="C228">
        <v>17468.93</v>
      </c>
      <c r="D228">
        <v>202312</v>
      </c>
      <c r="E228" s="1">
        <v>45280</v>
      </c>
      <c r="F228">
        <v>7</v>
      </c>
      <c r="G228">
        <v>1.5900000000000001E-2</v>
      </c>
    </row>
    <row r="229" spans="1:7" x14ac:dyDescent="0.3">
      <c r="A229" s="1">
        <v>45274</v>
      </c>
      <c r="B229" t="s">
        <v>234</v>
      </c>
      <c r="C229">
        <v>17653.11</v>
      </c>
      <c r="D229">
        <v>202312</v>
      </c>
      <c r="E229" s="1">
        <v>45280</v>
      </c>
      <c r="F229">
        <v>6</v>
      </c>
      <c r="G229">
        <v>1.5900000000000001E-2</v>
      </c>
    </row>
    <row r="230" spans="1:7" x14ac:dyDescent="0.3">
      <c r="A230" s="1">
        <v>45275</v>
      </c>
      <c r="B230" t="s">
        <v>235</v>
      </c>
      <c r="C230">
        <v>17673.87</v>
      </c>
      <c r="D230">
        <v>202312</v>
      </c>
      <c r="E230" s="1">
        <v>45280</v>
      </c>
      <c r="F230">
        <v>5</v>
      </c>
      <c r="G230">
        <v>1.5900000000000001E-2</v>
      </c>
    </row>
    <row r="231" spans="1:7" x14ac:dyDescent="0.3">
      <c r="A231" s="1">
        <v>45278</v>
      </c>
      <c r="B231" t="s">
        <v>236</v>
      </c>
      <c r="C231">
        <v>17652.03</v>
      </c>
      <c r="D231">
        <v>202312</v>
      </c>
      <c r="E231" s="1">
        <v>45280</v>
      </c>
      <c r="F231">
        <v>2</v>
      </c>
      <c r="G231">
        <v>1.5900000000000001E-2</v>
      </c>
    </row>
    <row r="232" spans="1:7" x14ac:dyDescent="0.3">
      <c r="A232" s="1">
        <v>45279</v>
      </c>
      <c r="B232" t="s">
        <v>237</v>
      </c>
      <c r="C232">
        <v>17576.55</v>
      </c>
      <c r="D232">
        <v>202401</v>
      </c>
      <c r="E232" s="1">
        <v>45308</v>
      </c>
      <c r="F232">
        <v>29</v>
      </c>
      <c r="G232">
        <v>1.5900000000000001E-2</v>
      </c>
    </row>
    <row r="233" spans="1:7" x14ac:dyDescent="0.3">
      <c r="A233" s="1">
        <v>45280</v>
      </c>
      <c r="B233" t="s">
        <v>238</v>
      </c>
      <c r="C233">
        <v>17635.2</v>
      </c>
      <c r="D233">
        <v>202401</v>
      </c>
      <c r="E233" s="1">
        <v>45308</v>
      </c>
      <c r="F233">
        <v>28</v>
      </c>
      <c r="G233">
        <v>1.5900000000000001E-2</v>
      </c>
    </row>
    <row r="234" spans="1:7" x14ac:dyDescent="0.3">
      <c r="A234" s="1">
        <v>45281</v>
      </c>
      <c r="B234" t="s">
        <v>239</v>
      </c>
      <c r="C234">
        <v>17543.740000000002</v>
      </c>
      <c r="D234">
        <v>202401</v>
      </c>
      <c r="E234" s="1">
        <v>45308</v>
      </c>
      <c r="F234">
        <v>27</v>
      </c>
      <c r="G234">
        <v>1.5900000000000001E-2</v>
      </c>
    </row>
    <row r="235" spans="1:7" x14ac:dyDescent="0.3">
      <c r="A235" s="1">
        <v>45282</v>
      </c>
      <c r="B235" t="s">
        <v>240</v>
      </c>
      <c r="C235">
        <v>17596.63</v>
      </c>
      <c r="D235">
        <v>202401</v>
      </c>
      <c r="E235" s="1">
        <v>45308</v>
      </c>
      <c r="F235">
        <v>26</v>
      </c>
      <c r="G235">
        <v>1.5900000000000001E-2</v>
      </c>
    </row>
    <row r="236" spans="1:7" x14ac:dyDescent="0.3">
      <c r="A236" s="1">
        <v>45285</v>
      </c>
      <c r="B236" t="s">
        <v>241</v>
      </c>
      <c r="C236">
        <v>17604.84</v>
      </c>
      <c r="D236">
        <v>202401</v>
      </c>
      <c r="E236" s="1">
        <v>45308</v>
      </c>
      <c r="F236">
        <v>23</v>
      </c>
      <c r="G236">
        <v>1.5900000000000001E-2</v>
      </c>
    </row>
    <row r="237" spans="1:7" x14ac:dyDescent="0.3">
      <c r="A237" s="1">
        <v>45286</v>
      </c>
      <c r="B237" t="s">
        <v>242</v>
      </c>
      <c r="C237">
        <v>17751.73</v>
      </c>
      <c r="D237">
        <v>202401</v>
      </c>
      <c r="E237" s="1">
        <v>45308</v>
      </c>
      <c r="F237">
        <v>22</v>
      </c>
      <c r="G237">
        <v>1.5900000000000001E-2</v>
      </c>
    </row>
    <row r="238" spans="1:7" x14ac:dyDescent="0.3">
      <c r="A238" s="1">
        <v>45287</v>
      </c>
      <c r="B238" t="s">
        <v>243</v>
      </c>
      <c r="C238">
        <v>17891.5</v>
      </c>
      <c r="D238">
        <v>202401</v>
      </c>
      <c r="E238" s="1">
        <v>45308</v>
      </c>
      <c r="F238">
        <v>21</v>
      </c>
      <c r="G238">
        <v>1.5900000000000001E-2</v>
      </c>
    </row>
    <row r="239" spans="1:7" x14ac:dyDescent="0.3">
      <c r="A239" s="1">
        <v>45288</v>
      </c>
      <c r="B239" t="s">
        <v>244</v>
      </c>
      <c r="C239">
        <v>17910.37</v>
      </c>
      <c r="D239">
        <v>202401</v>
      </c>
      <c r="E239" s="1">
        <v>45308</v>
      </c>
      <c r="F239">
        <v>20</v>
      </c>
      <c r="G239">
        <v>1.5900000000000001E-2</v>
      </c>
    </row>
    <row r="240" spans="1:7" x14ac:dyDescent="0.3">
      <c r="A240" s="1">
        <v>45289</v>
      </c>
      <c r="B240" t="s">
        <v>245</v>
      </c>
      <c r="C240">
        <v>17930.810000000001</v>
      </c>
      <c r="D240">
        <v>202401</v>
      </c>
      <c r="E240" s="1">
        <v>45308</v>
      </c>
      <c r="F240">
        <v>19</v>
      </c>
      <c r="G240">
        <v>1.5900000000000001E-2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E33A0-8230-4893-B722-BBB99B38850A}">
  <dimension ref="A1:W240"/>
  <sheetViews>
    <sheetView zoomScaleNormal="100" workbookViewId="0"/>
  </sheetViews>
  <sheetFormatPr defaultRowHeight="16.2" x14ac:dyDescent="0.3"/>
  <cols>
    <col min="3" max="3" width="12.5546875" style="2" bestFit="1" customWidth="1"/>
    <col min="5" max="5" width="26.88671875" style="2" customWidth="1"/>
    <col min="6" max="6" width="28.88671875" style="2" customWidth="1"/>
    <col min="7" max="7" width="11.77734375" style="2" bestFit="1" customWidth="1"/>
    <col min="9" max="9" width="11.77734375" style="2" bestFit="1" customWidth="1"/>
    <col min="10" max="10" width="16" style="2" customWidth="1"/>
    <col min="11" max="11" width="11.77734375" style="2" bestFit="1" customWidth="1"/>
    <col min="13" max="13" width="11.77734375" style="2" bestFit="1" customWidth="1"/>
    <col min="14" max="14" width="15.88671875" style="2" customWidth="1"/>
    <col min="15" max="15" width="10.88671875" style="2" customWidth="1"/>
    <col min="16" max="16" width="15.109375" customWidth="1"/>
    <col min="17" max="17" width="15.21875" customWidth="1"/>
    <col min="20" max="20" width="12.6640625" customWidth="1"/>
    <col min="21" max="21" width="15.6640625" customWidth="1"/>
    <col min="22" max="22" width="15.5546875" customWidth="1"/>
    <col min="23" max="23" width="27.21875" customWidth="1"/>
  </cols>
  <sheetData>
    <row r="1" spans="1:23" x14ac:dyDescent="0.3">
      <c r="A1" t="s">
        <v>0</v>
      </c>
      <c r="B1" t="s">
        <v>2</v>
      </c>
      <c r="C1" s="2" t="s">
        <v>246</v>
      </c>
      <c r="D1" t="s">
        <v>247</v>
      </c>
      <c r="E1" s="2" t="s">
        <v>248</v>
      </c>
      <c r="F1" s="2" t="s">
        <v>249</v>
      </c>
      <c r="G1" s="2" t="s">
        <v>250</v>
      </c>
      <c r="H1" s="2" t="s">
        <v>251</v>
      </c>
      <c r="I1" s="2" t="s">
        <v>252</v>
      </c>
      <c r="J1" s="2" t="s">
        <v>253</v>
      </c>
      <c r="K1" s="2" t="s">
        <v>254</v>
      </c>
      <c r="L1" s="2" t="s">
        <v>255</v>
      </c>
      <c r="M1" s="2" t="s">
        <v>256</v>
      </c>
      <c r="N1" s="2" t="s">
        <v>257</v>
      </c>
      <c r="O1" s="2" t="s">
        <v>258</v>
      </c>
      <c r="P1" s="2" t="s">
        <v>259</v>
      </c>
      <c r="Q1" s="2" t="s">
        <v>260</v>
      </c>
      <c r="R1" s="2" t="s">
        <v>261</v>
      </c>
      <c r="T1" s="2" t="s">
        <v>262</v>
      </c>
      <c r="U1" s="2" t="s">
        <v>263</v>
      </c>
    </row>
    <row r="2" spans="1:23" x14ac:dyDescent="0.3">
      <c r="A2" s="1">
        <v>44929</v>
      </c>
      <c r="B2">
        <v>14224.12</v>
      </c>
      <c r="O2" s="2">
        <f>B7/B2</f>
        <v>1.0406942573600333</v>
      </c>
      <c r="P2">
        <f>IF(O2 &gt;= 1.015, 1, 0)</f>
        <v>1</v>
      </c>
      <c r="Q2">
        <f>IF(O2&lt;=0.985,1,0)</f>
        <v>0</v>
      </c>
      <c r="R2">
        <f>MAX(P2,Q2)</f>
        <v>1</v>
      </c>
    </row>
    <row r="3" spans="1:23" x14ac:dyDescent="0.3">
      <c r="A3" s="1">
        <v>44930</v>
      </c>
      <c r="B3">
        <v>14199.13</v>
      </c>
      <c r="C3" s="2">
        <f>LN(B3/B2)</f>
        <v>-1.7584200567617738E-3</v>
      </c>
      <c r="D3">
        <f>DATEDIF(A2,A3,"d")</f>
        <v>1</v>
      </c>
      <c r="E3" s="2">
        <f>C3/D3</f>
        <v>-1.7584200567617738E-3</v>
      </c>
      <c r="F3" s="2">
        <f t="shared" ref="F3:F66" si="0">C3/SQRT(D3)</f>
        <v>-1.7584200567617738E-3</v>
      </c>
      <c r="O3" s="2">
        <f t="shared" ref="O3:O66" si="1">B8/B3</f>
        <v>1.0388974535763811</v>
      </c>
      <c r="P3">
        <f t="shared" ref="P3:P66" si="2">IF(O3 &gt;= 1.015, 1, 0)</f>
        <v>1</v>
      </c>
      <c r="Q3">
        <f t="shared" ref="Q3:Q66" si="3">IF(O3&lt;=0.985,1,0)</f>
        <v>0</v>
      </c>
      <c r="R3">
        <f t="shared" ref="R3:R66" si="4">MAX(P3,Q3)</f>
        <v>1</v>
      </c>
      <c r="U3" t="s">
        <v>259</v>
      </c>
      <c r="V3" t="s">
        <v>260</v>
      </c>
      <c r="W3" t="s">
        <v>266</v>
      </c>
    </row>
    <row r="4" spans="1:23" x14ac:dyDescent="0.3">
      <c r="A4" s="1">
        <v>44931</v>
      </c>
      <c r="B4">
        <v>14301.05</v>
      </c>
      <c r="C4" s="2">
        <f t="shared" ref="C4:C67" si="5">LN(B4/B3)</f>
        <v>7.1522660190444622E-3</v>
      </c>
      <c r="D4">
        <f t="shared" ref="D4:D67" si="6">DATEDIF(A3,A4,"d")</f>
        <v>1</v>
      </c>
      <c r="E4" s="2">
        <f t="shared" ref="E4:E67" si="7">C4/D4</f>
        <v>7.1522660190444622E-3</v>
      </c>
      <c r="F4" s="2">
        <f t="shared" si="0"/>
        <v>7.1522660190444622E-3</v>
      </c>
      <c r="O4" s="2">
        <f t="shared" si="1"/>
        <v>1.030108978012104</v>
      </c>
      <c r="P4">
        <f t="shared" si="2"/>
        <v>1</v>
      </c>
      <c r="Q4">
        <f t="shared" si="3"/>
        <v>0</v>
      </c>
      <c r="R4">
        <f t="shared" si="4"/>
        <v>1</v>
      </c>
      <c r="T4" t="s">
        <v>264</v>
      </c>
      <c r="U4">
        <f>COUNTIF(P2:P978,"=1")</f>
        <v>58</v>
      </c>
      <c r="V4">
        <f>COUNTIF(Q2:Q978,"=1")</f>
        <v>40</v>
      </c>
      <c r="W4">
        <f>COUNTIF(R2:R978,"=1")</f>
        <v>98</v>
      </c>
    </row>
    <row r="5" spans="1:23" x14ac:dyDescent="0.3">
      <c r="A5" s="1">
        <v>44932</v>
      </c>
      <c r="B5">
        <v>14373.34</v>
      </c>
      <c r="C5" s="2">
        <f t="shared" si="5"/>
        <v>5.0421406107275437E-3</v>
      </c>
      <c r="D5">
        <f t="shared" si="6"/>
        <v>1</v>
      </c>
      <c r="E5" s="2">
        <f t="shared" si="7"/>
        <v>5.0421406107275437E-3</v>
      </c>
      <c r="F5" s="2">
        <f t="shared" si="0"/>
        <v>5.0421406107275437E-3</v>
      </c>
      <c r="O5" s="2">
        <f t="shared" si="1"/>
        <v>1.0313629260839861</v>
      </c>
      <c r="P5">
        <f t="shared" si="2"/>
        <v>1</v>
      </c>
      <c r="Q5">
        <f t="shared" si="3"/>
        <v>0</v>
      </c>
      <c r="R5">
        <f t="shared" si="4"/>
        <v>1</v>
      </c>
      <c r="T5" t="s">
        <v>265</v>
      </c>
      <c r="U5">
        <f>COUNTIF(P2:P978,"=0")</f>
        <v>181</v>
      </c>
      <c r="V5">
        <f>COUNTIF(Q2:Q978,"=0")</f>
        <v>199</v>
      </c>
      <c r="W5">
        <f>COUNTIF(R2:R978,"=0")</f>
        <v>141</v>
      </c>
    </row>
    <row r="6" spans="1:23" x14ac:dyDescent="0.3">
      <c r="A6" s="1">
        <v>44935</v>
      </c>
      <c r="B6">
        <v>14752.21</v>
      </c>
      <c r="C6" s="2">
        <f t="shared" si="5"/>
        <v>2.6017800316416973E-2</v>
      </c>
      <c r="D6">
        <f t="shared" si="6"/>
        <v>3</v>
      </c>
      <c r="E6" s="2">
        <f t="shared" si="7"/>
        <v>8.6726001054723244E-3</v>
      </c>
      <c r="F6" s="2">
        <f t="shared" si="0"/>
        <v>1.502138401640527E-2</v>
      </c>
      <c r="O6" s="2">
        <f t="shared" si="1"/>
        <v>1.0118490721051288</v>
      </c>
      <c r="P6">
        <f t="shared" si="2"/>
        <v>0</v>
      </c>
      <c r="Q6">
        <f t="shared" si="3"/>
        <v>0</v>
      </c>
      <c r="R6">
        <f t="shared" si="4"/>
        <v>0</v>
      </c>
      <c r="U6">
        <f>SUM(U4:U5)</f>
        <v>239</v>
      </c>
      <c r="V6">
        <f>SUM(V4:V5)</f>
        <v>239</v>
      </c>
      <c r="W6">
        <f>SUM(W4:W5)</f>
        <v>239</v>
      </c>
    </row>
    <row r="7" spans="1:23" x14ac:dyDescent="0.3">
      <c r="A7" s="1">
        <v>44936</v>
      </c>
      <c r="B7">
        <v>14802.96</v>
      </c>
      <c r="C7" s="2">
        <f t="shared" si="5"/>
        <v>3.434258701901722E-3</v>
      </c>
      <c r="D7">
        <f t="shared" si="6"/>
        <v>1</v>
      </c>
      <c r="E7" s="2">
        <f t="shared" si="7"/>
        <v>3.434258701901722E-3</v>
      </c>
      <c r="F7" s="2">
        <f t="shared" si="0"/>
        <v>3.434258701901722E-3</v>
      </c>
      <c r="O7" s="2">
        <f t="shared" si="1"/>
        <v>1.0087800007566055</v>
      </c>
      <c r="P7">
        <f t="shared" si="2"/>
        <v>0</v>
      </c>
      <c r="Q7">
        <f t="shared" si="3"/>
        <v>0</v>
      </c>
      <c r="R7">
        <f t="shared" si="4"/>
        <v>0</v>
      </c>
    </row>
    <row r="8" spans="1:23" x14ac:dyDescent="0.3">
      <c r="A8" s="1">
        <v>44937</v>
      </c>
      <c r="B8">
        <v>14751.44</v>
      </c>
      <c r="C8" s="2">
        <f t="shared" si="5"/>
        <v>-3.4864556334796991E-3</v>
      </c>
      <c r="D8">
        <f t="shared" si="6"/>
        <v>1</v>
      </c>
      <c r="E8" s="2">
        <f t="shared" si="7"/>
        <v>-3.4864556334796991E-3</v>
      </c>
      <c r="F8" s="2">
        <f t="shared" si="0"/>
        <v>-3.4864556334796991E-3</v>
      </c>
      <c r="O8" s="2">
        <f t="shared" si="1"/>
        <v>1.05032593428167</v>
      </c>
      <c r="P8">
        <f t="shared" si="2"/>
        <v>1</v>
      </c>
      <c r="Q8">
        <f t="shared" si="3"/>
        <v>0</v>
      </c>
      <c r="R8">
        <f t="shared" si="4"/>
        <v>1</v>
      </c>
    </row>
    <row r="9" spans="1:23" x14ac:dyDescent="0.3">
      <c r="A9" s="1">
        <v>44938</v>
      </c>
      <c r="B9">
        <v>14731.64</v>
      </c>
      <c r="C9" s="2">
        <f t="shared" si="5"/>
        <v>-1.3431434556130748E-3</v>
      </c>
      <c r="D9">
        <f t="shared" si="6"/>
        <v>1</v>
      </c>
      <c r="E9" s="2">
        <f t="shared" si="7"/>
        <v>-1.3431434556130748E-3</v>
      </c>
      <c r="F9" s="2">
        <f t="shared" si="0"/>
        <v>-1.3431434556130748E-3</v>
      </c>
      <c r="O9" s="2">
        <f t="shared" si="1"/>
        <v>1.0362186423235975</v>
      </c>
      <c r="P9">
        <f t="shared" si="2"/>
        <v>1</v>
      </c>
      <c r="Q9">
        <f t="shared" si="3"/>
        <v>0</v>
      </c>
      <c r="R9">
        <f t="shared" si="4"/>
        <v>1</v>
      </c>
    </row>
    <row r="10" spans="1:23" x14ac:dyDescent="0.3">
      <c r="A10" s="1">
        <v>44939</v>
      </c>
      <c r="B10">
        <v>14824.13</v>
      </c>
      <c r="C10" s="2">
        <f t="shared" si="5"/>
        <v>6.2586968238343707E-3</v>
      </c>
      <c r="D10">
        <f t="shared" si="6"/>
        <v>1</v>
      </c>
      <c r="E10" s="2">
        <f t="shared" si="7"/>
        <v>6.2586968238343707E-3</v>
      </c>
      <c r="F10" s="2">
        <f t="shared" si="0"/>
        <v>6.2586968238343707E-3</v>
      </c>
      <c r="O10" s="2">
        <f t="shared" si="1"/>
        <v>1.0402047202770077</v>
      </c>
      <c r="P10">
        <f t="shared" si="2"/>
        <v>1</v>
      </c>
      <c r="Q10">
        <f t="shared" si="3"/>
        <v>0</v>
      </c>
      <c r="R10">
        <f t="shared" si="4"/>
        <v>1</v>
      </c>
    </row>
    <row r="11" spans="1:23" x14ac:dyDescent="0.3">
      <c r="A11" s="1">
        <v>44942</v>
      </c>
      <c r="B11">
        <v>14927.01</v>
      </c>
      <c r="C11" s="2">
        <f t="shared" si="5"/>
        <v>6.9160650703789274E-3</v>
      </c>
      <c r="D11">
        <f t="shared" si="6"/>
        <v>3</v>
      </c>
      <c r="E11" s="2">
        <f t="shared" si="7"/>
        <v>2.3053550234596425E-3</v>
      </c>
      <c r="F11" s="2">
        <f t="shared" si="0"/>
        <v>3.9929920301162419E-3</v>
      </c>
      <c r="O11" s="2">
        <f t="shared" si="1"/>
        <v>1.0447611410456614</v>
      </c>
      <c r="P11">
        <f t="shared" si="2"/>
        <v>1</v>
      </c>
      <c r="Q11">
        <f t="shared" si="3"/>
        <v>0</v>
      </c>
      <c r="R11">
        <f t="shared" si="4"/>
        <v>1</v>
      </c>
    </row>
    <row r="12" spans="1:23" x14ac:dyDescent="0.3">
      <c r="A12" s="1">
        <v>44943</v>
      </c>
      <c r="B12">
        <v>14932.93</v>
      </c>
      <c r="C12" s="2">
        <f t="shared" si="5"/>
        <v>3.9651788165446741E-4</v>
      </c>
      <c r="D12">
        <f t="shared" si="6"/>
        <v>1</v>
      </c>
      <c r="E12" s="2">
        <f t="shared" si="7"/>
        <v>3.9651788165446741E-4</v>
      </c>
      <c r="F12" s="2">
        <f t="shared" si="0"/>
        <v>3.9651788165446741E-4</v>
      </c>
      <c r="O12" s="2">
        <f t="shared" si="1"/>
        <v>1.0448492024003326</v>
      </c>
      <c r="P12">
        <f t="shared" si="2"/>
        <v>1</v>
      </c>
      <c r="Q12">
        <f t="shared" si="3"/>
        <v>0</v>
      </c>
      <c r="R12">
        <f t="shared" si="4"/>
        <v>1</v>
      </c>
    </row>
    <row r="13" spans="1:23" x14ac:dyDescent="0.3">
      <c r="A13" s="1">
        <v>44956</v>
      </c>
      <c r="B13">
        <v>15493.82</v>
      </c>
      <c r="C13" s="2">
        <f t="shared" si="5"/>
        <v>3.6872393282433462E-2</v>
      </c>
      <c r="D13">
        <f t="shared" si="6"/>
        <v>13</v>
      </c>
      <c r="E13" s="2">
        <f t="shared" si="7"/>
        <v>2.8363379448025738E-3</v>
      </c>
      <c r="F13" s="2">
        <f t="shared" si="0"/>
        <v>1.0226561894529831E-2</v>
      </c>
      <c r="O13" s="2">
        <f t="shared" si="1"/>
        <v>0.99348127188775914</v>
      </c>
      <c r="P13">
        <f t="shared" si="2"/>
        <v>0</v>
      </c>
      <c r="Q13">
        <f t="shared" si="3"/>
        <v>0</v>
      </c>
      <c r="R13">
        <f t="shared" si="4"/>
        <v>0</v>
      </c>
    </row>
    <row r="14" spans="1:23" x14ac:dyDescent="0.3">
      <c r="A14" s="1">
        <v>44957</v>
      </c>
      <c r="B14">
        <v>15265.2</v>
      </c>
      <c r="C14" s="2">
        <f t="shared" si="5"/>
        <v>-1.4865506773915693E-2</v>
      </c>
      <c r="D14">
        <f t="shared" si="6"/>
        <v>1</v>
      </c>
      <c r="E14" s="2">
        <f t="shared" si="7"/>
        <v>-1.4865506773915693E-2</v>
      </c>
      <c r="F14" s="2">
        <f t="shared" si="0"/>
        <v>-1.4865506773915693E-2</v>
      </c>
      <c r="O14" s="2">
        <f t="shared" si="1"/>
        <v>1.0088901553861069</v>
      </c>
      <c r="P14">
        <f t="shared" si="2"/>
        <v>0</v>
      </c>
      <c r="Q14">
        <f t="shared" si="3"/>
        <v>0</v>
      </c>
      <c r="R14">
        <f t="shared" si="4"/>
        <v>0</v>
      </c>
    </row>
    <row r="15" spans="1:23" x14ac:dyDescent="0.3">
      <c r="A15" s="1">
        <v>44958</v>
      </c>
      <c r="B15">
        <v>15420.13</v>
      </c>
      <c r="C15" s="2">
        <f t="shared" si="5"/>
        <v>1.0098070741215328E-2</v>
      </c>
      <c r="D15">
        <f t="shared" si="6"/>
        <v>1</v>
      </c>
      <c r="E15" s="2">
        <f t="shared" si="7"/>
        <v>1.0098070741215328E-2</v>
      </c>
      <c r="F15" s="2">
        <f t="shared" si="0"/>
        <v>1.0098070741215328E-2</v>
      </c>
      <c r="O15" s="2">
        <f t="shared" si="1"/>
        <v>1.0128429526858724</v>
      </c>
      <c r="P15">
        <f t="shared" si="2"/>
        <v>0</v>
      </c>
      <c r="Q15">
        <f t="shared" si="3"/>
        <v>0</v>
      </c>
      <c r="R15">
        <f t="shared" si="4"/>
        <v>0</v>
      </c>
    </row>
    <row r="16" spans="1:23" x14ac:dyDescent="0.3">
      <c r="A16" s="1">
        <v>44959</v>
      </c>
      <c r="B16">
        <v>15595.16</v>
      </c>
      <c r="C16" s="2">
        <f t="shared" si="5"/>
        <v>1.1286810996513593E-2</v>
      </c>
      <c r="D16">
        <f t="shared" si="6"/>
        <v>1</v>
      </c>
      <c r="E16" s="2">
        <f t="shared" si="7"/>
        <v>1.1286810996513593E-2</v>
      </c>
      <c r="F16" s="2">
        <f t="shared" si="0"/>
        <v>1.1286810996513593E-2</v>
      </c>
      <c r="O16" s="2">
        <f t="shared" si="1"/>
        <v>1.0002276347276975</v>
      </c>
      <c r="P16">
        <f t="shared" si="2"/>
        <v>0</v>
      </c>
      <c r="Q16">
        <f t="shared" si="3"/>
        <v>0</v>
      </c>
      <c r="R16">
        <f t="shared" si="4"/>
        <v>0</v>
      </c>
    </row>
    <row r="17" spans="1:18" x14ac:dyDescent="0.3">
      <c r="A17" s="1">
        <v>44960</v>
      </c>
      <c r="B17">
        <v>15602.66</v>
      </c>
      <c r="C17" s="2">
        <f t="shared" si="5"/>
        <v>4.8080283458797513E-4</v>
      </c>
      <c r="D17">
        <f t="shared" si="6"/>
        <v>1</v>
      </c>
      <c r="E17" s="2">
        <f t="shared" si="7"/>
        <v>4.8080283458797513E-4</v>
      </c>
      <c r="F17" s="2">
        <f t="shared" si="0"/>
        <v>4.8080283458797513E-4</v>
      </c>
      <c r="O17" s="2">
        <f t="shared" si="1"/>
        <v>0.99897389291313143</v>
      </c>
      <c r="P17">
        <f t="shared" si="2"/>
        <v>0</v>
      </c>
      <c r="Q17">
        <f t="shared" si="3"/>
        <v>0</v>
      </c>
      <c r="R17">
        <f t="shared" si="4"/>
        <v>0</v>
      </c>
    </row>
    <row r="18" spans="1:18" x14ac:dyDescent="0.3">
      <c r="A18" s="1">
        <v>44963</v>
      </c>
      <c r="B18">
        <v>15392.82</v>
      </c>
      <c r="C18" s="2">
        <f t="shared" si="5"/>
        <v>-1.3540245607752355E-2</v>
      </c>
      <c r="D18">
        <f t="shared" si="6"/>
        <v>3</v>
      </c>
      <c r="E18" s="2">
        <f t="shared" si="7"/>
        <v>-4.5134152025841185E-3</v>
      </c>
      <c r="F18" s="2">
        <f t="shared" si="0"/>
        <v>-7.817464446529471E-3</v>
      </c>
      <c r="O18" s="2">
        <f t="shared" si="1"/>
        <v>1.0098396525133146</v>
      </c>
      <c r="P18">
        <f t="shared" si="2"/>
        <v>0</v>
      </c>
      <c r="Q18">
        <f t="shared" si="3"/>
        <v>0</v>
      </c>
      <c r="R18">
        <f t="shared" si="4"/>
        <v>0</v>
      </c>
    </row>
    <row r="19" spans="1:18" x14ac:dyDescent="0.3">
      <c r="A19" s="1">
        <v>44964</v>
      </c>
      <c r="B19">
        <v>15400.91</v>
      </c>
      <c r="C19" s="2">
        <f t="shared" si="5"/>
        <v>5.2543165028222231E-4</v>
      </c>
      <c r="D19">
        <f t="shared" si="6"/>
        <v>1</v>
      </c>
      <c r="E19" s="2">
        <f t="shared" si="7"/>
        <v>5.2543165028222231E-4</v>
      </c>
      <c r="F19" s="2">
        <f t="shared" si="0"/>
        <v>5.2543165028222231E-4</v>
      </c>
      <c r="O19" s="2">
        <f t="shared" si="1"/>
        <v>1.0164646115067226</v>
      </c>
      <c r="P19">
        <f t="shared" si="2"/>
        <v>1</v>
      </c>
      <c r="Q19">
        <f t="shared" si="3"/>
        <v>0</v>
      </c>
      <c r="R19">
        <f t="shared" si="4"/>
        <v>1</v>
      </c>
    </row>
    <row r="20" spans="1:18" x14ac:dyDescent="0.3">
      <c r="A20" s="1">
        <v>44965</v>
      </c>
      <c r="B20">
        <v>15618.17</v>
      </c>
      <c r="C20" s="2">
        <f t="shared" si="5"/>
        <v>1.4008381474792645E-2</v>
      </c>
      <c r="D20">
        <f t="shared" si="6"/>
        <v>1</v>
      </c>
      <c r="E20" s="2">
        <f t="shared" si="7"/>
        <v>1.4008381474792645E-2</v>
      </c>
      <c r="F20" s="2">
        <f t="shared" si="0"/>
        <v>1.4008381474792645E-2</v>
      </c>
      <c r="O20" s="2">
        <f t="shared" si="1"/>
        <v>0.98813689439927976</v>
      </c>
      <c r="P20">
        <f t="shared" si="2"/>
        <v>0</v>
      </c>
      <c r="Q20">
        <f t="shared" si="3"/>
        <v>0</v>
      </c>
      <c r="R20">
        <f t="shared" si="4"/>
        <v>0</v>
      </c>
    </row>
    <row r="21" spans="1:18" x14ac:dyDescent="0.3">
      <c r="A21" s="1">
        <v>44966</v>
      </c>
      <c r="B21">
        <v>15598.71</v>
      </c>
      <c r="C21" s="2">
        <f t="shared" si="5"/>
        <v>-1.2467615290664656E-3</v>
      </c>
      <c r="D21">
        <f t="shared" si="6"/>
        <v>1</v>
      </c>
      <c r="E21" s="2">
        <f t="shared" si="7"/>
        <v>-1.2467615290664656E-3</v>
      </c>
      <c r="F21" s="2">
        <f t="shared" si="0"/>
        <v>-1.2467615290664656E-3</v>
      </c>
      <c r="O21" s="2">
        <f t="shared" si="1"/>
        <v>0.99690935981244611</v>
      </c>
      <c r="P21">
        <f t="shared" si="2"/>
        <v>0</v>
      </c>
      <c r="Q21">
        <f t="shared" si="3"/>
        <v>0</v>
      </c>
      <c r="R21">
        <f t="shared" si="4"/>
        <v>0</v>
      </c>
    </row>
    <row r="22" spans="1:18" x14ac:dyDescent="0.3">
      <c r="A22" s="1">
        <v>44967</v>
      </c>
      <c r="B22">
        <v>15586.65</v>
      </c>
      <c r="C22" s="2">
        <f t="shared" si="5"/>
        <v>-7.7343988340681049E-4</v>
      </c>
      <c r="D22">
        <f t="shared" si="6"/>
        <v>1</v>
      </c>
      <c r="E22" s="2">
        <f t="shared" si="7"/>
        <v>-7.7343988340681049E-4</v>
      </c>
      <c r="F22" s="2">
        <f t="shared" si="0"/>
        <v>-7.7343988340681049E-4</v>
      </c>
      <c r="O22" s="2">
        <f t="shared" si="1"/>
        <v>0.99313835878780887</v>
      </c>
      <c r="P22">
        <f t="shared" si="2"/>
        <v>0</v>
      </c>
      <c r="Q22">
        <f t="shared" si="3"/>
        <v>0</v>
      </c>
      <c r="R22">
        <f t="shared" si="4"/>
        <v>0</v>
      </c>
    </row>
    <row r="23" spans="1:18" x14ac:dyDescent="0.3">
      <c r="A23" s="1">
        <v>44970</v>
      </c>
      <c r="B23">
        <v>15544.28</v>
      </c>
      <c r="C23" s="2">
        <f t="shared" si="5"/>
        <v>-2.7220533509258096E-3</v>
      </c>
      <c r="D23">
        <f t="shared" si="6"/>
        <v>3</v>
      </c>
      <c r="E23" s="2">
        <f t="shared" si="7"/>
        <v>-9.0735111697526989E-4</v>
      </c>
      <c r="F23" s="2">
        <f t="shared" si="0"/>
        <v>-1.5715782349055392E-3</v>
      </c>
      <c r="O23" s="2">
        <f t="shared" si="1"/>
        <v>1.0004471098050214</v>
      </c>
      <c r="P23">
        <f t="shared" si="2"/>
        <v>0</v>
      </c>
      <c r="Q23">
        <f t="shared" si="3"/>
        <v>0</v>
      </c>
      <c r="R23">
        <f t="shared" si="4"/>
        <v>0</v>
      </c>
    </row>
    <row r="24" spans="1:18" x14ac:dyDescent="0.3">
      <c r="A24" s="1">
        <v>44971</v>
      </c>
      <c r="B24">
        <v>15654.48</v>
      </c>
      <c r="C24" s="2">
        <f t="shared" si="5"/>
        <v>7.0644127075806555E-3</v>
      </c>
      <c r="D24">
        <f t="shared" si="6"/>
        <v>1</v>
      </c>
      <c r="E24" s="2">
        <f t="shared" si="7"/>
        <v>7.0644127075806555E-3</v>
      </c>
      <c r="F24" s="2">
        <f t="shared" si="0"/>
        <v>7.0644127075806555E-3</v>
      </c>
      <c r="O24" s="2">
        <f t="shared" si="1"/>
        <v>0.99415630541544664</v>
      </c>
      <c r="P24">
        <f t="shared" si="2"/>
        <v>0</v>
      </c>
      <c r="Q24">
        <f t="shared" si="3"/>
        <v>0</v>
      </c>
      <c r="R24">
        <f t="shared" si="4"/>
        <v>0</v>
      </c>
    </row>
    <row r="25" spans="1:18" x14ac:dyDescent="0.3">
      <c r="A25" s="1">
        <v>44972</v>
      </c>
      <c r="B25">
        <v>15432.89</v>
      </c>
      <c r="C25" s="2">
        <f t="shared" si="5"/>
        <v>-1.4256191692305792E-2</v>
      </c>
      <c r="D25">
        <f t="shared" si="6"/>
        <v>1</v>
      </c>
      <c r="E25" s="2">
        <f t="shared" si="7"/>
        <v>-1.4256191692305792E-2</v>
      </c>
      <c r="F25" s="2">
        <f t="shared" si="0"/>
        <v>-1.4256191692305792E-2</v>
      </c>
      <c r="O25" s="2">
        <f t="shared" si="1"/>
        <v>0.99908507091024434</v>
      </c>
      <c r="P25">
        <f t="shared" si="2"/>
        <v>0</v>
      </c>
      <c r="Q25">
        <f t="shared" si="3"/>
        <v>0</v>
      </c>
      <c r="R25">
        <f t="shared" si="4"/>
        <v>0</v>
      </c>
    </row>
    <row r="26" spans="1:18" x14ac:dyDescent="0.3">
      <c r="A26" s="1">
        <v>44973</v>
      </c>
      <c r="B26">
        <v>15550.5</v>
      </c>
      <c r="C26" s="2">
        <f t="shared" si="5"/>
        <v>7.5918461395954231E-3</v>
      </c>
      <c r="D26">
        <f t="shared" si="6"/>
        <v>1</v>
      </c>
      <c r="E26" s="2">
        <f t="shared" si="7"/>
        <v>7.5918461395954231E-3</v>
      </c>
      <c r="F26" s="2">
        <f t="shared" si="0"/>
        <v>7.5918461395954231E-3</v>
      </c>
      <c r="O26" s="2">
        <f t="shared" si="1"/>
        <v>1.0041741423105366</v>
      </c>
      <c r="P26">
        <f t="shared" si="2"/>
        <v>0</v>
      </c>
      <c r="Q26">
        <f t="shared" si="3"/>
        <v>0</v>
      </c>
      <c r="R26">
        <f t="shared" si="4"/>
        <v>0</v>
      </c>
    </row>
    <row r="27" spans="1:18" x14ac:dyDescent="0.3">
      <c r="A27" s="1">
        <v>44974</v>
      </c>
      <c r="B27">
        <v>15479.7</v>
      </c>
      <c r="C27" s="2">
        <f t="shared" si="5"/>
        <v>-4.563304320311142E-3</v>
      </c>
      <c r="D27">
        <f t="shared" si="6"/>
        <v>1</v>
      </c>
      <c r="E27" s="2">
        <f t="shared" si="7"/>
        <v>-4.563304320311142E-3</v>
      </c>
      <c r="F27" s="2">
        <f t="shared" si="0"/>
        <v>-4.563304320311142E-3</v>
      </c>
      <c r="O27" s="2">
        <f t="shared" si="1"/>
        <v>1.0015562317099169</v>
      </c>
      <c r="P27">
        <f t="shared" si="2"/>
        <v>0</v>
      </c>
      <c r="Q27">
        <f t="shared" si="3"/>
        <v>0</v>
      </c>
      <c r="R27">
        <f t="shared" si="4"/>
        <v>0</v>
      </c>
    </row>
    <row r="28" spans="1:18" x14ac:dyDescent="0.3">
      <c r="A28" s="1">
        <v>44977</v>
      </c>
      <c r="B28">
        <v>15551.23</v>
      </c>
      <c r="C28" s="2">
        <f t="shared" si="5"/>
        <v>4.6102470466568481E-3</v>
      </c>
      <c r="D28">
        <f t="shared" si="6"/>
        <v>3</v>
      </c>
      <c r="E28" s="2">
        <f t="shared" si="7"/>
        <v>1.5367490155522828E-3</v>
      </c>
      <c r="F28" s="2">
        <f t="shared" si="0"/>
        <v>2.6617273734180088E-3</v>
      </c>
      <c r="O28" s="2">
        <f t="shared" si="1"/>
        <v>1.0030389879128532</v>
      </c>
      <c r="P28">
        <f t="shared" si="2"/>
        <v>0</v>
      </c>
      <c r="Q28">
        <f t="shared" si="3"/>
        <v>0</v>
      </c>
      <c r="R28">
        <f t="shared" si="4"/>
        <v>0</v>
      </c>
    </row>
    <row r="29" spans="1:18" x14ac:dyDescent="0.3">
      <c r="A29" s="1">
        <v>44978</v>
      </c>
      <c r="B29">
        <v>15563</v>
      </c>
      <c r="C29" s="2">
        <f t="shared" si="5"/>
        <v>7.5656704738776915E-4</v>
      </c>
      <c r="D29">
        <f t="shared" si="6"/>
        <v>1</v>
      </c>
      <c r="E29" s="2">
        <f t="shared" si="7"/>
        <v>7.5656704738776915E-4</v>
      </c>
      <c r="F29" s="2">
        <f t="shared" si="0"/>
        <v>7.5656704738776915E-4</v>
      </c>
      <c r="O29" s="2">
        <f t="shared" si="1"/>
        <v>1.0022951873032191</v>
      </c>
      <c r="P29">
        <f t="shared" si="2"/>
        <v>0</v>
      </c>
      <c r="Q29">
        <f t="shared" si="3"/>
        <v>0</v>
      </c>
      <c r="R29">
        <f t="shared" si="4"/>
        <v>0</v>
      </c>
    </row>
    <row r="30" spans="1:18" x14ac:dyDescent="0.3">
      <c r="A30" s="1">
        <v>44979</v>
      </c>
      <c r="B30">
        <v>15418.77</v>
      </c>
      <c r="C30" s="2">
        <f t="shared" si="5"/>
        <v>-9.3107038061739089E-3</v>
      </c>
      <c r="D30">
        <f t="shared" si="6"/>
        <v>1</v>
      </c>
      <c r="E30" s="2">
        <f t="shared" si="7"/>
        <v>-9.3107038061739089E-3</v>
      </c>
      <c r="F30" s="2">
        <f t="shared" si="0"/>
        <v>-9.3107038061739089E-3</v>
      </c>
      <c r="O30" s="2">
        <f t="shared" si="1"/>
        <v>1.0122999435104096</v>
      </c>
      <c r="P30">
        <f t="shared" si="2"/>
        <v>0</v>
      </c>
      <c r="Q30">
        <f t="shared" si="3"/>
        <v>0</v>
      </c>
      <c r="R30">
        <f t="shared" si="4"/>
        <v>0</v>
      </c>
    </row>
    <row r="31" spans="1:18" x14ac:dyDescent="0.3">
      <c r="A31" s="1">
        <v>44980</v>
      </c>
      <c r="B31">
        <v>15615.41</v>
      </c>
      <c r="C31" s="2">
        <f t="shared" si="5"/>
        <v>1.2672648777993843E-2</v>
      </c>
      <c r="D31">
        <f t="shared" si="6"/>
        <v>1</v>
      </c>
      <c r="E31" s="2">
        <f t="shared" si="7"/>
        <v>1.2672648777993843E-2</v>
      </c>
      <c r="F31" s="2">
        <f t="shared" si="0"/>
        <v>1.2672648777993843E-2</v>
      </c>
      <c r="O31" s="2">
        <f t="shared" si="1"/>
        <v>1.0094842210355028</v>
      </c>
      <c r="P31">
        <f t="shared" si="2"/>
        <v>0</v>
      </c>
      <c r="Q31">
        <f t="shared" si="3"/>
        <v>0</v>
      </c>
      <c r="R31">
        <f t="shared" si="4"/>
        <v>0</v>
      </c>
    </row>
    <row r="32" spans="1:18" x14ac:dyDescent="0.3">
      <c r="A32" s="1">
        <v>44981</v>
      </c>
      <c r="B32">
        <v>15503.79</v>
      </c>
      <c r="C32" s="2">
        <f t="shared" si="5"/>
        <v>-7.1737370296560852E-3</v>
      </c>
      <c r="D32">
        <f t="shared" si="6"/>
        <v>1</v>
      </c>
      <c r="E32" s="2">
        <f t="shared" si="7"/>
        <v>-7.1737370296560852E-3</v>
      </c>
      <c r="F32" s="2">
        <f t="shared" si="0"/>
        <v>-7.1737370296560852E-3</v>
      </c>
      <c r="O32" s="2">
        <f t="shared" si="1"/>
        <v>1.0228395766454523</v>
      </c>
      <c r="P32">
        <f t="shared" si="2"/>
        <v>1</v>
      </c>
      <c r="Q32">
        <f t="shared" si="3"/>
        <v>0</v>
      </c>
      <c r="R32">
        <f t="shared" si="4"/>
        <v>1</v>
      </c>
    </row>
    <row r="33" spans="1:18" x14ac:dyDescent="0.3">
      <c r="A33" s="1">
        <v>44986</v>
      </c>
      <c r="B33">
        <v>15598.49</v>
      </c>
      <c r="C33" s="2">
        <f t="shared" si="5"/>
        <v>6.0896045337338785E-3</v>
      </c>
      <c r="D33">
        <f t="shared" si="6"/>
        <v>5</v>
      </c>
      <c r="E33" s="2">
        <f t="shared" si="7"/>
        <v>1.2179209067467757E-3</v>
      </c>
      <c r="F33" s="2">
        <f t="shared" si="0"/>
        <v>2.7233539387039726E-3</v>
      </c>
      <c r="O33" s="2">
        <f t="shared" si="1"/>
        <v>1.0140853377474359</v>
      </c>
      <c r="P33">
        <f t="shared" si="2"/>
        <v>0</v>
      </c>
      <c r="Q33">
        <f t="shared" si="3"/>
        <v>0</v>
      </c>
      <c r="R33">
        <f t="shared" si="4"/>
        <v>0</v>
      </c>
    </row>
    <row r="34" spans="1:18" x14ac:dyDescent="0.3">
      <c r="A34" s="1">
        <v>44987</v>
      </c>
      <c r="B34">
        <v>15598.72</v>
      </c>
      <c r="C34" s="2">
        <f t="shared" si="5"/>
        <v>1.4744908278923444E-5</v>
      </c>
      <c r="D34">
        <f t="shared" si="6"/>
        <v>1</v>
      </c>
      <c r="E34" s="2">
        <f t="shared" si="7"/>
        <v>1.4744908278923444E-5</v>
      </c>
      <c r="F34" s="2">
        <f t="shared" si="0"/>
        <v>1.4744908278923444E-5</v>
      </c>
      <c r="O34" s="2">
        <f t="shared" si="1"/>
        <v>1.0110226992984039</v>
      </c>
      <c r="P34">
        <f t="shared" si="2"/>
        <v>0</v>
      </c>
      <c r="Q34">
        <f t="shared" si="3"/>
        <v>0</v>
      </c>
      <c r="R34">
        <f t="shared" si="4"/>
        <v>0</v>
      </c>
    </row>
    <row r="35" spans="1:18" x14ac:dyDescent="0.3">
      <c r="A35" s="1">
        <v>44988</v>
      </c>
      <c r="B35">
        <v>15608.42</v>
      </c>
      <c r="C35" s="2">
        <f t="shared" si="5"/>
        <v>6.2165262900615325E-4</v>
      </c>
      <c r="D35">
        <f t="shared" si="6"/>
        <v>1</v>
      </c>
      <c r="E35" s="2">
        <f t="shared" si="7"/>
        <v>6.2165262900615325E-4</v>
      </c>
      <c r="F35" s="2">
        <f t="shared" si="0"/>
        <v>6.2165262900615325E-4</v>
      </c>
      <c r="O35" s="2">
        <f t="shared" si="1"/>
        <v>0.99473233037040265</v>
      </c>
      <c r="P35">
        <f t="shared" si="2"/>
        <v>0</v>
      </c>
      <c r="Q35">
        <f t="shared" si="3"/>
        <v>0</v>
      </c>
      <c r="R35">
        <f t="shared" si="4"/>
        <v>0</v>
      </c>
    </row>
    <row r="36" spans="1:18" x14ac:dyDescent="0.3">
      <c r="A36" s="1">
        <v>44991</v>
      </c>
      <c r="B36">
        <v>15763.51</v>
      </c>
      <c r="C36" s="2">
        <f t="shared" si="5"/>
        <v>9.8872631322502302E-3</v>
      </c>
      <c r="D36">
        <f t="shared" si="6"/>
        <v>3</v>
      </c>
      <c r="E36" s="2">
        <f t="shared" si="7"/>
        <v>3.2957543774167434E-3</v>
      </c>
      <c r="F36" s="2">
        <f t="shared" si="0"/>
        <v>5.708414030953333E-3</v>
      </c>
      <c r="O36" s="2">
        <f t="shared" si="1"/>
        <v>0.98712088868532455</v>
      </c>
      <c r="P36">
        <f t="shared" si="2"/>
        <v>0</v>
      </c>
      <c r="Q36">
        <f t="shared" si="3"/>
        <v>0</v>
      </c>
      <c r="R36">
        <f t="shared" si="4"/>
        <v>0</v>
      </c>
    </row>
    <row r="37" spans="1:18" x14ac:dyDescent="0.3">
      <c r="A37" s="1">
        <v>44992</v>
      </c>
      <c r="B37">
        <v>15857.89</v>
      </c>
      <c r="C37" s="2">
        <f t="shared" si="5"/>
        <v>5.9693928958554849E-3</v>
      </c>
      <c r="D37">
        <f t="shared" si="6"/>
        <v>1</v>
      </c>
      <c r="E37" s="2">
        <f t="shared" si="7"/>
        <v>5.9693928958554849E-3</v>
      </c>
      <c r="F37" s="2">
        <f t="shared" si="0"/>
        <v>5.9693928958554849E-3</v>
      </c>
      <c r="O37" s="2">
        <f t="shared" si="1"/>
        <v>0.96862949610572402</v>
      </c>
      <c r="P37">
        <f t="shared" si="2"/>
        <v>0</v>
      </c>
      <c r="Q37">
        <f t="shared" si="3"/>
        <v>1</v>
      </c>
      <c r="R37">
        <f t="shared" si="4"/>
        <v>1</v>
      </c>
    </row>
    <row r="38" spans="1:18" x14ac:dyDescent="0.3">
      <c r="A38" s="1">
        <v>44993</v>
      </c>
      <c r="B38">
        <v>15818.2</v>
      </c>
      <c r="C38" s="2">
        <f t="shared" si="5"/>
        <v>-2.5059924233761539E-3</v>
      </c>
      <c r="D38">
        <f t="shared" si="6"/>
        <v>1</v>
      </c>
      <c r="E38" s="2">
        <f t="shared" si="7"/>
        <v>-2.5059924233761539E-3</v>
      </c>
      <c r="F38" s="2">
        <f t="shared" si="0"/>
        <v>-2.5059924233761539E-3</v>
      </c>
      <c r="O38" s="2">
        <f t="shared" si="1"/>
        <v>0.97277756002579308</v>
      </c>
      <c r="P38">
        <f t="shared" si="2"/>
        <v>0</v>
      </c>
      <c r="Q38">
        <f t="shared" si="3"/>
        <v>1</v>
      </c>
      <c r="R38">
        <f t="shared" si="4"/>
        <v>1</v>
      </c>
    </row>
    <row r="39" spans="1:18" x14ac:dyDescent="0.3">
      <c r="A39" s="1">
        <v>44994</v>
      </c>
      <c r="B39">
        <v>15770.66</v>
      </c>
      <c r="C39" s="2">
        <f t="shared" si="5"/>
        <v>-3.0099241245985209E-3</v>
      </c>
      <c r="D39">
        <f t="shared" si="6"/>
        <v>1</v>
      </c>
      <c r="E39" s="2">
        <f t="shared" si="7"/>
        <v>-3.0099241245985209E-3</v>
      </c>
      <c r="F39" s="2">
        <f t="shared" si="0"/>
        <v>-3.0099241245985209E-3</v>
      </c>
      <c r="O39" s="2">
        <f t="shared" si="1"/>
        <v>0.96515428016329063</v>
      </c>
      <c r="P39">
        <f t="shared" si="2"/>
        <v>0</v>
      </c>
      <c r="Q39">
        <f t="shared" si="3"/>
        <v>1</v>
      </c>
      <c r="R39">
        <f t="shared" si="4"/>
        <v>1</v>
      </c>
    </row>
    <row r="40" spans="1:18" x14ac:dyDescent="0.3">
      <c r="A40" s="1">
        <v>44995</v>
      </c>
      <c r="B40">
        <v>15526.2</v>
      </c>
      <c r="C40" s="2">
        <f t="shared" si="5"/>
        <v>-1.562233219773433E-2</v>
      </c>
      <c r="D40">
        <f t="shared" si="6"/>
        <v>1</v>
      </c>
      <c r="E40" s="2">
        <f t="shared" si="7"/>
        <v>-1.562233219773433E-2</v>
      </c>
      <c r="F40" s="2">
        <f t="shared" si="0"/>
        <v>-1.562233219773433E-2</v>
      </c>
      <c r="O40" s="2">
        <f t="shared" si="1"/>
        <v>0.99528281227859994</v>
      </c>
      <c r="P40">
        <f t="shared" si="2"/>
        <v>0</v>
      </c>
      <c r="Q40">
        <f t="shared" si="3"/>
        <v>0</v>
      </c>
      <c r="R40">
        <f t="shared" si="4"/>
        <v>0</v>
      </c>
    </row>
    <row r="41" spans="1:18" x14ac:dyDescent="0.3">
      <c r="A41" s="1">
        <v>44998</v>
      </c>
      <c r="B41">
        <v>15560.49</v>
      </c>
      <c r="C41" s="2">
        <f t="shared" si="5"/>
        <v>2.2060897385324848E-3</v>
      </c>
      <c r="D41">
        <f t="shared" si="6"/>
        <v>3</v>
      </c>
      <c r="E41" s="2">
        <f t="shared" si="7"/>
        <v>7.3536324617749489E-4</v>
      </c>
      <c r="F41" s="2">
        <f t="shared" si="0"/>
        <v>1.2736865043982014E-3</v>
      </c>
      <c r="O41" s="2">
        <f t="shared" si="1"/>
        <v>0.99096943605246357</v>
      </c>
      <c r="P41">
        <f t="shared" si="2"/>
        <v>0</v>
      </c>
      <c r="Q41">
        <f t="shared" si="3"/>
        <v>0</v>
      </c>
      <c r="R41">
        <f t="shared" si="4"/>
        <v>0</v>
      </c>
    </row>
    <row r="42" spans="1:18" x14ac:dyDescent="0.3">
      <c r="A42" s="1">
        <v>44999</v>
      </c>
      <c r="B42">
        <v>15360.42</v>
      </c>
      <c r="C42" s="2">
        <f t="shared" si="5"/>
        <v>-1.2940938161292371E-2</v>
      </c>
      <c r="D42">
        <f t="shared" si="6"/>
        <v>1</v>
      </c>
      <c r="E42" s="2">
        <f t="shared" si="7"/>
        <v>-1.2940938161292371E-2</v>
      </c>
      <c r="F42" s="2">
        <f t="shared" si="0"/>
        <v>-1.2940938161292371E-2</v>
      </c>
      <c r="O42" s="2">
        <f t="shared" si="1"/>
        <v>1.0099626182096584</v>
      </c>
      <c r="P42">
        <f t="shared" si="2"/>
        <v>0</v>
      </c>
      <c r="Q42">
        <f t="shared" si="3"/>
        <v>0</v>
      </c>
      <c r="R42">
        <f t="shared" si="4"/>
        <v>0</v>
      </c>
    </row>
    <row r="43" spans="1:18" x14ac:dyDescent="0.3">
      <c r="A43" s="1">
        <v>45000</v>
      </c>
      <c r="B43">
        <v>15387.59</v>
      </c>
      <c r="C43" s="2">
        <f t="shared" si="5"/>
        <v>1.7672693011051323E-3</v>
      </c>
      <c r="D43">
        <f t="shared" si="6"/>
        <v>1</v>
      </c>
      <c r="E43" s="2">
        <f t="shared" si="7"/>
        <v>1.7672693011051323E-3</v>
      </c>
      <c r="F43" s="2">
        <f t="shared" si="0"/>
        <v>1.7672693011051323E-3</v>
      </c>
      <c r="O43" s="2">
        <f t="shared" si="1"/>
        <v>1.0242318647689468</v>
      </c>
      <c r="P43">
        <f t="shared" si="2"/>
        <v>1</v>
      </c>
      <c r="Q43">
        <f t="shared" si="3"/>
        <v>0</v>
      </c>
      <c r="R43">
        <f t="shared" si="4"/>
        <v>1</v>
      </c>
    </row>
    <row r="44" spans="1:18" x14ac:dyDescent="0.3">
      <c r="A44" s="1">
        <v>45001</v>
      </c>
      <c r="B44">
        <v>15221.12</v>
      </c>
      <c r="C44" s="2">
        <f t="shared" si="5"/>
        <v>-1.0877403285656975E-2</v>
      </c>
      <c r="D44">
        <f t="shared" si="6"/>
        <v>1</v>
      </c>
      <c r="E44" s="2">
        <f t="shared" si="7"/>
        <v>-1.0877403285656975E-2</v>
      </c>
      <c r="F44" s="2">
        <f t="shared" si="0"/>
        <v>-1.0877403285656975E-2</v>
      </c>
      <c r="O44" s="2">
        <f t="shared" si="1"/>
        <v>1.0422327660513813</v>
      </c>
      <c r="P44">
        <f t="shared" si="2"/>
        <v>1</v>
      </c>
      <c r="Q44">
        <f t="shared" si="3"/>
        <v>0</v>
      </c>
      <c r="R44">
        <f t="shared" si="4"/>
        <v>1</v>
      </c>
    </row>
    <row r="45" spans="1:18" x14ac:dyDescent="0.3">
      <c r="A45" s="1">
        <v>45002</v>
      </c>
      <c r="B45">
        <v>15452.96</v>
      </c>
      <c r="C45" s="2">
        <f t="shared" si="5"/>
        <v>1.5116633642923384E-2</v>
      </c>
      <c r="D45">
        <f t="shared" si="6"/>
        <v>1</v>
      </c>
      <c r="E45" s="2">
        <f t="shared" si="7"/>
        <v>1.5116633642923384E-2</v>
      </c>
      <c r="F45" s="2">
        <f t="shared" si="0"/>
        <v>1.5116633642923384E-2</v>
      </c>
      <c r="O45" s="2">
        <f t="shared" si="1"/>
        <v>1.0298803594909973</v>
      </c>
      <c r="P45">
        <f t="shared" si="2"/>
        <v>1</v>
      </c>
      <c r="Q45">
        <f t="shared" si="3"/>
        <v>0</v>
      </c>
      <c r="R45">
        <f t="shared" si="4"/>
        <v>1</v>
      </c>
    </row>
    <row r="46" spans="1:18" x14ac:dyDescent="0.3">
      <c r="A46" s="1">
        <v>45005</v>
      </c>
      <c r="B46">
        <v>15419.97</v>
      </c>
      <c r="C46" s="2">
        <f t="shared" si="5"/>
        <v>-2.1371481460651254E-3</v>
      </c>
      <c r="D46">
        <f t="shared" si="6"/>
        <v>3</v>
      </c>
      <c r="E46" s="2">
        <f t="shared" si="7"/>
        <v>-7.1238271535504182E-4</v>
      </c>
      <c r="F46" s="2">
        <f t="shared" si="0"/>
        <v>-1.2338830574288098E-3</v>
      </c>
      <c r="O46" s="2">
        <f t="shared" si="1"/>
        <v>1.0266109467139042</v>
      </c>
      <c r="P46">
        <f t="shared" si="2"/>
        <v>1</v>
      </c>
      <c r="Q46">
        <f t="shared" si="3"/>
        <v>0</v>
      </c>
      <c r="R46">
        <f t="shared" si="4"/>
        <v>1</v>
      </c>
    </row>
    <row r="47" spans="1:18" x14ac:dyDescent="0.3">
      <c r="A47" s="1">
        <v>45006</v>
      </c>
      <c r="B47">
        <v>15513.45</v>
      </c>
      <c r="C47" s="2">
        <f t="shared" si="5"/>
        <v>6.0439669823072525E-3</v>
      </c>
      <c r="D47">
        <f t="shared" si="6"/>
        <v>1</v>
      </c>
      <c r="E47" s="2">
        <f t="shared" si="7"/>
        <v>6.0439669823072525E-3</v>
      </c>
      <c r="F47" s="2">
        <f t="shared" si="0"/>
        <v>6.0439669823072525E-3</v>
      </c>
      <c r="O47" s="2">
        <f t="shared" si="1"/>
        <v>1.0121204503189167</v>
      </c>
      <c r="P47">
        <f t="shared" si="2"/>
        <v>0</v>
      </c>
      <c r="Q47">
        <f t="shared" si="3"/>
        <v>0</v>
      </c>
      <c r="R47">
        <f t="shared" si="4"/>
        <v>0</v>
      </c>
    </row>
    <row r="48" spans="1:18" x14ac:dyDescent="0.3">
      <c r="A48" s="1">
        <v>45007</v>
      </c>
      <c r="B48">
        <v>15760.46</v>
      </c>
      <c r="C48" s="2">
        <f t="shared" si="5"/>
        <v>1.5796882230729573E-2</v>
      </c>
      <c r="D48">
        <f t="shared" si="6"/>
        <v>1</v>
      </c>
      <c r="E48" s="2">
        <f t="shared" si="7"/>
        <v>1.5796882230729573E-2</v>
      </c>
      <c r="F48" s="2">
        <f t="shared" si="0"/>
        <v>1.5796882230729573E-2</v>
      </c>
      <c r="O48" s="2">
        <f t="shared" si="1"/>
        <v>1.0005900842995701</v>
      </c>
      <c r="P48">
        <f t="shared" si="2"/>
        <v>0</v>
      </c>
      <c r="Q48">
        <f t="shared" si="3"/>
        <v>0</v>
      </c>
      <c r="R48">
        <f t="shared" si="4"/>
        <v>0</v>
      </c>
    </row>
    <row r="49" spans="1:18" x14ac:dyDescent="0.3">
      <c r="A49" s="1">
        <v>45008</v>
      </c>
      <c r="B49">
        <v>15863.95</v>
      </c>
      <c r="C49" s="2">
        <f t="shared" si="5"/>
        <v>6.5449676012753278E-3</v>
      </c>
      <c r="D49">
        <f t="shared" si="6"/>
        <v>1</v>
      </c>
      <c r="E49" s="2">
        <f t="shared" si="7"/>
        <v>6.5449676012753278E-3</v>
      </c>
      <c r="F49" s="2">
        <f t="shared" si="0"/>
        <v>6.5449676012753278E-3</v>
      </c>
      <c r="O49" s="2">
        <f t="shared" si="1"/>
        <v>0.99908471723624948</v>
      </c>
      <c r="P49">
        <f t="shared" si="2"/>
        <v>0</v>
      </c>
      <c r="Q49">
        <f t="shared" si="3"/>
        <v>0</v>
      </c>
      <c r="R49">
        <f t="shared" si="4"/>
        <v>0</v>
      </c>
    </row>
    <row r="50" spans="1:18" x14ac:dyDescent="0.3">
      <c r="A50" s="1">
        <v>45009</v>
      </c>
      <c r="B50">
        <v>15914.7</v>
      </c>
      <c r="C50" s="2">
        <f t="shared" si="5"/>
        <v>3.1939709927027303E-3</v>
      </c>
      <c r="D50">
        <f t="shared" si="6"/>
        <v>1</v>
      </c>
      <c r="E50" s="2">
        <f t="shared" si="7"/>
        <v>3.1939709927027303E-3</v>
      </c>
      <c r="F50" s="2">
        <f t="shared" si="0"/>
        <v>3.1939709927027303E-3</v>
      </c>
      <c r="O50" s="2">
        <f t="shared" si="1"/>
        <v>0.99706937611139379</v>
      </c>
      <c r="P50">
        <f t="shared" si="2"/>
        <v>0</v>
      </c>
      <c r="Q50">
        <f t="shared" si="3"/>
        <v>0</v>
      </c>
      <c r="R50">
        <f t="shared" si="4"/>
        <v>0</v>
      </c>
    </row>
    <row r="51" spans="1:18" x14ac:dyDescent="0.3">
      <c r="A51" s="1">
        <v>45012</v>
      </c>
      <c r="B51">
        <v>15830.31</v>
      </c>
      <c r="C51" s="2">
        <f t="shared" si="5"/>
        <v>-5.3167536437190091E-3</v>
      </c>
      <c r="D51">
        <f t="shared" si="6"/>
        <v>3</v>
      </c>
      <c r="E51" s="2">
        <f t="shared" si="7"/>
        <v>-1.7722512145730031E-3</v>
      </c>
      <c r="F51" s="2">
        <f t="shared" si="0"/>
        <v>-3.0696291474160936E-3</v>
      </c>
      <c r="O51" s="2">
        <f t="shared" si="1"/>
        <v>0.99876565904268466</v>
      </c>
      <c r="P51">
        <f t="shared" si="2"/>
        <v>0</v>
      </c>
      <c r="Q51">
        <f t="shared" si="3"/>
        <v>0</v>
      </c>
      <c r="R51">
        <f t="shared" si="4"/>
        <v>0</v>
      </c>
    </row>
    <row r="52" spans="1:18" x14ac:dyDescent="0.3">
      <c r="A52" s="1">
        <v>45013</v>
      </c>
      <c r="B52">
        <v>15701.48</v>
      </c>
      <c r="C52" s="2">
        <f t="shared" si="5"/>
        <v>-8.1714813440121499E-3</v>
      </c>
      <c r="D52">
        <f t="shared" si="6"/>
        <v>1</v>
      </c>
      <c r="E52" s="2">
        <f t="shared" si="7"/>
        <v>-8.1714813440121499E-3</v>
      </c>
      <c r="F52" s="2">
        <f t="shared" si="0"/>
        <v>-8.1714813440121499E-3</v>
      </c>
      <c r="O52" s="2">
        <f t="shared" si="1"/>
        <v>1.0085991893757786</v>
      </c>
      <c r="P52">
        <f t="shared" si="2"/>
        <v>0</v>
      </c>
      <c r="Q52">
        <f t="shared" si="3"/>
        <v>0</v>
      </c>
      <c r="R52">
        <f t="shared" si="4"/>
        <v>0</v>
      </c>
    </row>
    <row r="53" spans="1:18" x14ac:dyDescent="0.3">
      <c r="A53" s="1">
        <v>45014</v>
      </c>
      <c r="B53">
        <v>15769.76</v>
      </c>
      <c r="C53" s="2">
        <f t="shared" si="5"/>
        <v>4.3392066620414355E-3</v>
      </c>
      <c r="D53">
        <f t="shared" si="6"/>
        <v>1</v>
      </c>
      <c r="E53" s="2">
        <f t="shared" si="7"/>
        <v>4.3392066620414355E-3</v>
      </c>
      <c r="F53" s="2">
        <f t="shared" si="0"/>
        <v>4.3392066620414355E-3</v>
      </c>
      <c r="O53" s="2">
        <f t="shared" si="1"/>
        <v>1.0067477247592862</v>
      </c>
      <c r="P53">
        <f t="shared" si="2"/>
        <v>0</v>
      </c>
      <c r="Q53">
        <f t="shared" si="3"/>
        <v>0</v>
      </c>
      <c r="R53">
        <f t="shared" si="4"/>
        <v>0</v>
      </c>
    </row>
    <row r="54" spans="1:18" x14ac:dyDescent="0.3">
      <c r="A54" s="1">
        <v>45015</v>
      </c>
      <c r="B54">
        <v>15849.43</v>
      </c>
      <c r="C54" s="2">
        <f t="shared" si="5"/>
        <v>5.0393554422014852E-3</v>
      </c>
      <c r="D54">
        <f t="shared" si="6"/>
        <v>1</v>
      </c>
      <c r="E54" s="2">
        <f t="shared" si="7"/>
        <v>5.0393554422014852E-3</v>
      </c>
      <c r="F54" s="2">
        <f t="shared" si="0"/>
        <v>5.0393554422014852E-3</v>
      </c>
      <c r="O54" s="2">
        <f t="shared" si="1"/>
        <v>1.004066392292972</v>
      </c>
      <c r="P54">
        <f t="shared" si="2"/>
        <v>0</v>
      </c>
      <c r="Q54">
        <f t="shared" si="3"/>
        <v>0</v>
      </c>
      <c r="R54">
        <f t="shared" si="4"/>
        <v>0</v>
      </c>
    </row>
    <row r="55" spans="1:18" x14ac:dyDescent="0.3">
      <c r="A55" s="1">
        <v>45016</v>
      </c>
      <c r="B55">
        <v>15868.06</v>
      </c>
      <c r="C55" s="2">
        <f t="shared" si="5"/>
        <v>1.1747463082668384E-3</v>
      </c>
      <c r="D55">
        <f t="shared" si="6"/>
        <v>1</v>
      </c>
      <c r="E55" s="2">
        <f t="shared" si="7"/>
        <v>1.1747463082668384E-3</v>
      </c>
      <c r="F55" s="2">
        <f t="shared" si="0"/>
        <v>1.1747463082668384E-3</v>
      </c>
      <c r="O55" s="2">
        <f t="shared" si="1"/>
        <v>1.0040906071693705</v>
      </c>
      <c r="P55">
        <f t="shared" si="2"/>
        <v>0</v>
      </c>
      <c r="Q55">
        <f t="shared" si="3"/>
        <v>0</v>
      </c>
      <c r="R55">
        <f t="shared" si="4"/>
        <v>0</v>
      </c>
    </row>
    <row r="56" spans="1:18" x14ac:dyDescent="0.3">
      <c r="A56" s="1">
        <v>45022</v>
      </c>
      <c r="B56">
        <v>15810.77</v>
      </c>
      <c r="C56" s="2">
        <f t="shared" si="5"/>
        <v>-3.616930452072952E-3</v>
      </c>
      <c r="D56">
        <f t="shared" si="6"/>
        <v>6</v>
      </c>
      <c r="E56" s="2">
        <f t="shared" si="7"/>
        <v>-6.0282174201215866E-4</v>
      </c>
      <c r="F56" s="2">
        <f t="shared" si="0"/>
        <v>-1.4766056737854701E-3</v>
      </c>
      <c r="O56" s="2">
        <f t="shared" si="1"/>
        <v>0.99961987936071428</v>
      </c>
      <c r="P56">
        <f t="shared" si="2"/>
        <v>0</v>
      </c>
      <c r="Q56">
        <f t="shared" si="3"/>
        <v>0</v>
      </c>
      <c r="R56">
        <f t="shared" si="4"/>
        <v>0</v>
      </c>
    </row>
    <row r="57" spans="1:18" x14ac:dyDescent="0.3">
      <c r="A57" s="1">
        <v>45023</v>
      </c>
      <c r="B57">
        <v>15836.5</v>
      </c>
      <c r="C57" s="2">
        <f t="shared" si="5"/>
        <v>1.6260489874324192E-3</v>
      </c>
      <c r="D57">
        <f t="shared" si="6"/>
        <v>1</v>
      </c>
      <c r="E57" s="2">
        <f t="shared" si="7"/>
        <v>1.6260489874324192E-3</v>
      </c>
      <c r="F57" s="2">
        <f t="shared" si="0"/>
        <v>1.6260489874324192E-3</v>
      </c>
      <c r="O57" s="2">
        <f t="shared" si="1"/>
        <v>1.0058680895399867</v>
      </c>
      <c r="P57">
        <f t="shared" si="2"/>
        <v>0</v>
      </c>
      <c r="Q57">
        <f t="shared" si="3"/>
        <v>0</v>
      </c>
      <c r="R57">
        <f t="shared" si="4"/>
        <v>0</v>
      </c>
    </row>
    <row r="58" spans="1:18" x14ac:dyDescent="0.3">
      <c r="A58" s="1">
        <v>45026</v>
      </c>
      <c r="B58">
        <v>15876.17</v>
      </c>
      <c r="C58" s="2">
        <f t="shared" si="5"/>
        <v>2.5018404752352773E-3</v>
      </c>
      <c r="D58">
        <f t="shared" si="6"/>
        <v>3</v>
      </c>
      <c r="E58" s="2">
        <f t="shared" si="7"/>
        <v>8.3394682507842573E-4</v>
      </c>
      <c r="F58" s="2">
        <f t="shared" si="0"/>
        <v>1.4444382718465888E-3</v>
      </c>
      <c r="O58" s="2">
        <f t="shared" si="1"/>
        <v>1.0055038463306956</v>
      </c>
      <c r="P58">
        <f t="shared" si="2"/>
        <v>0</v>
      </c>
      <c r="Q58">
        <f t="shared" si="3"/>
        <v>0</v>
      </c>
      <c r="R58">
        <f t="shared" si="4"/>
        <v>0</v>
      </c>
    </row>
    <row r="59" spans="1:18" x14ac:dyDescent="0.3">
      <c r="A59" s="1">
        <v>45027</v>
      </c>
      <c r="B59">
        <v>15913.88</v>
      </c>
      <c r="C59" s="2">
        <f t="shared" si="5"/>
        <v>2.3724415461751328E-3</v>
      </c>
      <c r="D59">
        <f t="shared" si="6"/>
        <v>1</v>
      </c>
      <c r="E59" s="2">
        <f t="shared" si="7"/>
        <v>2.3724415461751328E-3</v>
      </c>
      <c r="F59" s="2">
        <f t="shared" si="0"/>
        <v>2.3724415461751328E-3</v>
      </c>
      <c r="O59" s="2">
        <f t="shared" si="1"/>
        <v>0.9972074692029852</v>
      </c>
      <c r="P59">
        <f t="shared" si="2"/>
        <v>0</v>
      </c>
      <c r="Q59">
        <f t="shared" si="3"/>
        <v>0</v>
      </c>
      <c r="R59">
        <f t="shared" si="4"/>
        <v>0</v>
      </c>
    </row>
    <row r="60" spans="1:18" x14ac:dyDescent="0.3">
      <c r="A60" s="1">
        <v>45028</v>
      </c>
      <c r="B60">
        <v>15932.97</v>
      </c>
      <c r="C60" s="2">
        <f t="shared" si="5"/>
        <v>1.1988628254574326E-3</v>
      </c>
      <c r="D60">
        <f t="shared" si="6"/>
        <v>1</v>
      </c>
      <c r="E60" s="2">
        <f t="shared" si="7"/>
        <v>1.1988628254574326E-3</v>
      </c>
      <c r="F60" s="2">
        <f t="shared" si="0"/>
        <v>1.1988628254574326E-3</v>
      </c>
      <c r="O60" s="2">
        <f t="shared" si="1"/>
        <v>0.98980102265930336</v>
      </c>
      <c r="P60">
        <f t="shared" si="2"/>
        <v>0</v>
      </c>
      <c r="Q60">
        <f t="shared" si="3"/>
        <v>0</v>
      </c>
      <c r="R60">
        <f t="shared" si="4"/>
        <v>0</v>
      </c>
    </row>
    <row r="61" spans="1:18" x14ac:dyDescent="0.3">
      <c r="A61" s="1">
        <v>45029</v>
      </c>
      <c r="B61">
        <v>15804.76</v>
      </c>
      <c r="C61" s="2">
        <f t="shared" si="5"/>
        <v>-8.0793867377496158E-3</v>
      </c>
      <c r="D61">
        <f t="shared" si="6"/>
        <v>1</v>
      </c>
      <c r="E61" s="2">
        <f t="shared" si="7"/>
        <v>-8.0793867377496158E-3</v>
      </c>
      <c r="F61" s="2">
        <f t="shared" si="0"/>
        <v>-8.0793867377496158E-3</v>
      </c>
      <c r="O61" s="2">
        <f t="shared" si="1"/>
        <v>0.99384742318137065</v>
      </c>
      <c r="P61">
        <f t="shared" si="2"/>
        <v>0</v>
      </c>
      <c r="Q61">
        <f t="shared" si="3"/>
        <v>0</v>
      </c>
      <c r="R61">
        <f t="shared" si="4"/>
        <v>0</v>
      </c>
    </row>
    <row r="62" spans="1:18" x14ac:dyDescent="0.3">
      <c r="A62" s="1">
        <v>45030</v>
      </c>
      <c r="B62">
        <v>15929.43</v>
      </c>
      <c r="C62" s="2">
        <f t="shared" si="5"/>
        <v>7.8571812532560632E-3</v>
      </c>
      <c r="D62">
        <f t="shared" si="6"/>
        <v>1</v>
      </c>
      <c r="E62" s="2">
        <f t="shared" si="7"/>
        <v>7.8571812532560632E-3</v>
      </c>
      <c r="F62" s="2">
        <f t="shared" si="0"/>
        <v>7.8571812532560632E-3</v>
      </c>
      <c r="G62" s="2">
        <f>MEDIAN(E3:E62)*365</f>
        <v>0.36658649683551076</v>
      </c>
      <c r="H62">
        <f>SUM(D3:D62)</f>
        <v>101</v>
      </c>
      <c r="I62" s="2">
        <f>_xlfn.STDEV.S(F3:F62)*SQRT(365)</f>
        <v>0.14091967277985898</v>
      </c>
      <c r="J62" s="2" cm="1">
        <f t="array" ref="J62">SQRT(SUM(IF(F3:F62&lt;AVERAGE(F3:F62),(F3:F62-AVERAGE(F3:F62))^2, 0)) / COUNT(F3:F62))*SQRT(365)</f>
        <v>0.10239150488229223</v>
      </c>
      <c r="O62" s="2">
        <f t="shared" si="1"/>
        <v>0.97950711356275766</v>
      </c>
      <c r="P62">
        <f t="shared" si="2"/>
        <v>0</v>
      </c>
      <c r="Q62">
        <f t="shared" si="3"/>
        <v>1</v>
      </c>
      <c r="R62">
        <f t="shared" si="4"/>
        <v>1</v>
      </c>
    </row>
    <row r="63" spans="1:18" x14ac:dyDescent="0.3">
      <c r="A63" s="1">
        <v>45033</v>
      </c>
      <c r="B63">
        <v>15963.55</v>
      </c>
      <c r="C63" s="2">
        <f t="shared" si="5"/>
        <v>2.139656627706126E-3</v>
      </c>
      <c r="D63">
        <f t="shared" si="6"/>
        <v>3</v>
      </c>
      <c r="E63" s="2">
        <f t="shared" si="7"/>
        <v>7.1321887590204203E-4</v>
      </c>
      <c r="F63" s="2">
        <f t="shared" si="0"/>
        <v>1.2353313299794987E-3</v>
      </c>
      <c r="G63" s="2">
        <f t="shared" ref="G63:G126" si="8">MEDIAN(E4:E63)*365</f>
        <v>0.36658649683551076</v>
      </c>
      <c r="H63">
        <f t="shared" ref="H63:H126" si="9">SUM(D4:D63)</f>
        <v>103</v>
      </c>
      <c r="I63" s="2">
        <f t="shared" ref="I63:I126" si="10">_xlfn.STDEV.S(F4:F63)*SQRT(365)</f>
        <v>0.14072122270345883</v>
      </c>
      <c r="J63" s="2" cm="1">
        <f t="array" ref="J63">SQRT(SUM(IF(F4:F63&lt;AVERAGE(F4:F63),(F4:F63-AVERAGE(F4:F63))^2, 0)) / COUNT(F4:F63))*SQRT(365)</f>
        <v>0.10261470529431904</v>
      </c>
      <c r="O63" s="2">
        <f t="shared" si="1"/>
        <v>0.97890945309783861</v>
      </c>
      <c r="P63">
        <f t="shared" si="2"/>
        <v>0</v>
      </c>
      <c r="Q63">
        <f t="shared" si="3"/>
        <v>1</v>
      </c>
      <c r="R63">
        <f t="shared" si="4"/>
        <v>1</v>
      </c>
    </row>
    <row r="64" spans="1:18" x14ac:dyDescent="0.3">
      <c r="A64" s="1">
        <v>45034</v>
      </c>
      <c r="B64">
        <v>15869.44</v>
      </c>
      <c r="C64" s="2">
        <f t="shared" si="5"/>
        <v>-5.912751153978906E-3</v>
      </c>
      <c r="D64">
        <f t="shared" si="6"/>
        <v>1</v>
      </c>
      <c r="E64" s="2">
        <f t="shared" si="7"/>
        <v>-5.912751153978906E-3</v>
      </c>
      <c r="F64" s="2">
        <f t="shared" si="0"/>
        <v>-5.912751153978906E-3</v>
      </c>
      <c r="G64" s="2">
        <f t="shared" si="8"/>
        <v>0.29026878172508053</v>
      </c>
      <c r="H64">
        <f t="shared" si="9"/>
        <v>103</v>
      </c>
      <c r="I64" s="2">
        <f t="shared" si="10"/>
        <v>0.14103314483604329</v>
      </c>
      <c r="J64" s="2" cm="1">
        <f t="array" ref="J64">SQRT(SUM(IF(F5:F64&lt;AVERAGE(F5:F64),(F5:F64-AVERAGE(F5:F64))^2, 0)) / COUNT(F5:F64))*SQRT(365)</f>
        <v>0.10195962183645749</v>
      </c>
      <c r="O64" s="2">
        <f t="shared" si="1"/>
        <v>0.96857419039361181</v>
      </c>
      <c r="P64">
        <f t="shared" si="2"/>
        <v>0</v>
      </c>
      <c r="Q64">
        <f t="shared" si="3"/>
        <v>1</v>
      </c>
      <c r="R64">
        <f t="shared" si="4"/>
        <v>1</v>
      </c>
    </row>
    <row r="65" spans="1:18" x14ac:dyDescent="0.3">
      <c r="A65" s="1">
        <v>45035</v>
      </c>
      <c r="B65">
        <v>15770.47</v>
      </c>
      <c r="C65" s="2">
        <f t="shared" si="5"/>
        <v>-6.2560432561965598E-3</v>
      </c>
      <c r="D65">
        <f t="shared" si="6"/>
        <v>1</v>
      </c>
      <c r="E65" s="2">
        <f t="shared" si="7"/>
        <v>-6.2560432561965598E-3</v>
      </c>
      <c r="F65" s="2">
        <f t="shared" si="0"/>
        <v>-6.2560432561965598E-3</v>
      </c>
      <c r="G65" s="2">
        <f t="shared" si="8"/>
        <v>0.27227727857566064</v>
      </c>
      <c r="H65">
        <f t="shared" si="9"/>
        <v>103</v>
      </c>
      <c r="I65" s="2">
        <f t="shared" si="10"/>
        <v>0.14180779212976005</v>
      </c>
      <c r="J65" s="2" cm="1">
        <f t="array" ref="J65">SQRT(SUM(IF(F6:F65&lt;AVERAGE(F6:F65),(F6:F65-AVERAGE(F6:F65))^2, 0)) / COUNT(F6:F65))*SQRT(365)</f>
        <v>0.10163656750593671</v>
      </c>
      <c r="O65" s="2">
        <f t="shared" si="1"/>
        <v>0.97489992371818979</v>
      </c>
      <c r="P65">
        <f t="shared" si="2"/>
        <v>0</v>
      </c>
      <c r="Q65">
        <f t="shared" si="3"/>
        <v>1</v>
      </c>
      <c r="R65">
        <f t="shared" si="4"/>
        <v>1</v>
      </c>
    </row>
    <row r="66" spans="1:18" x14ac:dyDescent="0.3">
      <c r="A66" s="1">
        <v>45036</v>
      </c>
      <c r="B66">
        <v>15707.52</v>
      </c>
      <c r="C66" s="2">
        <f t="shared" si="5"/>
        <v>-3.9996253838055513E-3</v>
      </c>
      <c r="D66">
        <f t="shared" si="6"/>
        <v>1</v>
      </c>
      <c r="E66" s="2">
        <f t="shared" si="7"/>
        <v>-3.9996253838055513E-3</v>
      </c>
      <c r="F66" s="2">
        <f t="shared" si="0"/>
        <v>-3.9996253838055513E-3</v>
      </c>
      <c r="G66" s="2">
        <f t="shared" si="8"/>
        <v>0.26436623727951547</v>
      </c>
      <c r="H66">
        <f t="shared" si="9"/>
        <v>101</v>
      </c>
      <c r="I66" s="2">
        <f t="shared" si="10"/>
        <v>0.13776449812847716</v>
      </c>
      <c r="J66" s="2" cm="1">
        <f t="array" ref="J66">SQRT(SUM(IF(F7:F66&lt;AVERAGE(F7:F66),(F7:F66-AVERAGE(F7:F66))^2, 0)) / COUNT(F7:F66))*SQRT(365)</f>
        <v>9.9124903222392924E-2</v>
      </c>
      <c r="O66" s="2">
        <f t="shared" si="1"/>
        <v>0.98115361304648985</v>
      </c>
      <c r="P66">
        <f t="shared" si="2"/>
        <v>0</v>
      </c>
      <c r="Q66">
        <f t="shared" si="3"/>
        <v>1</v>
      </c>
      <c r="R66">
        <f t="shared" si="4"/>
        <v>1</v>
      </c>
    </row>
    <row r="67" spans="1:18" x14ac:dyDescent="0.3">
      <c r="A67" s="1">
        <v>45037</v>
      </c>
      <c r="B67">
        <v>15602.99</v>
      </c>
      <c r="C67" s="2">
        <f t="shared" si="5"/>
        <v>-6.6770160148022515E-3</v>
      </c>
      <c r="D67">
        <f t="shared" si="6"/>
        <v>1</v>
      </c>
      <c r="E67" s="2">
        <f t="shared" si="7"/>
        <v>-6.6770160148022515E-3</v>
      </c>
      <c r="F67" s="2">
        <f t="shared" ref="F67:F130" si="11">C67/SQRT(D67)</f>
        <v>-6.6770160148022515E-3</v>
      </c>
      <c r="G67" s="2">
        <f t="shared" si="8"/>
        <v>0.24361404964574562</v>
      </c>
      <c r="H67">
        <f t="shared" si="9"/>
        <v>101</v>
      </c>
      <c r="I67" s="2">
        <f t="shared" si="10"/>
        <v>0.13870858363431948</v>
      </c>
      <c r="J67" s="2" cm="1">
        <f t="array" ref="J67">SQRT(SUM(IF(F8:F67&lt;AVERAGE(F8:F67),(F8:F67-AVERAGE(F8:F67))^2, 0)) / COUNT(F8:F67))*SQRT(365)</f>
        <v>9.8985510286723213E-2</v>
      </c>
      <c r="O67" s="2">
        <f t="shared" ref="O67:O130" si="12">B72/B67</f>
        <v>0.99847401043005224</v>
      </c>
      <c r="P67">
        <f t="shared" ref="P67:P130" si="13">IF(O67 &gt;= 1.015, 1, 0)</f>
        <v>0</v>
      </c>
      <c r="Q67">
        <f t="shared" ref="Q67:Q130" si="14">IF(O67&lt;=0.985,1,0)</f>
        <v>0</v>
      </c>
      <c r="R67">
        <f t="shared" ref="R67:R130" si="15">MAX(P67,Q67)</f>
        <v>0</v>
      </c>
    </row>
    <row r="68" spans="1:18" x14ac:dyDescent="0.3">
      <c r="A68" s="1">
        <v>45040</v>
      </c>
      <c r="B68">
        <v>15626.87</v>
      </c>
      <c r="C68" s="2">
        <f t="shared" ref="C68:C131" si="16">LN(B68/B67)</f>
        <v>1.5293059049362432E-3</v>
      </c>
      <c r="D68">
        <f t="shared" ref="D68:D131" si="17">DATEDIF(A67,A68,"d")</f>
        <v>3</v>
      </c>
      <c r="E68" s="2">
        <f t="shared" ref="E68:E131" si="18">C68/D68</f>
        <v>5.0976863497874771E-4</v>
      </c>
      <c r="F68" s="2">
        <f t="shared" si="11"/>
        <v>8.8294517588822434E-4</v>
      </c>
      <c r="G68" s="2">
        <f t="shared" si="8"/>
        <v>0.24361404964574562</v>
      </c>
      <c r="H68">
        <f t="shared" si="9"/>
        <v>103</v>
      </c>
      <c r="I68" s="2">
        <f t="shared" si="10"/>
        <v>0.13837320915112361</v>
      </c>
      <c r="J68" s="2" cm="1">
        <f t="array" ref="J68">SQRT(SUM(IF(F9:F68&lt;AVERAGE(F9:F68),(F9:F68-AVERAGE(F9:F68))^2, 0)) / COUNT(F9:F68))*SQRT(365)</f>
        <v>9.925595556894852E-2</v>
      </c>
      <c r="O68" s="2">
        <f t="shared" si="12"/>
        <v>1.000614966400821</v>
      </c>
      <c r="P68">
        <f t="shared" si="13"/>
        <v>0</v>
      </c>
      <c r="Q68">
        <f t="shared" si="14"/>
        <v>0</v>
      </c>
      <c r="R68">
        <f t="shared" si="15"/>
        <v>0</v>
      </c>
    </row>
    <row r="69" spans="1:18" x14ac:dyDescent="0.3">
      <c r="A69" s="1">
        <v>45041</v>
      </c>
      <c r="B69">
        <v>15370.73</v>
      </c>
      <c r="C69" s="2">
        <f t="shared" si="16"/>
        <v>-1.652681691837414E-2</v>
      </c>
      <c r="D69">
        <f t="shared" si="17"/>
        <v>1</v>
      </c>
      <c r="E69" s="2">
        <f t="shared" si="18"/>
        <v>-1.652681691837414E-2</v>
      </c>
      <c r="F69" s="2">
        <f t="shared" si="11"/>
        <v>-1.652681691837414E-2</v>
      </c>
      <c r="G69" s="2">
        <f t="shared" si="8"/>
        <v>0.24361404964574562</v>
      </c>
      <c r="H69">
        <f t="shared" si="9"/>
        <v>103</v>
      </c>
      <c r="I69" s="2">
        <f t="shared" si="10"/>
        <v>0.14452389117804704</v>
      </c>
      <c r="J69" s="2" cm="1">
        <f t="array" ref="J69">SQRT(SUM(IF(F10:F69&lt;AVERAGE(F10:F69),(F10:F69-AVERAGE(F10:F69))^2, 0)) / COUNT(F10:F69))*SQRT(365)</f>
        <v>0.10509004029286893</v>
      </c>
      <c r="O69" s="2">
        <f t="shared" si="12"/>
        <v>1.0118849267406298</v>
      </c>
      <c r="P69">
        <f t="shared" si="13"/>
        <v>0</v>
      </c>
      <c r="Q69">
        <f t="shared" si="14"/>
        <v>0</v>
      </c>
      <c r="R69">
        <f t="shared" si="15"/>
        <v>0</v>
      </c>
    </row>
    <row r="70" spans="1:18" x14ac:dyDescent="0.3">
      <c r="A70" s="1">
        <v>45042</v>
      </c>
      <c r="B70">
        <v>15374.63</v>
      </c>
      <c r="C70" s="2">
        <f t="shared" si="16"/>
        <v>2.5369681935205715E-4</v>
      </c>
      <c r="D70">
        <f t="shared" si="17"/>
        <v>1</v>
      </c>
      <c r="E70" s="2">
        <f t="shared" si="18"/>
        <v>2.5369681935205715E-4</v>
      </c>
      <c r="F70" s="2">
        <f t="shared" si="11"/>
        <v>2.5369681935205715E-4</v>
      </c>
      <c r="G70" s="2">
        <f t="shared" si="8"/>
        <v>0.20934288097012851</v>
      </c>
      <c r="H70">
        <f t="shared" si="9"/>
        <v>103</v>
      </c>
      <c r="I70" s="2">
        <f t="shared" si="10"/>
        <v>0.14372334346960181</v>
      </c>
      <c r="J70" s="2" cm="1">
        <f t="array" ref="J70">SQRT(SUM(IF(F11:F70&lt;AVERAGE(F11:F70),(F11:F70-AVERAGE(F11:F70))^2, 0)) / COUNT(F11:F70))*SQRT(365)</f>
        <v>0.10409063162054247</v>
      </c>
      <c r="O70" s="2">
        <f t="shared" si="12"/>
        <v>1.0152458953483761</v>
      </c>
      <c r="P70">
        <f t="shared" si="13"/>
        <v>1</v>
      </c>
      <c r="Q70">
        <f t="shared" si="14"/>
        <v>0</v>
      </c>
      <c r="R70">
        <f t="shared" si="15"/>
        <v>1</v>
      </c>
    </row>
    <row r="71" spans="1:18" x14ac:dyDescent="0.3">
      <c r="A71" s="1">
        <v>45043</v>
      </c>
      <c r="B71">
        <v>15411.49</v>
      </c>
      <c r="C71" s="2">
        <f t="shared" si="16"/>
        <v>2.3945867561794907E-3</v>
      </c>
      <c r="D71">
        <f t="shared" si="17"/>
        <v>1</v>
      </c>
      <c r="E71" s="2">
        <f t="shared" si="18"/>
        <v>2.3945867561794907E-3</v>
      </c>
      <c r="F71" s="2">
        <f t="shared" si="11"/>
        <v>2.3945867561794907E-3</v>
      </c>
      <c r="G71" s="2">
        <f t="shared" si="8"/>
        <v>0.20934288097012851</v>
      </c>
      <c r="H71">
        <f t="shared" si="9"/>
        <v>101</v>
      </c>
      <c r="I71" s="2">
        <f t="shared" si="10"/>
        <v>0.14350943613287898</v>
      </c>
      <c r="J71" s="2" cm="1">
        <f t="array" ref="J71">SQRT(SUM(IF(F12:F71&lt;AVERAGE(F12:F71),(F12:F71-AVERAGE(F12:F71))^2, 0)) / COUNT(F12:F71))*SQRT(365)</f>
        <v>0.10382546133973793</v>
      </c>
      <c r="O71" s="2">
        <f t="shared" si="12"/>
        <v>1.013923377947233</v>
      </c>
      <c r="P71">
        <f t="shared" si="13"/>
        <v>0</v>
      </c>
      <c r="Q71">
        <f t="shared" si="14"/>
        <v>0</v>
      </c>
      <c r="R71">
        <f t="shared" si="15"/>
        <v>0</v>
      </c>
    </row>
    <row r="72" spans="1:18" x14ac:dyDescent="0.3">
      <c r="A72" s="1">
        <v>45044</v>
      </c>
      <c r="B72">
        <v>15579.18</v>
      </c>
      <c r="C72" s="2">
        <f t="shared" si="16"/>
        <v>1.0822072360021895E-2</v>
      </c>
      <c r="D72">
        <f t="shared" si="17"/>
        <v>1</v>
      </c>
      <c r="E72" s="2">
        <f t="shared" si="18"/>
        <v>1.0822072360021895E-2</v>
      </c>
      <c r="F72" s="2">
        <f t="shared" si="11"/>
        <v>1.0822072360021895E-2</v>
      </c>
      <c r="G72" s="2">
        <f t="shared" si="8"/>
        <v>0.24361404964574562</v>
      </c>
      <c r="H72">
        <f t="shared" si="9"/>
        <v>101</v>
      </c>
      <c r="I72" s="2">
        <f t="shared" si="10"/>
        <v>0.14593767210914954</v>
      </c>
      <c r="J72" s="2" cm="1">
        <f t="array" ref="J72">SQRT(SUM(IF(F13:F72&lt;AVERAGE(F13:F72),(F13:F72-AVERAGE(F13:F72))^2, 0)) / COUNT(F13:F72))*SQRT(365)</f>
        <v>0.10556144539761886</v>
      </c>
      <c r="O72" s="2">
        <f t="shared" si="12"/>
        <v>1.0077276210943067</v>
      </c>
      <c r="P72">
        <f t="shared" si="13"/>
        <v>0</v>
      </c>
      <c r="Q72">
        <f t="shared" si="14"/>
        <v>0</v>
      </c>
      <c r="R72">
        <f t="shared" si="15"/>
        <v>0</v>
      </c>
    </row>
    <row r="73" spans="1:18" x14ac:dyDescent="0.3">
      <c r="A73" s="1">
        <v>45048</v>
      </c>
      <c r="B73">
        <v>15636.48</v>
      </c>
      <c r="C73" s="2">
        <f t="shared" si="16"/>
        <v>3.6712383692924268E-3</v>
      </c>
      <c r="D73">
        <f t="shared" si="17"/>
        <v>4</v>
      </c>
      <c r="E73" s="2">
        <f t="shared" si="18"/>
        <v>9.1780959232310669E-4</v>
      </c>
      <c r="F73" s="2">
        <f t="shared" si="11"/>
        <v>1.8356191846462134E-3</v>
      </c>
      <c r="G73" s="2">
        <f t="shared" si="8"/>
        <v>0.24361404964574562</v>
      </c>
      <c r="H73">
        <f t="shared" si="9"/>
        <v>92</v>
      </c>
      <c r="I73" s="2">
        <f t="shared" si="10"/>
        <v>0.14384051037201551</v>
      </c>
      <c r="J73" s="2" cm="1">
        <f t="array" ref="J73">SQRT(SUM(IF(F14:F73&lt;AVERAGE(F14:F73),(F14:F73-AVERAGE(F14:F73))^2, 0)) / COUNT(F14:F73))*SQRT(365)</f>
        <v>0.10416305959704102</v>
      </c>
      <c r="O73" s="2">
        <f t="shared" si="12"/>
        <v>1.005833793795023</v>
      </c>
      <c r="P73">
        <f t="shared" si="13"/>
        <v>0</v>
      </c>
      <c r="Q73">
        <f t="shared" si="14"/>
        <v>0</v>
      </c>
      <c r="R73">
        <f t="shared" si="15"/>
        <v>0</v>
      </c>
    </row>
    <row r="74" spans="1:18" x14ac:dyDescent="0.3">
      <c r="A74" s="1">
        <v>45049</v>
      </c>
      <c r="B74">
        <v>15553.41</v>
      </c>
      <c r="C74" s="2">
        <f t="shared" si="16"/>
        <v>-5.3267386592209566E-3</v>
      </c>
      <c r="D74">
        <f t="shared" si="17"/>
        <v>1</v>
      </c>
      <c r="E74" s="2">
        <f t="shared" si="18"/>
        <v>-5.3267386592209566E-3</v>
      </c>
      <c r="F74" s="2">
        <f t="shared" si="11"/>
        <v>-5.3267386592209566E-3</v>
      </c>
      <c r="G74" s="2">
        <f t="shared" si="8"/>
        <v>0.24361404964574562</v>
      </c>
      <c r="H74">
        <f t="shared" si="9"/>
        <v>92</v>
      </c>
      <c r="I74" s="2">
        <f t="shared" si="10"/>
        <v>0.13955801469786827</v>
      </c>
      <c r="J74" s="2" cm="1">
        <f t="array" ref="J74">SQRT(SUM(IF(F15:F74&lt;AVERAGE(F15:F74),(F15:F74-AVERAGE(F15:F74))^2, 0)) / COUNT(F15:F74))*SQRT(365)</f>
        <v>9.9905705064582739E-2</v>
      </c>
      <c r="O74" s="2">
        <f t="shared" si="12"/>
        <v>1.0056804263502346</v>
      </c>
      <c r="P74">
        <f t="shared" si="13"/>
        <v>0</v>
      </c>
      <c r="Q74">
        <f t="shared" si="14"/>
        <v>0</v>
      </c>
      <c r="R74">
        <f t="shared" si="15"/>
        <v>0</v>
      </c>
    </row>
    <row r="75" spans="1:18" x14ac:dyDescent="0.3">
      <c r="A75" s="1">
        <v>45050</v>
      </c>
      <c r="B75">
        <v>15609.03</v>
      </c>
      <c r="C75" s="2">
        <f t="shared" si="16"/>
        <v>3.5696857538882764E-3</v>
      </c>
      <c r="D75">
        <f t="shared" si="17"/>
        <v>1</v>
      </c>
      <c r="E75" s="2">
        <f t="shared" si="18"/>
        <v>3.5696857538882764E-3</v>
      </c>
      <c r="F75" s="2">
        <f t="shared" si="11"/>
        <v>3.5696857538882764E-3</v>
      </c>
      <c r="G75" s="2">
        <f t="shared" si="8"/>
        <v>0.24361404964574562</v>
      </c>
      <c r="H75">
        <f t="shared" si="9"/>
        <v>92</v>
      </c>
      <c r="I75" s="2">
        <f t="shared" si="10"/>
        <v>0.13762840131631413</v>
      </c>
      <c r="J75" s="2" cm="1">
        <f t="array" ref="J75">SQRT(SUM(IF(F16:F75&lt;AVERAGE(F16:F75),(F16:F75-AVERAGE(F16:F75))^2, 0)) / COUNT(F16:F75))*SQRT(365)</f>
        <v>9.8815246616468372E-2</v>
      </c>
      <c r="O75" s="2">
        <f t="shared" si="12"/>
        <v>0.99395285933847255</v>
      </c>
      <c r="P75">
        <f t="shared" si="13"/>
        <v>0</v>
      </c>
      <c r="Q75">
        <f t="shared" si="14"/>
        <v>0</v>
      </c>
      <c r="R75">
        <f t="shared" si="15"/>
        <v>0</v>
      </c>
    </row>
    <row r="76" spans="1:18" x14ac:dyDescent="0.3">
      <c r="A76" s="1">
        <v>45051</v>
      </c>
      <c r="B76">
        <v>15626.07</v>
      </c>
      <c r="C76" s="2">
        <f t="shared" si="16"/>
        <v>1.0910803352923691E-3</v>
      </c>
      <c r="D76">
        <f t="shared" si="17"/>
        <v>1</v>
      </c>
      <c r="E76" s="2">
        <f t="shared" si="18"/>
        <v>1.0910803352923691E-3</v>
      </c>
      <c r="F76" s="2">
        <f t="shared" si="11"/>
        <v>1.0910803352923691E-3</v>
      </c>
      <c r="G76" s="2">
        <f t="shared" si="8"/>
        <v>0.24361404964574562</v>
      </c>
      <c r="H76">
        <f t="shared" si="9"/>
        <v>92</v>
      </c>
      <c r="I76" s="2">
        <f t="shared" si="10"/>
        <v>0.13479625506307452</v>
      </c>
      <c r="J76" s="2" cm="1">
        <f t="array" ref="J76">SQRT(SUM(IF(F17:F76&lt;AVERAGE(F17:F76),(F17:F76-AVERAGE(F17:F76))^2, 0)) / COUNT(F17:F76))*SQRT(365)</f>
        <v>9.7124797732140153E-2</v>
      </c>
      <c r="O76" s="2">
        <f t="shared" si="12"/>
        <v>0.99208310214916484</v>
      </c>
      <c r="P76">
        <f t="shared" si="13"/>
        <v>0</v>
      </c>
      <c r="Q76">
        <f t="shared" si="14"/>
        <v>0</v>
      </c>
      <c r="R76">
        <f t="shared" si="15"/>
        <v>0</v>
      </c>
    </row>
    <row r="77" spans="1:18" x14ac:dyDescent="0.3">
      <c r="A77" s="1">
        <v>45054</v>
      </c>
      <c r="B77">
        <v>15699.57</v>
      </c>
      <c r="C77" s="2">
        <f t="shared" si="16"/>
        <v>4.6926501663406509E-3</v>
      </c>
      <c r="D77">
        <f t="shared" si="17"/>
        <v>3</v>
      </c>
      <c r="E77" s="2">
        <f t="shared" si="18"/>
        <v>1.5642167221135504E-3</v>
      </c>
      <c r="F77" s="2">
        <f t="shared" si="11"/>
        <v>2.7093028367495171E-3</v>
      </c>
      <c r="G77" s="2">
        <f t="shared" si="8"/>
        <v>0.26436623727951547</v>
      </c>
      <c r="H77">
        <f t="shared" si="9"/>
        <v>94</v>
      </c>
      <c r="I77" s="2">
        <f t="shared" si="10"/>
        <v>0.13495863128003113</v>
      </c>
      <c r="J77" s="2" cm="1">
        <f t="array" ref="J77">SQRT(SUM(IF(F18:F77&lt;AVERAGE(F18:F77),(F18:F77-AVERAGE(F18:F77))^2, 0)) / COUNT(F18:F77))*SQRT(365)</f>
        <v>9.7492956258774063E-2</v>
      </c>
      <c r="O77" s="2">
        <f t="shared" si="12"/>
        <v>0.98569897137310125</v>
      </c>
      <c r="P77">
        <f t="shared" si="13"/>
        <v>0</v>
      </c>
      <c r="Q77">
        <f t="shared" si="14"/>
        <v>0</v>
      </c>
      <c r="R77">
        <f t="shared" si="15"/>
        <v>0</v>
      </c>
    </row>
    <row r="78" spans="1:18" x14ac:dyDescent="0.3">
      <c r="A78" s="1">
        <v>45055</v>
      </c>
      <c r="B78">
        <v>15727.7</v>
      </c>
      <c r="C78" s="2">
        <f t="shared" si="16"/>
        <v>1.7901655162750746E-3</v>
      </c>
      <c r="D78">
        <f t="shared" si="17"/>
        <v>1</v>
      </c>
      <c r="E78" s="2">
        <f t="shared" si="18"/>
        <v>1.7901655162750746E-3</v>
      </c>
      <c r="F78" s="2">
        <f t="shared" si="11"/>
        <v>1.7901655162750746E-3</v>
      </c>
      <c r="G78" s="2">
        <f t="shared" si="8"/>
        <v>0.27227727857566064</v>
      </c>
      <c r="H78">
        <f t="shared" si="9"/>
        <v>92</v>
      </c>
      <c r="I78" s="2">
        <f t="shared" si="10"/>
        <v>0.13357803899446419</v>
      </c>
      <c r="J78" s="2" cm="1">
        <f t="array" ref="J78">SQRT(SUM(IF(F19:F78&lt;AVERAGE(F19:F78),(F19:F78-AVERAGE(F19:F78))^2, 0)) / COUNT(F19:F78))*SQRT(365)</f>
        <v>9.7102902313767406E-2</v>
      </c>
      <c r="O78" s="2">
        <f t="shared" si="12"/>
        <v>0.99657928368420046</v>
      </c>
      <c r="P78">
        <f t="shared" si="13"/>
        <v>0</v>
      </c>
      <c r="Q78">
        <f t="shared" si="14"/>
        <v>0</v>
      </c>
      <c r="R78">
        <f t="shared" si="15"/>
        <v>0</v>
      </c>
    </row>
    <row r="79" spans="1:18" x14ac:dyDescent="0.3">
      <c r="A79" s="1">
        <v>45056</v>
      </c>
      <c r="B79">
        <v>15641.76</v>
      </c>
      <c r="C79" s="2">
        <f t="shared" si="16"/>
        <v>-5.4792282052054568E-3</v>
      </c>
      <c r="D79">
        <f t="shared" si="17"/>
        <v>1</v>
      </c>
      <c r="E79" s="2">
        <f t="shared" si="18"/>
        <v>-5.4792282052054568E-3</v>
      </c>
      <c r="F79" s="2">
        <f t="shared" si="11"/>
        <v>-5.4792282052054568E-3</v>
      </c>
      <c r="G79" s="2">
        <f t="shared" si="8"/>
        <v>0.27227727857566064</v>
      </c>
      <c r="H79">
        <f t="shared" si="9"/>
        <v>92</v>
      </c>
      <c r="I79" s="2">
        <f t="shared" si="10"/>
        <v>0.13430246971986379</v>
      </c>
      <c r="J79" s="2" cm="1">
        <f t="array" ref="J79">SQRT(SUM(IF(F20:F79&lt;AVERAGE(F20:F79),(F20:F79-AVERAGE(F20:F79))^2, 0)) / COUNT(F20:F79))*SQRT(365)</f>
        <v>9.7108404532849746E-2</v>
      </c>
      <c r="O79" s="2">
        <f t="shared" si="12"/>
        <v>1.0181264768159082</v>
      </c>
      <c r="P79">
        <f t="shared" si="13"/>
        <v>1</v>
      </c>
      <c r="Q79">
        <f t="shared" si="14"/>
        <v>0</v>
      </c>
      <c r="R79">
        <f t="shared" si="15"/>
        <v>1</v>
      </c>
    </row>
    <row r="80" spans="1:18" x14ac:dyDescent="0.3">
      <c r="A80" s="1">
        <v>45057</v>
      </c>
      <c r="B80">
        <v>15514.64</v>
      </c>
      <c r="C80" s="2">
        <f t="shared" si="16"/>
        <v>-8.1601664756810327E-3</v>
      </c>
      <c r="D80">
        <f t="shared" si="17"/>
        <v>1</v>
      </c>
      <c r="E80" s="2">
        <f t="shared" si="18"/>
        <v>-8.1601664756810327E-3</v>
      </c>
      <c r="F80" s="2">
        <f t="shared" si="11"/>
        <v>-8.1601664756810327E-3</v>
      </c>
      <c r="G80" s="2">
        <f t="shared" si="8"/>
        <v>0.26436623727951547</v>
      </c>
      <c r="H80">
        <f t="shared" si="9"/>
        <v>92</v>
      </c>
      <c r="I80" s="2">
        <f t="shared" si="10"/>
        <v>0.13117840067196399</v>
      </c>
      <c r="J80" s="2" cm="1">
        <f t="array" ref="J80">SQRT(SUM(IF(F21:F80&lt;AVERAGE(F21:F80),(F21:F80-AVERAGE(F21:F80))^2, 0)) / COUNT(F21:F80))*SQRT(365)</f>
        <v>9.5480666590428975E-2</v>
      </c>
      <c r="O80" s="2">
        <f t="shared" si="12"/>
        <v>1.0378507010152991</v>
      </c>
      <c r="P80">
        <f t="shared" si="13"/>
        <v>1</v>
      </c>
      <c r="Q80">
        <f t="shared" si="14"/>
        <v>0</v>
      </c>
      <c r="R80">
        <f t="shared" si="15"/>
        <v>1</v>
      </c>
    </row>
    <row r="81" spans="1:18" x14ac:dyDescent="0.3">
      <c r="A81" s="1">
        <v>45058</v>
      </c>
      <c r="B81">
        <v>15502.36</v>
      </c>
      <c r="C81" s="2">
        <f t="shared" si="16"/>
        <v>-7.9182387991187631E-4</v>
      </c>
      <c r="D81">
        <f t="shared" si="17"/>
        <v>1</v>
      </c>
      <c r="E81" s="2">
        <f t="shared" si="18"/>
        <v>-7.9182387991187631E-4</v>
      </c>
      <c r="F81" s="2">
        <f t="shared" si="11"/>
        <v>-7.9182387991187631E-4</v>
      </c>
      <c r="G81" s="2">
        <f t="shared" si="8"/>
        <v>0.26436623727951547</v>
      </c>
      <c r="H81">
        <f t="shared" si="9"/>
        <v>92</v>
      </c>
      <c r="I81" s="2">
        <f t="shared" si="10"/>
        <v>0.13116255074519548</v>
      </c>
      <c r="J81" s="2" cm="1">
        <f t="array" ref="J81">SQRT(SUM(IF(F22:F81&lt;AVERAGE(F22:F81),(F22:F81-AVERAGE(F22:F81))^2, 0)) / COUNT(F22:F81))*SQRT(365)</f>
        <v>9.5535074519538382E-2</v>
      </c>
      <c r="O81" s="2">
        <f t="shared" si="12"/>
        <v>1.0433843621229284</v>
      </c>
      <c r="P81">
        <f t="shared" si="13"/>
        <v>1</v>
      </c>
      <c r="Q81">
        <f t="shared" si="14"/>
        <v>0</v>
      </c>
      <c r="R81">
        <f t="shared" si="15"/>
        <v>1</v>
      </c>
    </row>
    <row r="82" spans="1:18" x14ac:dyDescent="0.3">
      <c r="A82" s="1">
        <v>45061</v>
      </c>
      <c r="B82">
        <v>15475.05</v>
      </c>
      <c r="C82" s="2">
        <f t="shared" si="16"/>
        <v>-1.7632208164238404E-3</v>
      </c>
      <c r="D82">
        <f t="shared" si="17"/>
        <v>3</v>
      </c>
      <c r="E82" s="2">
        <f t="shared" si="18"/>
        <v>-5.8774027214128011E-4</v>
      </c>
      <c r="F82" s="2">
        <f t="shared" si="11"/>
        <v>-1.0179960130030561E-3</v>
      </c>
      <c r="G82" s="2">
        <f t="shared" si="8"/>
        <v>0.26436623727951547</v>
      </c>
      <c r="H82">
        <f t="shared" si="9"/>
        <v>94</v>
      </c>
      <c r="I82" s="2">
        <f t="shared" si="10"/>
        <v>0.13116966616244546</v>
      </c>
      <c r="J82" s="2" cm="1">
        <f t="array" ref="J82">SQRT(SUM(IF(F23:F82&lt;AVERAGE(F23:F82),(F23:F82-AVERAGE(F23:F82))^2, 0)) / COUNT(F23:F82))*SQRT(365)</f>
        <v>9.5503949133192309E-2</v>
      </c>
      <c r="O82" s="2">
        <f t="shared" si="12"/>
        <v>1.0456114842924578</v>
      </c>
      <c r="P82">
        <f t="shared" si="13"/>
        <v>1</v>
      </c>
      <c r="Q82">
        <f t="shared" si="14"/>
        <v>0</v>
      </c>
      <c r="R82">
        <f t="shared" si="15"/>
        <v>1</v>
      </c>
    </row>
    <row r="83" spans="1:18" x14ac:dyDescent="0.3">
      <c r="A83" s="1">
        <v>45062</v>
      </c>
      <c r="B83">
        <v>15673.9</v>
      </c>
      <c r="C83" s="2">
        <f t="shared" si="16"/>
        <v>1.2767859034765922E-2</v>
      </c>
      <c r="D83">
        <f t="shared" si="17"/>
        <v>1</v>
      </c>
      <c r="E83" s="2">
        <f t="shared" si="18"/>
        <v>1.2767859034765922E-2</v>
      </c>
      <c r="F83" s="2">
        <f t="shared" si="11"/>
        <v>1.2767859034765922E-2</v>
      </c>
      <c r="G83" s="2">
        <f t="shared" si="8"/>
        <v>0.27227727857566064</v>
      </c>
      <c r="H83">
        <f t="shared" si="9"/>
        <v>92</v>
      </c>
      <c r="I83" s="2">
        <f t="shared" si="10"/>
        <v>0.13500865140873244</v>
      </c>
      <c r="J83" s="2" cm="1">
        <f t="array" ref="J83">SQRT(SUM(IF(F24:F83&lt;AVERAGE(F24:F83),(F24:F83-AVERAGE(F24:F83))^2, 0)) / COUNT(F24:F83))*SQRT(365)</f>
        <v>9.7836277789819251E-2</v>
      </c>
      <c r="O83" s="2">
        <f t="shared" si="12"/>
        <v>1.0328016639126192</v>
      </c>
      <c r="P83">
        <f t="shared" si="13"/>
        <v>1</v>
      </c>
      <c r="Q83">
        <f t="shared" si="14"/>
        <v>0</v>
      </c>
      <c r="R83">
        <f t="shared" si="15"/>
        <v>1</v>
      </c>
    </row>
    <row r="84" spans="1:18" x14ac:dyDescent="0.3">
      <c r="A84" s="1">
        <v>45063</v>
      </c>
      <c r="B84">
        <v>15925.29</v>
      </c>
      <c r="C84" s="2">
        <f t="shared" si="16"/>
        <v>1.5911503035511358E-2</v>
      </c>
      <c r="D84">
        <f t="shared" si="17"/>
        <v>1</v>
      </c>
      <c r="E84" s="2">
        <f t="shared" si="18"/>
        <v>1.5911503035511358E-2</v>
      </c>
      <c r="F84" s="2">
        <f t="shared" si="11"/>
        <v>1.5911503035511358E-2</v>
      </c>
      <c r="G84" s="2">
        <f t="shared" si="8"/>
        <v>0.27227727857566064</v>
      </c>
      <c r="H84">
        <f t="shared" si="9"/>
        <v>92</v>
      </c>
      <c r="I84" s="2">
        <f t="shared" si="10"/>
        <v>0.13957567152957578</v>
      </c>
      <c r="J84" s="2" cm="1">
        <f t="array" ref="J84">SQRT(SUM(IF(F25:F84&lt;AVERAGE(F25:F84),(F25:F84-AVERAGE(F25:F84))^2, 0)) / COUNT(F25:F84))*SQRT(365)</f>
        <v>9.9321569851880231E-2</v>
      </c>
      <c r="O84" s="2">
        <f t="shared" si="12"/>
        <v>1.014695493771228</v>
      </c>
      <c r="P84">
        <f t="shared" si="13"/>
        <v>0</v>
      </c>
      <c r="Q84">
        <f t="shared" si="14"/>
        <v>0</v>
      </c>
      <c r="R84">
        <f t="shared" si="15"/>
        <v>0</v>
      </c>
    </row>
    <row r="85" spans="1:18" x14ac:dyDescent="0.3">
      <c r="A85" s="1">
        <v>45064</v>
      </c>
      <c r="B85">
        <v>16101.88</v>
      </c>
      <c r="C85" s="2">
        <f t="shared" si="16"/>
        <v>1.1027623706157065E-2</v>
      </c>
      <c r="D85">
        <f t="shared" si="17"/>
        <v>1</v>
      </c>
      <c r="E85" s="2">
        <f t="shared" si="18"/>
        <v>1.1027623706157065E-2</v>
      </c>
      <c r="F85" s="2">
        <f t="shared" si="11"/>
        <v>1.1027623706157065E-2</v>
      </c>
      <c r="G85" s="2">
        <f t="shared" si="8"/>
        <v>0.29026878172508053</v>
      </c>
      <c r="H85">
        <f t="shared" si="9"/>
        <v>92</v>
      </c>
      <c r="I85" s="2">
        <f t="shared" si="10"/>
        <v>0.13739514784745924</v>
      </c>
      <c r="J85" s="2" cm="1">
        <f t="array" ref="J85">SQRT(SUM(IF(F26:F85&lt;AVERAGE(F26:F85),(F26:F85-AVERAGE(F26:F85))^2, 0)) / COUNT(F26:F85))*SQRT(365)</f>
        <v>9.7000288345504324E-2</v>
      </c>
      <c r="O85" s="2">
        <f t="shared" si="12"/>
        <v>1.0118073169095783</v>
      </c>
      <c r="P85">
        <f t="shared" si="13"/>
        <v>0</v>
      </c>
      <c r="Q85">
        <f t="shared" si="14"/>
        <v>0</v>
      </c>
      <c r="R85">
        <f t="shared" si="15"/>
        <v>0</v>
      </c>
    </row>
    <row r="86" spans="1:18" x14ac:dyDescent="0.3">
      <c r="A86" s="1">
        <v>45065</v>
      </c>
      <c r="B86">
        <v>16174.92</v>
      </c>
      <c r="C86" s="2">
        <f t="shared" si="16"/>
        <v>4.5258591109150559E-3</v>
      </c>
      <c r="D86">
        <f t="shared" si="17"/>
        <v>1</v>
      </c>
      <c r="E86" s="2">
        <f t="shared" si="18"/>
        <v>4.5258591109150559E-3</v>
      </c>
      <c r="F86" s="2">
        <f t="shared" si="11"/>
        <v>4.5258591109150559E-3</v>
      </c>
      <c r="G86" s="2">
        <f t="shared" si="8"/>
        <v>0.29026878172508053</v>
      </c>
      <c r="H86">
        <f t="shared" si="9"/>
        <v>92</v>
      </c>
      <c r="I86" s="2">
        <f t="shared" si="10"/>
        <v>0.13662578369763598</v>
      </c>
      <c r="J86" s="2" cm="1">
        <f t="array" ref="J86">SQRT(SUM(IF(F27:F86&lt;AVERAGE(F27:F86),(F27:F86-AVERAGE(F27:F86))^2, 0)) / COUNT(F27:F86))*SQRT(365)</f>
        <v>9.6484722214413066E-2</v>
      </c>
      <c r="O86" s="2">
        <f t="shared" si="12"/>
        <v>1.0204099927542145</v>
      </c>
      <c r="P86">
        <f t="shared" si="13"/>
        <v>1</v>
      </c>
      <c r="Q86">
        <f t="shared" si="14"/>
        <v>0</v>
      </c>
      <c r="R86">
        <f t="shared" si="15"/>
        <v>1</v>
      </c>
    </row>
    <row r="87" spans="1:18" x14ac:dyDescent="0.3">
      <c r="A87" s="1">
        <v>45068</v>
      </c>
      <c r="B87">
        <v>16180.89</v>
      </c>
      <c r="C87" s="2">
        <f t="shared" si="16"/>
        <v>3.6902182747080913E-4</v>
      </c>
      <c r="D87">
        <f t="shared" si="17"/>
        <v>3</v>
      </c>
      <c r="E87" s="2">
        <f t="shared" si="18"/>
        <v>1.2300727582360304E-4</v>
      </c>
      <c r="F87" s="2">
        <f t="shared" si="11"/>
        <v>2.130548514271193E-4</v>
      </c>
      <c r="G87" s="2">
        <f t="shared" si="8"/>
        <v>0.29026878172508053</v>
      </c>
      <c r="H87">
        <f t="shared" si="9"/>
        <v>94</v>
      </c>
      <c r="I87" s="2">
        <f t="shared" si="10"/>
        <v>0.13604258912141326</v>
      </c>
      <c r="J87" s="2" cm="1">
        <f t="array" ref="J87">SQRT(SUM(IF(F28:F87&lt;AVERAGE(F28:F87),(F28:F87-AVERAGE(F28:F87))^2, 0)) / COUNT(F28:F87))*SQRT(365)</f>
        <v>9.6469518084148873E-2</v>
      </c>
      <c r="O87" s="2">
        <f t="shared" si="12"/>
        <v>1.0281449289872189</v>
      </c>
      <c r="P87">
        <f t="shared" si="13"/>
        <v>1</v>
      </c>
      <c r="Q87">
        <f t="shared" si="14"/>
        <v>0</v>
      </c>
      <c r="R87">
        <f t="shared" si="15"/>
        <v>1</v>
      </c>
    </row>
    <row r="88" spans="1:18" x14ac:dyDescent="0.3">
      <c r="A88" s="1">
        <v>45069</v>
      </c>
      <c r="B88">
        <v>16188.03</v>
      </c>
      <c r="C88" s="2">
        <f t="shared" si="16"/>
        <v>4.4116393848198809E-4</v>
      </c>
      <c r="D88">
        <f t="shared" si="17"/>
        <v>1</v>
      </c>
      <c r="E88" s="2">
        <f t="shared" si="18"/>
        <v>4.4116393848198809E-4</v>
      </c>
      <c r="F88" s="2">
        <f t="shared" si="11"/>
        <v>4.4116393848198809E-4</v>
      </c>
      <c r="G88" s="2">
        <f t="shared" si="8"/>
        <v>0.27227727857566064</v>
      </c>
      <c r="H88">
        <f t="shared" si="9"/>
        <v>92</v>
      </c>
      <c r="I88" s="2">
        <f t="shared" si="10"/>
        <v>0.13594010997116604</v>
      </c>
      <c r="J88" s="2" cm="1">
        <f t="array" ref="J88">SQRT(SUM(IF(F29:F88&lt;AVERAGE(F29:F88),(F29:F88-AVERAGE(F29:F88))^2, 0)) / COUNT(F29:F88))*SQRT(365)</f>
        <v>9.6103626241675469E-2</v>
      </c>
      <c r="O88" s="2">
        <f t="shared" si="12"/>
        <v>1.0268537925862504</v>
      </c>
      <c r="P88">
        <f t="shared" si="13"/>
        <v>1</v>
      </c>
      <c r="Q88">
        <f t="shared" si="14"/>
        <v>0</v>
      </c>
      <c r="R88">
        <f t="shared" si="15"/>
        <v>1</v>
      </c>
    </row>
    <row r="89" spans="1:18" x14ac:dyDescent="0.3">
      <c r="A89" s="1">
        <v>45070</v>
      </c>
      <c r="B89">
        <v>16159.32</v>
      </c>
      <c r="C89" s="2">
        <f t="shared" si="16"/>
        <v>-1.7751072368390132E-3</v>
      </c>
      <c r="D89">
        <f t="shared" si="17"/>
        <v>1</v>
      </c>
      <c r="E89" s="2">
        <f t="shared" si="18"/>
        <v>-1.7751072368390132E-3</v>
      </c>
      <c r="F89" s="2">
        <f t="shared" si="11"/>
        <v>-1.7751072368390132E-3</v>
      </c>
      <c r="G89" s="2">
        <f t="shared" si="8"/>
        <v>0.26436623727951547</v>
      </c>
      <c r="H89">
        <f t="shared" si="9"/>
        <v>92</v>
      </c>
      <c r="I89" s="2">
        <f t="shared" si="10"/>
        <v>0.13605603792056886</v>
      </c>
      <c r="J89" s="2" cm="1">
        <f t="array" ref="J89">SQRT(SUM(IF(F30:F89&lt;AVERAGE(F30:F89),(F30:F89-AVERAGE(F30:F89))^2, 0)) / COUNT(F30:F89))*SQRT(365)</f>
        <v>9.5848039331332596E-2</v>
      </c>
      <c r="O89" s="2">
        <f t="shared" si="12"/>
        <v>1.0259689145335322</v>
      </c>
      <c r="P89">
        <f t="shared" si="13"/>
        <v>1</v>
      </c>
      <c r="Q89">
        <f t="shared" si="14"/>
        <v>0</v>
      </c>
      <c r="R89">
        <f t="shared" si="15"/>
        <v>1</v>
      </c>
    </row>
    <row r="90" spans="1:18" x14ac:dyDescent="0.3">
      <c r="A90" s="1">
        <v>45071</v>
      </c>
      <c r="B90">
        <v>16292</v>
      </c>
      <c r="C90" s="2">
        <f t="shared" si="16"/>
        <v>8.1772167864924434E-3</v>
      </c>
      <c r="D90">
        <f t="shared" si="17"/>
        <v>1</v>
      </c>
      <c r="E90" s="2">
        <f t="shared" si="18"/>
        <v>8.1772167864924434E-3</v>
      </c>
      <c r="F90" s="2">
        <f t="shared" si="11"/>
        <v>8.1772167864924434E-3</v>
      </c>
      <c r="G90" s="2">
        <f t="shared" si="8"/>
        <v>0.28639908800420549</v>
      </c>
      <c r="H90">
        <f t="shared" si="9"/>
        <v>92</v>
      </c>
      <c r="I90" s="2">
        <f t="shared" si="10"/>
        <v>0.13510747486423902</v>
      </c>
      <c r="J90" s="2" cm="1">
        <f t="array" ref="J90">SQRT(SUM(IF(F31:F90&lt;AVERAGE(F31:F90),(F31:F90-AVERAGE(F31:F90))^2, 0)) / COUNT(F31:F90))*SQRT(365)</f>
        <v>9.5608264591463002E-2</v>
      </c>
      <c r="O90" s="2">
        <f t="shared" si="12"/>
        <v>1.0135434569113677</v>
      </c>
      <c r="P90">
        <f t="shared" si="13"/>
        <v>0</v>
      </c>
      <c r="Q90">
        <f t="shared" si="14"/>
        <v>0</v>
      </c>
      <c r="R90">
        <f t="shared" si="15"/>
        <v>0</v>
      </c>
    </row>
    <row r="91" spans="1:18" x14ac:dyDescent="0.3">
      <c r="A91" s="1">
        <v>45072</v>
      </c>
      <c r="B91">
        <v>16505.05</v>
      </c>
      <c r="C91" s="2">
        <f t="shared" si="16"/>
        <v>1.2992204899436326E-2</v>
      </c>
      <c r="D91">
        <f t="shared" si="17"/>
        <v>1</v>
      </c>
      <c r="E91" s="2">
        <f t="shared" si="18"/>
        <v>1.2992204899436326E-2</v>
      </c>
      <c r="F91" s="2">
        <f t="shared" si="11"/>
        <v>1.2992204899436326E-2</v>
      </c>
      <c r="G91" s="2">
        <f t="shared" si="8"/>
        <v>0.28639908800420549</v>
      </c>
      <c r="H91">
        <f t="shared" si="9"/>
        <v>92</v>
      </c>
      <c r="I91" s="2">
        <f t="shared" si="10"/>
        <v>0.1352838533666478</v>
      </c>
      <c r="J91" s="2" cm="1">
        <f t="array" ref="J91">SQRT(SUM(IF(F32:F91&lt;AVERAGE(F32:F91),(F32:F91-AVERAGE(F32:F91))^2, 0)) / COUNT(F32:F91))*SQRT(365)</f>
        <v>9.5660891601922746E-2</v>
      </c>
      <c r="O91" s="2">
        <f t="shared" si="12"/>
        <v>1.0122301962126743</v>
      </c>
      <c r="P91">
        <f t="shared" si="13"/>
        <v>0</v>
      </c>
      <c r="Q91">
        <f t="shared" si="14"/>
        <v>0</v>
      </c>
      <c r="R91">
        <f t="shared" si="15"/>
        <v>0</v>
      </c>
    </row>
    <row r="92" spans="1:18" x14ac:dyDescent="0.3">
      <c r="A92" s="1">
        <v>45075</v>
      </c>
      <c r="B92">
        <v>16636.3</v>
      </c>
      <c r="C92" s="2">
        <f t="shared" si="16"/>
        <v>7.9206602135199252E-3</v>
      </c>
      <c r="D92">
        <f t="shared" si="17"/>
        <v>3</v>
      </c>
      <c r="E92" s="2">
        <f t="shared" si="18"/>
        <v>2.6402200711733085E-3</v>
      </c>
      <c r="F92" s="2">
        <f t="shared" si="11"/>
        <v>4.5729953064352876E-3</v>
      </c>
      <c r="G92" s="2">
        <f t="shared" si="8"/>
        <v>0.31969554617577967</v>
      </c>
      <c r="H92">
        <f t="shared" si="9"/>
        <v>94</v>
      </c>
      <c r="I92" s="2">
        <f t="shared" si="10"/>
        <v>0.13411241319169351</v>
      </c>
      <c r="J92" s="2" cm="1">
        <f t="array" ref="J92">SQRT(SUM(IF(F33:F92&lt;AVERAGE(F33:F92),(F33:F92-AVERAGE(F33:F92))^2, 0)) / COUNT(F33:F92))*SQRT(365)</f>
        <v>9.5520690015874543E-2</v>
      </c>
      <c r="O92" s="2">
        <f t="shared" si="12"/>
        <v>1.0046963567620204</v>
      </c>
      <c r="P92">
        <f t="shared" si="13"/>
        <v>0</v>
      </c>
      <c r="Q92">
        <f t="shared" si="14"/>
        <v>0</v>
      </c>
      <c r="R92">
        <f t="shared" si="15"/>
        <v>0</v>
      </c>
    </row>
    <row r="93" spans="1:18" x14ac:dyDescent="0.3">
      <c r="A93" s="1">
        <v>45076</v>
      </c>
      <c r="B93">
        <v>16622.740000000002</v>
      </c>
      <c r="C93" s="2">
        <f t="shared" si="16"/>
        <v>-8.1541744748745858E-4</v>
      </c>
      <c r="D93">
        <f t="shared" si="17"/>
        <v>1</v>
      </c>
      <c r="E93" s="2">
        <f t="shared" si="18"/>
        <v>-8.1541744748745858E-4</v>
      </c>
      <c r="F93" s="2">
        <f t="shared" si="11"/>
        <v>-8.1541744748745858E-4</v>
      </c>
      <c r="G93" s="2">
        <f t="shared" si="8"/>
        <v>0.28639908800420549</v>
      </c>
      <c r="H93">
        <f t="shared" si="9"/>
        <v>90</v>
      </c>
      <c r="I93" s="2">
        <f t="shared" si="10"/>
        <v>0.13411002665162075</v>
      </c>
      <c r="J93" s="2" cm="1">
        <f t="array" ref="J93">SQRT(SUM(IF(F34:F93&lt;AVERAGE(F34:F93),(F34:F93-AVERAGE(F34:F93))^2, 0)) / COUNT(F34:F93))*SQRT(365)</f>
        <v>9.5043923622525242E-2</v>
      </c>
      <c r="O93" s="2">
        <f t="shared" si="12"/>
        <v>1.0083572263056511</v>
      </c>
      <c r="P93">
        <f t="shared" si="13"/>
        <v>0</v>
      </c>
      <c r="Q93">
        <f t="shared" si="14"/>
        <v>0</v>
      </c>
      <c r="R93">
        <f t="shared" si="15"/>
        <v>0</v>
      </c>
    </row>
    <row r="94" spans="1:18" x14ac:dyDescent="0.3">
      <c r="A94" s="1">
        <v>45077</v>
      </c>
      <c r="B94">
        <v>16578.96</v>
      </c>
      <c r="C94" s="2">
        <f t="shared" si="16"/>
        <v>-2.6372158879708106E-3</v>
      </c>
      <c r="D94">
        <f t="shared" si="17"/>
        <v>1</v>
      </c>
      <c r="E94" s="2">
        <f t="shared" si="18"/>
        <v>-2.6372158879708106E-3</v>
      </c>
      <c r="F94" s="2">
        <f t="shared" si="11"/>
        <v>-2.6372158879708106E-3</v>
      </c>
      <c r="G94" s="2">
        <f t="shared" si="8"/>
        <v>0.28639908800420549</v>
      </c>
      <c r="H94">
        <f t="shared" si="9"/>
        <v>90</v>
      </c>
      <c r="I94" s="2">
        <f t="shared" si="10"/>
        <v>0.13437876889056394</v>
      </c>
      <c r="J94" s="2" cm="1">
        <f t="array" ref="J94">SQRT(SUM(IF(F35:F94&lt;AVERAGE(F35:F94),(F35:F94-AVERAGE(F35:F94))^2, 0)) / COUNT(F35:F94))*SQRT(365)</f>
        <v>9.4982950435810218E-2</v>
      </c>
      <c r="O94" s="2">
        <f t="shared" si="12"/>
        <v>1.0207202381814058</v>
      </c>
      <c r="P94">
        <f t="shared" si="13"/>
        <v>1</v>
      </c>
      <c r="Q94">
        <f t="shared" si="14"/>
        <v>0</v>
      </c>
      <c r="R94">
        <f t="shared" si="15"/>
        <v>1</v>
      </c>
    </row>
    <row r="95" spans="1:18" x14ac:dyDescent="0.3">
      <c r="A95" s="1">
        <v>45078</v>
      </c>
      <c r="B95">
        <v>16512.650000000001</v>
      </c>
      <c r="C95" s="2">
        <f t="shared" si="16"/>
        <v>-4.0076677292278816E-3</v>
      </c>
      <c r="D95">
        <f t="shared" si="17"/>
        <v>1</v>
      </c>
      <c r="E95" s="2">
        <f t="shared" si="18"/>
        <v>-4.0076677292278816E-3</v>
      </c>
      <c r="F95" s="2">
        <f t="shared" si="11"/>
        <v>-4.0076677292278816E-3</v>
      </c>
      <c r="G95" s="2">
        <f t="shared" si="8"/>
        <v>0.28639908800420549</v>
      </c>
      <c r="H95">
        <f t="shared" si="9"/>
        <v>90</v>
      </c>
      <c r="I95" s="2">
        <f t="shared" si="10"/>
        <v>0.13491478525389611</v>
      </c>
      <c r="J95" s="2" cm="1">
        <f t="array" ref="J95">SQRT(SUM(IF(F36:F95&lt;AVERAGE(F36:F95),(F36:F95-AVERAGE(F36:F95))^2, 0)) / COUNT(F36:F95))*SQRT(365)</f>
        <v>9.4961825662343929E-2</v>
      </c>
      <c r="O95" s="2">
        <f t="shared" si="12"/>
        <v>1.0133861009589615</v>
      </c>
      <c r="P95">
        <f t="shared" si="13"/>
        <v>0</v>
      </c>
      <c r="Q95">
        <f t="shared" si="14"/>
        <v>0</v>
      </c>
      <c r="R95">
        <f t="shared" si="15"/>
        <v>0</v>
      </c>
    </row>
    <row r="96" spans="1:18" x14ac:dyDescent="0.3">
      <c r="A96" s="1">
        <v>45079</v>
      </c>
      <c r="B96">
        <v>16706.91</v>
      </c>
      <c r="C96" s="2">
        <f t="shared" si="16"/>
        <v>1.1695652463146943E-2</v>
      </c>
      <c r="D96">
        <f t="shared" si="17"/>
        <v>1</v>
      </c>
      <c r="E96" s="2">
        <f t="shared" si="18"/>
        <v>1.1695652463146943E-2</v>
      </c>
      <c r="F96" s="2">
        <f t="shared" si="11"/>
        <v>1.1695652463146943E-2</v>
      </c>
      <c r="G96" s="2">
        <f t="shared" si="8"/>
        <v>0.28639908800420549</v>
      </c>
      <c r="H96">
        <f t="shared" si="9"/>
        <v>88</v>
      </c>
      <c r="I96" s="2">
        <f t="shared" si="10"/>
        <v>0.13705667664105031</v>
      </c>
      <c r="J96" s="2" cm="1">
        <f t="array" ref="J96">SQRT(SUM(IF(F37:F96&lt;AVERAGE(F37:F96),(F37:F96-AVERAGE(F37:F96))^2, 0)) / COUNT(F37:F96))*SQRT(365)</f>
        <v>9.5967152696407876E-2</v>
      </c>
      <c r="O96" s="2">
        <f t="shared" si="12"/>
        <v>1.0107434588442747</v>
      </c>
      <c r="P96">
        <f t="shared" si="13"/>
        <v>0</v>
      </c>
      <c r="Q96">
        <f t="shared" si="14"/>
        <v>0</v>
      </c>
      <c r="R96">
        <f t="shared" si="15"/>
        <v>0</v>
      </c>
    </row>
    <row r="97" spans="1:18" x14ac:dyDescent="0.3">
      <c r="A97" s="1">
        <v>45082</v>
      </c>
      <c r="B97">
        <v>16714.43</v>
      </c>
      <c r="C97" s="2">
        <f t="shared" si="16"/>
        <v>4.5001188623250426E-4</v>
      </c>
      <c r="D97">
        <f t="shared" si="17"/>
        <v>3</v>
      </c>
      <c r="E97" s="2">
        <f t="shared" si="18"/>
        <v>1.5000396207750141E-4</v>
      </c>
      <c r="F97" s="2">
        <f t="shared" si="11"/>
        <v>2.598144836548676E-4</v>
      </c>
      <c r="G97" s="2">
        <f t="shared" si="8"/>
        <v>0.26436623727951547</v>
      </c>
      <c r="H97">
        <f t="shared" si="9"/>
        <v>90</v>
      </c>
      <c r="I97" s="2">
        <f t="shared" si="10"/>
        <v>0.13646939553659801</v>
      </c>
      <c r="J97" s="2" cm="1">
        <f t="array" ref="J97">SQRT(SUM(IF(F38:F97&lt;AVERAGE(F38:F97),(F38:F97-AVERAGE(F38:F97))^2, 0)) / COUNT(F38:F97))*SQRT(365)</f>
        <v>9.5017407974246057E-2</v>
      </c>
      <c r="O97" s="2">
        <f t="shared" si="12"/>
        <v>1.0144150892372639</v>
      </c>
      <c r="P97">
        <f t="shared" si="13"/>
        <v>0</v>
      </c>
      <c r="Q97">
        <f t="shared" si="14"/>
        <v>0</v>
      </c>
      <c r="R97">
        <f t="shared" si="15"/>
        <v>0</v>
      </c>
    </row>
    <row r="98" spans="1:18" x14ac:dyDescent="0.3">
      <c r="A98" s="1">
        <v>45083</v>
      </c>
      <c r="B98">
        <v>16761.66</v>
      </c>
      <c r="C98" s="2">
        <f t="shared" si="16"/>
        <v>2.821717311516907E-3</v>
      </c>
      <c r="D98">
        <f t="shared" si="17"/>
        <v>1</v>
      </c>
      <c r="E98" s="2">
        <f t="shared" si="18"/>
        <v>2.821717311516907E-3</v>
      </c>
      <c r="F98" s="2">
        <f t="shared" si="11"/>
        <v>2.821717311516907E-3</v>
      </c>
      <c r="G98" s="2">
        <f t="shared" si="8"/>
        <v>0.28639908800420549</v>
      </c>
      <c r="H98">
        <f t="shared" si="9"/>
        <v>90</v>
      </c>
      <c r="I98" s="2">
        <f t="shared" si="10"/>
        <v>0.13630514619126899</v>
      </c>
      <c r="J98" s="2" cm="1">
        <f t="array" ref="J98">SQRT(SUM(IF(F39:F98&lt;AVERAGE(F39:F98),(F39:F98-AVERAGE(F39:F98))^2, 0)) / COUNT(F39:F98))*SQRT(365)</f>
        <v>9.5550426906127042E-2</v>
      </c>
      <c r="O98" s="2">
        <f t="shared" si="12"/>
        <v>1.0271417031487333</v>
      </c>
      <c r="P98">
        <f t="shared" si="13"/>
        <v>1</v>
      </c>
      <c r="Q98">
        <f t="shared" si="14"/>
        <v>0</v>
      </c>
      <c r="R98">
        <f t="shared" si="15"/>
        <v>1</v>
      </c>
    </row>
    <row r="99" spans="1:18" x14ac:dyDescent="0.3">
      <c r="A99" s="1">
        <v>45084</v>
      </c>
      <c r="B99">
        <v>16922.48</v>
      </c>
      <c r="C99" s="2">
        <f t="shared" si="16"/>
        <v>9.5487800461222638E-3</v>
      </c>
      <c r="D99">
        <f t="shared" si="17"/>
        <v>1</v>
      </c>
      <c r="E99" s="2">
        <f t="shared" si="18"/>
        <v>9.5487800461222638E-3</v>
      </c>
      <c r="F99" s="2">
        <f t="shared" si="11"/>
        <v>9.5487800461222638E-3</v>
      </c>
      <c r="G99" s="2">
        <f t="shared" si="8"/>
        <v>0.31969554617577967</v>
      </c>
      <c r="H99">
        <f t="shared" si="9"/>
        <v>90</v>
      </c>
      <c r="I99" s="2">
        <f t="shared" si="10"/>
        <v>0.13760021135437547</v>
      </c>
      <c r="J99" s="2" cm="1">
        <f t="array" ref="J99">SQRT(SUM(IF(F40:F99&lt;AVERAGE(F40:F99),(F40:F99-AVERAGE(F40:F99))^2, 0)) / COUNT(F40:F99))*SQRT(365)</f>
        <v>9.7126702606541673E-2</v>
      </c>
      <c r="O99" s="2">
        <f t="shared" si="12"/>
        <v>1.0186532943161994</v>
      </c>
      <c r="P99">
        <f t="shared" si="13"/>
        <v>1</v>
      </c>
      <c r="Q99">
        <f t="shared" si="14"/>
        <v>0</v>
      </c>
      <c r="R99">
        <f t="shared" si="15"/>
        <v>1</v>
      </c>
    </row>
    <row r="100" spans="1:18" x14ac:dyDescent="0.3">
      <c r="A100" s="1">
        <v>45085</v>
      </c>
      <c r="B100">
        <v>16733.689999999999</v>
      </c>
      <c r="C100" s="2">
        <f t="shared" si="16"/>
        <v>-1.1218862998001053E-2</v>
      </c>
      <c r="D100">
        <f t="shared" si="17"/>
        <v>1</v>
      </c>
      <c r="E100" s="2">
        <f t="shared" si="18"/>
        <v>-1.1218862998001053E-2</v>
      </c>
      <c r="F100" s="2">
        <f t="shared" si="11"/>
        <v>-1.1218862998001053E-2</v>
      </c>
      <c r="G100" s="2">
        <f t="shared" si="8"/>
        <v>0.31969554617577967</v>
      </c>
      <c r="H100">
        <f t="shared" si="9"/>
        <v>90</v>
      </c>
      <c r="I100" s="2">
        <f t="shared" si="10"/>
        <v>0.13468913003902472</v>
      </c>
      <c r="J100" s="2" cm="1">
        <f t="array" ref="J100">SQRT(SUM(IF(F41:F100&lt;AVERAGE(F41:F100),(F41:F100-AVERAGE(F41:F100))^2, 0)) / COUNT(F41:F100))*SQRT(365)</f>
        <v>9.3778590850700005E-2</v>
      </c>
      <c r="O100" s="2">
        <f t="shared" si="12"/>
        <v>1.0359328994381993</v>
      </c>
      <c r="P100">
        <f t="shared" si="13"/>
        <v>1</v>
      </c>
      <c r="Q100">
        <f t="shared" si="14"/>
        <v>0</v>
      </c>
      <c r="R100">
        <f t="shared" si="15"/>
        <v>1</v>
      </c>
    </row>
    <row r="101" spans="1:18" x14ac:dyDescent="0.3">
      <c r="A101" s="1">
        <v>45086</v>
      </c>
      <c r="B101">
        <v>16886.400000000001</v>
      </c>
      <c r="C101" s="2">
        <f t="shared" si="16"/>
        <v>9.0845116857580666E-3</v>
      </c>
      <c r="D101">
        <f t="shared" si="17"/>
        <v>1</v>
      </c>
      <c r="E101" s="2">
        <f t="shared" si="18"/>
        <v>9.0845116857580666E-3</v>
      </c>
      <c r="F101" s="2">
        <f t="shared" si="11"/>
        <v>9.0845116857580666E-3</v>
      </c>
      <c r="G101" s="2">
        <f t="shared" si="8"/>
        <v>0.3666224117898243</v>
      </c>
      <c r="H101">
        <f t="shared" si="9"/>
        <v>88</v>
      </c>
      <c r="I101" s="2">
        <f t="shared" si="10"/>
        <v>0.1360986380582018</v>
      </c>
      <c r="J101" s="2" cm="1">
        <f t="array" ref="J101">SQRT(SUM(IF(F42:F101&lt;AVERAGE(F42:F101),(F42:F101-AVERAGE(F42:F101))^2, 0)) / COUNT(F42:F101))*SQRT(365)</f>
        <v>9.510221433800943E-2</v>
      </c>
      <c r="O101" s="2">
        <f t="shared" si="12"/>
        <v>1.023836341671404</v>
      </c>
      <c r="P101">
        <f t="shared" si="13"/>
        <v>1</v>
      </c>
      <c r="Q101">
        <f t="shared" si="14"/>
        <v>0</v>
      </c>
      <c r="R101">
        <f t="shared" si="15"/>
        <v>1</v>
      </c>
    </row>
    <row r="102" spans="1:18" x14ac:dyDescent="0.3">
      <c r="A102" s="1">
        <v>45089</v>
      </c>
      <c r="B102">
        <v>16955.37</v>
      </c>
      <c r="C102" s="2">
        <f t="shared" si="16"/>
        <v>4.0760335815309134E-3</v>
      </c>
      <c r="D102">
        <f t="shared" si="17"/>
        <v>3</v>
      </c>
      <c r="E102" s="2">
        <f t="shared" si="18"/>
        <v>1.3586778605103045E-3</v>
      </c>
      <c r="F102" s="2">
        <f t="shared" si="11"/>
        <v>2.3532990855228276E-3</v>
      </c>
      <c r="G102" s="2">
        <f t="shared" si="8"/>
        <v>0.41351336244955539</v>
      </c>
      <c r="H102">
        <f t="shared" si="9"/>
        <v>90</v>
      </c>
      <c r="I102" s="2">
        <f t="shared" si="10"/>
        <v>0.13134660154790276</v>
      </c>
      <c r="J102" s="2" cm="1">
        <f t="array" ref="J102">SQRT(SUM(IF(F43:F102&lt;AVERAGE(F43:F102),(F43:F102-AVERAGE(F43:F102))^2, 0)) / COUNT(F43:F102))*SQRT(365)</f>
        <v>9.0967561410404796E-2</v>
      </c>
      <c r="O102" s="2">
        <f t="shared" si="12"/>
        <v>1.0188253043136188</v>
      </c>
      <c r="P102">
        <f t="shared" si="13"/>
        <v>1</v>
      </c>
      <c r="Q102">
        <f t="shared" si="14"/>
        <v>0</v>
      </c>
      <c r="R102">
        <f t="shared" si="15"/>
        <v>1</v>
      </c>
    </row>
    <row r="103" spans="1:18" x14ac:dyDescent="0.3">
      <c r="A103" s="1">
        <v>45090</v>
      </c>
      <c r="B103">
        <v>17216.599999999999</v>
      </c>
      <c r="C103" s="2">
        <f t="shared" si="16"/>
        <v>1.5289436862453957E-2</v>
      </c>
      <c r="D103">
        <f t="shared" si="17"/>
        <v>1</v>
      </c>
      <c r="E103" s="2">
        <f t="shared" si="18"/>
        <v>1.5289436862453957E-2</v>
      </c>
      <c r="F103" s="2">
        <f t="shared" si="11"/>
        <v>1.5289436862453957E-2</v>
      </c>
      <c r="G103" s="2">
        <f t="shared" si="8"/>
        <v>0.41351336244955539</v>
      </c>
      <c r="H103">
        <f t="shared" si="9"/>
        <v>90</v>
      </c>
      <c r="I103" s="2">
        <f t="shared" si="10"/>
        <v>0.13564903246742757</v>
      </c>
      <c r="J103" s="2" cm="1">
        <f t="array" ref="J103">SQRT(SUM(IF(F44:F103&lt;AVERAGE(F44:F103),(F44:F103-AVERAGE(F44:F103))^2, 0)) / COUNT(F44:F103))*SQRT(365)</f>
        <v>9.3302275118472028E-2</v>
      </c>
      <c r="O103" s="2">
        <f t="shared" si="12"/>
        <v>0.99815933459568096</v>
      </c>
      <c r="P103">
        <f t="shared" si="13"/>
        <v>0</v>
      </c>
      <c r="Q103">
        <f t="shared" si="14"/>
        <v>0</v>
      </c>
      <c r="R103">
        <f t="shared" si="15"/>
        <v>0</v>
      </c>
    </row>
    <row r="104" spans="1:18" x14ac:dyDescent="0.3">
      <c r="A104" s="1">
        <v>45091</v>
      </c>
      <c r="B104">
        <v>17238.14</v>
      </c>
      <c r="C104" s="2">
        <f t="shared" si="16"/>
        <v>1.2503361108630348E-3</v>
      </c>
      <c r="D104">
        <f t="shared" si="17"/>
        <v>1</v>
      </c>
      <c r="E104" s="2">
        <f t="shared" si="18"/>
        <v>1.2503361108630348E-3</v>
      </c>
      <c r="F104" s="2">
        <f t="shared" si="11"/>
        <v>1.2503361108630348E-3</v>
      </c>
      <c r="G104" s="2">
        <f t="shared" si="8"/>
        <v>0.43318366690467941</v>
      </c>
      <c r="H104">
        <f t="shared" si="9"/>
        <v>90</v>
      </c>
      <c r="I104" s="2">
        <f t="shared" si="10"/>
        <v>0.13189707838902848</v>
      </c>
      <c r="J104" s="2" cm="1">
        <f t="array" ref="J104">SQRT(SUM(IF(F45:F104&lt;AVERAGE(F45:F104),(F45:F104-AVERAGE(F45:F104))^2, 0)) / COUNT(F45:F104))*SQRT(365)</f>
        <v>9.0034928746755172E-2</v>
      </c>
      <c r="O104" s="2">
        <f t="shared" si="12"/>
        <v>0.99792669046660498</v>
      </c>
      <c r="P104">
        <f t="shared" si="13"/>
        <v>0</v>
      </c>
      <c r="Q104">
        <f t="shared" si="14"/>
        <v>0</v>
      </c>
      <c r="R104">
        <f t="shared" si="15"/>
        <v>0</v>
      </c>
    </row>
    <row r="105" spans="1:18" x14ac:dyDescent="0.3">
      <c r="A105" s="1">
        <v>45092</v>
      </c>
      <c r="B105">
        <v>17334.98</v>
      </c>
      <c r="C105" s="2">
        <f t="shared" si="16"/>
        <v>5.6020546170439814E-3</v>
      </c>
      <c r="D105">
        <f t="shared" si="17"/>
        <v>1</v>
      </c>
      <c r="E105" s="2">
        <f t="shared" si="18"/>
        <v>5.6020546170439814E-3</v>
      </c>
      <c r="F105" s="2">
        <f t="shared" si="11"/>
        <v>5.6020546170439814E-3</v>
      </c>
      <c r="G105" s="2">
        <f t="shared" si="8"/>
        <v>0.43318366690467941</v>
      </c>
      <c r="H105">
        <f t="shared" si="9"/>
        <v>90</v>
      </c>
      <c r="I105" s="2">
        <f t="shared" si="10"/>
        <v>0.12806536466457674</v>
      </c>
      <c r="J105" s="2" cm="1">
        <f t="array" ref="J105">SQRT(SUM(IF(F46:F105&lt;AVERAGE(F46:F105),(F46:F105-AVERAGE(F46:F105))^2, 0)) / COUNT(F46:F105))*SQRT(365)</f>
        <v>8.8386242643489585E-2</v>
      </c>
      <c r="O105" s="2">
        <f t="shared" si="12"/>
        <v>0.98409343420067408</v>
      </c>
      <c r="P105">
        <f t="shared" si="13"/>
        <v>0</v>
      </c>
      <c r="Q105">
        <f t="shared" si="14"/>
        <v>1</v>
      </c>
      <c r="R105">
        <f t="shared" si="15"/>
        <v>1</v>
      </c>
    </row>
    <row r="106" spans="1:18" x14ac:dyDescent="0.3">
      <c r="A106" s="1">
        <v>45093</v>
      </c>
      <c r="B106">
        <v>17288.91</v>
      </c>
      <c r="C106" s="2">
        <f t="shared" si="16"/>
        <v>-2.6611699140855183E-3</v>
      </c>
      <c r="D106">
        <f t="shared" si="17"/>
        <v>1</v>
      </c>
      <c r="E106" s="2">
        <f t="shared" si="18"/>
        <v>-2.6611699140855183E-3</v>
      </c>
      <c r="F106" s="2">
        <f t="shared" si="11"/>
        <v>-2.6611699140855183E-3</v>
      </c>
      <c r="G106" s="2">
        <f t="shared" si="8"/>
        <v>0.43318366690467941</v>
      </c>
      <c r="H106">
        <f t="shared" si="9"/>
        <v>88</v>
      </c>
      <c r="I106" s="2">
        <f t="shared" si="10"/>
        <v>0.12832395217241649</v>
      </c>
      <c r="J106" s="2" cm="1">
        <f t="array" ref="J106">SQRT(SUM(IF(F47:F106&lt;AVERAGE(F47:F106),(F47:F106-AVERAGE(F47:F106))^2, 0)) / COUNT(F47:F106))*SQRT(365)</f>
        <v>8.8509194083019146E-2</v>
      </c>
      <c r="O106" s="2">
        <f t="shared" si="12"/>
        <v>0.9768053625127322</v>
      </c>
      <c r="P106">
        <f t="shared" si="13"/>
        <v>0</v>
      </c>
      <c r="Q106">
        <f t="shared" si="14"/>
        <v>1</v>
      </c>
      <c r="R106">
        <f t="shared" si="15"/>
        <v>1</v>
      </c>
    </row>
    <row r="107" spans="1:18" x14ac:dyDescent="0.3">
      <c r="A107" s="1">
        <v>45096</v>
      </c>
      <c r="B107">
        <v>17274.560000000001</v>
      </c>
      <c r="C107" s="2">
        <f t="shared" si="16"/>
        <v>-8.3035649050957922E-4</v>
      </c>
      <c r="D107">
        <f t="shared" si="17"/>
        <v>3</v>
      </c>
      <c r="E107" s="2">
        <f t="shared" si="18"/>
        <v>-2.7678549683652639E-4</v>
      </c>
      <c r="F107" s="2">
        <f t="shared" si="11"/>
        <v>-4.7940654331905851E-4</v>
      </c>
      <c r="G107" s="2">
        <f t="shared" si="8"/>
        <v>0.41351336244955539</v>
      </c>
      <c r="H107">
        <f t="shared" si="9"/>
        <v>90</v>
      </c>
      <c r="I107" s="2">
        <f t="shared" si="10"/>
        <v>0.12799590031229449</v>
      </c>
      <c r="J107" s="2" cm="1">
        <f t="array" ref="J107">SQRT(SUM(IF(F48:F107&lt;AVERAGE(F48:F107),(F48:F107-AVERAGE(F48:F107))^2, 0)) / COUNT(F48:F107))*SQRT(365)</f>
        <v>8.7554130234990271E-2</v>
      </c>
      <c r="O107" s="2">
        <f t="shared" si="12"/>
        <v>0.98037981864661095</v>
      </c>
      <c r="P107">
        <f t="shared" si="13"/>
        <v>0</v>
      </c>
      <c r="Q107">
        <f t="shared" si="14"/>
        <v>1</v>
      </c>
      <c r="R107">
        <f t="shared" si="15"/>
        <v>1</v>
      </c>
    </row>
    <row r="108" spans="1:18" x14ac:dyDescent="0.3">
      <c r="A108" s="1">
        <v>45097</v>
      </c>
      <c r="B108">
        <v>17184.91</v>
      </c>
      <c r="C108" s="2">
        <f t="shared" si="16"/>
        <v>-5.2032258338249792E-3</v>
      </c>
      <c r="D108">
        <f t="shared" si="17"/>
        <v>1</v>
      </c>
      <c r="E108" s="2">
        <f t="shared" si="18"/>
        <v>-5.2032258338249792E-3</v>
      </c>
      <c r="F108" s="2">
        <f t="shared" si="11"/>
        <v>-5.2032258338249792E-3</v>
      </c>
      <c r="G108" s="2">
        <f t="shared" si="8"/>
        <v>0.3666224117898243</v>
      </c>
      <c r="H108">
        <f t="shared" si="9"/>
        <v>90</v>
      </c>
      <c r="I108" s="2">
        <f t="shared" si="10"/>
        <v>0.12409393248091007</v>
      </c>
      <c r="J108" s="2" cm="1">
        <f t="array" ref="J108">SQRT(SUM(IF(F49:F108&lt;AVERAGE(F49:F108),(F49:F108-AVERAGE(F49:F108))^2, 0)) / COUNT(F49:F108))*SQRT(365)</f>
        <v>8.5527250785378386E-2</v>
      </c>
      <c r="O108" s="2">
        <f t="shared" si="12"/>
        <v>0.98588238169417231</v>
      </c>
      <c r="P108">
        <f t="shared" si="13"/>
        <v>0</v>
      </c>
      <c r="Q108">
        <f t="shared" si="14"/>
        <v>0</v>
      </c>
      <c r="R108">
        <f t="shared" si="15"/>
        <v>0</v>
      </c>
    </row>
    <row r="109" spans="1:18" x14ac:dyDescent="0.3">
      <c r="A109" s="1">
        <v>45098</v>
      </c>
      <c r="B109">
        <v>17202.400000000001</v>
      </c>
      <c r="C109" s="2">
        <f t="shared" si="16"/>
        <v>1.0172358063586994E-3</v>
      </c>
      <c r="D109">
        <f t="shared" si="17"/>
        <v>1</v>
      </c>
      <c r="E109" s="2">
        <f t="shared" si="18"/>
        <v>1.0172358063586994E-3</v>
      </c>
      <c r="F109" s="2">
        <f t="shared" si="11"/>
        <v>1.0172358063586994E-3</v>
      </c>
      <c r="G109" s="2">
        <f t="shared" si="8"/>
        <v>0.35314578525942963</v>
      </c>
      <c r="H109">
        <f t="shared" si="9"/>
        <v>90</v>
      </c>
      <c r="I109" s="2">
        <f t="shared" si="10"/>
        <v>0.12340555814277793</v>
      </c>
      <c r="J109" s="2" cm="1">
        <f t="array" ref="J109">SQRT(SUM(IF(F50:F109&lt;AVERAGE(F50:F109),(F50:F109-AVERAGE(F50:F109))^2, 0)) / COUNT(F50:F109))*SQRT(365)</f>
        <v>8.4586684223751263E-2</v>
      </c>
      <c r="O109" s="2">
        <f t="shared" si="12"/>
        <v>0.98332441984839325</v>
      </c>
      <c r="P109">
        <f t="shared" si="13"/>
        <v>0</v>
      </c>
      <c r="Q109">
        <f t="shared" si="14"/>
        <v>1</v>
      </c>
      <c r="R109">
        <f t="shared" si="15"/>
        <v>1</v>
      </c>
    </row>
    <row r="110" spans="1:18" x14ac:dyDescent="0.3">
      <c r="A110" s="1">
        <v>45103</v>
      </c>
      <c r="B110">
        <v>17059.240000000002</v>
      </c>
      <c r="C110" s="2">
        <f t="shared" si="16"/>
        <v>-8.3569165496466379E-3</v>
      </c>
      <c r="D110">
        <f t="shared" si="17"/>
        <v>5</v>
      </c>
      <c r="E110" s="2">
        <f t="shared" si="18"/>
        <v>-1.6713833099293277E-3</v>
      </c>
      <c r="F110" s="2">
        <f t="shared" si="11"/>
        <v>-3.7373266974605754E-3</v>
      </c>
      <c r="G110" s="2">
        <f t="shared" si="8"/>
        <v>0.31969554617577967</v>
      </c>
      <c r="H110">
        <f t="shared" si="9"/>
        <v>94</v>
      </c>
      <c r="I110" s="2">
        <f t="shared" si="10"/>
        <v>0.12391110709695868</v>
      </c>
      <c r="J110" s="2" cm="1">
        <f t="array" ref="J110">SQRT(SUM(IF(F51:F110&lt;AVERAGE(F51:F110),(F51:F110-AVERAGE(F51:F110))^2, 0)) / COUNT(F51:F110))*SQRT(365)</f>
        <v>8.42742141478212E-2</v>
      </c>
      <c r="O110" s="2">
        <f t="shared" si="12"/>
        <v>1.0014631366930766</v>
      </c>
      <c r="P110">
        <f t="shared" si="13"/>
        <v>0</v>
      </c>
      <c r="Q110">
        <f t="shared" si="14"/>
        <v>0</v>
      </c>
      <c r="R110">
        <f t="shared" si="15"/>
        <v>0</v>
      </c>
    </row>
    <row r="111" spans="1:18" x14ac:dyDescent="0.3">
      <c r="A111" s="1">
        <v>45104</v>
      </c>
      <c r="B111">
        <v>16887.900000000001</v>
      </c>
      <c r="C111" s="2">
        <f t="shared" si="16"/>
        <v>-1.0094603255189512E-2</v>
      </c>
      <c r="D111">
        <f t="shared" si="17"/>
        <v>1</v>
      </c>
      <c r="E111" s="2">
        <f t="shared" si="18"/>
        <v>-1.0094603255189512E-2</v>
      </c>
      <c r="F111" s="2">
        <f t="shared" si="11"/>
        <v>-1.0094603255189512E-2</v>
      </c>
      <c r="G111" s="2">
        <f t="shared" si="8"/>
        <v>0.31969554617577967</v>
      </c>
      <c r="H111">
        <f t="shared" si="9"/>
        <v>92</v>
      </c>
      <c r="I111" s="2">
        <f t="shared" si="10"/>
        <v>0.12656647307377877</v>
      </c>
      <c r="J111" s="2" cm="1">
        <f t="array" ref="J111">SQRT(SUM(IF(F52:F111&lt;AVERAGE(F52:F111),(F52:F111-AVERAGE(F52:F111))^2, 0)) / COUNT(F52:F111))*SQRT(365)</f>
        <v>8.6888846890130558E-2</v>
      </c>
      <c r="O111" s="2">
        <f t="shared" si="12"/>
        <v>1.0149734425239372</v>
      </c>
      <c r="P111">
        <f t="shared" si="13"/>
        <v>0</v>
      </c>
      <c r="Q111">
        <f t="shared" si="14"/>
        <v>0</v>
      </c>
      <c r="R111">
        <f t="shared" si="15"/>
        <v>0</v>
      </c>
    </row>
    <row r="112" spans="1:18" x14ac:dyDescent="0.3">
      <c r="A112" s="1">
        <v>45105</v>
      </c>
      <c r="B112">
        <v>16935.63</v>
      </c>
      <c r="C112" s="2">
        <f t="shared" si="16"/>
        <v>2.8222974764742625E-3</v>
      </c>
      <c r="D112">
        <f t="shared" si="17"/>
        <v>1</v>
      </c>
      <c r="E112" s="2">
        <f t="shared" si="18"/>
        <v>2.8222974764742625E-3</v>
      </c>
      <c r="F112" s="2">
        <f t="shared" si="11"/>
        <v>2.8222974764742625E-3</v>
      </c>
      <c r="G112" s="2">
        <f t="shared" si="8"/>
        <v>0.35314578525942963</v>
      </c>
      <c r="H112">
        <f t="shared" si="9"/>
        <v>92</v>
      </c>
      <c r="I112" s="2">
        <f t="shared" si="10"/>
        <v>0.12451998054134397</v>
      </c>
      <c r="J112" s="2" cm="1">
        <f t="array" ref="J112">SQRT(SUM(IF(F53:F112&lt;AVERAGE(F53:F112),(F53:F112-AVERAGE(F53:F112))^2, 0)) / COUNT(F53:F112))*SQRT(365)</f>
        <v>8.5727464653388152E-2</v>
      </c>
      <c r="O112" s="2">
        <f t="shared" si="12"/>
        <v>1.0071328908342942</v>
      </c>
      <c r="P112">
        <f t="shared" si="13"/>
        <v>0</v>
      </c>
      <c r="Q112">
        <f t="shared" si="14"/>
        <v>0</v>
      </c>
      <c r="R112">
        <f t="shared" si="15"/>
        <v>0</v>
      </c>
    </row>
    <row r="113" spans="1:18" x14ac:dyDescent="0.3">
      <c r="A113" s="1">
        <v>45106</v>
      </c>
      <c r="B113">
        <v>16942.3</v>
      </c>
      <c r="C113" s="2">
        <f t="shared" si="16"/>
        <v>3.9376668445689051E-4</v>
      </c>
      <c r="D113">
        <f t="shared" si="17"/>
        <v>1</v>
      </c>
      <c r="E113" s="2">
        <f t="shared" si="18"/>
        <v>3.9376668445689051E-4</v>
      </c>
      <c r="F113" s="2">
        <f t="shared" si="11"/>
        <v>3.9376668445689051E-4</v>
      </c>
      <c r="G113" s="2">
        <f t="shared" si="8"/>
        <v>0.31969554617577967</v>
      </c>
      <c r="H113">
        <f t="shared" si="9"/>
        <v>92</v>
      </c>
      <c r="I113" s="2">
        <f t="shared" si="10"/>
        <v>0.12428360364846709</v>
      </c>
      <c r="J113" s="2" cm="1">
        <f t="array" ref="J113">SQRT(SUM(IF(F54:F113&lt;AVERAGE(F54:F113),(F54:F113-AVERAGE(F54:F113))^2, 0)) / COUNT(F54:F113))*SQRT(365)</f>
        <v>8.5082217363365548E-2</v>
      </c>
      <c r="O113" s="2">
        <f t="shared" si="12"/>
        <v>0.98936803149513342</v>
      </c>
      <c r="P113">
        <f t="shared" si="13"/>
        <v>0</v>
      </c>
      <c r="Q113">
        <f t="shared" si="14"/>
        <v>0</v>
      </c>
      <c r="R113">
        <f t="shared" si="15"/>
        <v>0</v>
      </c>
    </row>
    <row r="114" spans="1:18" x14ac:dyDescent="0.3">
      <c r="A114" s="1">
        <v>45107</v>
      </c>
      <c r="B114">
        <v>16915.54</v>
      </c>
      <c r="C114" s="2">
        <f t="shared" si="16"/>
        <v>-1.5807272745158012E-3</v>
      </c>
      <c r="D114">
        <f t="shared" si="17"/>
        <v>1</v>
      </c>
      <c r="E114" s="2">
        <f t="shared" si="18"/>
        <v>-1.5807272745158012E-3</v>
      </c>
      <c r="F114" s="2">
        <f t="shared" si="11"/>
        <v>-1.5807272745158012E-3</v>
      </c>
      <c r="G114" s="2">
        <f t="shared" si="8"/>
        <v>0.28235774042893536</v>
      </c>
      <c r="H114">
        <f t="shared" si="9"/>
        <v>92</v>
      </c>
      <c r="I114" s="2">
        <f t="shared" si="10"/>
        <v>0.12406737164459872</v>
      </c>
      <c r="J114" s="2" cm="1">
        <f t="array" ref="J114">SQRT(SUM(IF(F55:F114&lt;AVERAGE(F55:F114),(F55:F114-AVERAGE(F55:F114))^2, 0)) / COUNT(F55:F114))*SQRT(365)</f>
        <v>8.4214755291433449E-2</v>
      </c>
      <c r="O114" s="2">
        <f t="shared" si="12"/>
        <v>0.98514206463405829</v>
      </c>
      <c r="P114">
        <f t="shared" si="13"/>
        <v>0</v>
      </c>
      <c r="Q114">
        <f t="shared" si="14"/>
        <v>0</v>
      </c>
      <c r="R114">
        <f t="shared" si="15"/>
        <v>0</v>
      </c>
    </row>
    <row r="115" spans="1:18" x14ac:dyDescent="0.3">
      <c r="A115" s="1">
        <v>45110</v>
      </c>
      <c r="B115">
        <v>17084.2</v>
      </c>
      <c r="C115" s="2">
        <f t="shared" si="16"/>
        <v>9.9213337202942262E-3</v>
      </c>
      <c r="D115">
        <f t="shared" si="17"/>
        <v>3</v>
      </c>
      <c r="E115" s="2">
        <f t="shared" si="18"/>
        <v>3.3071112400980753E-3</v>
      </c>
      <c r="F115" s="2">
        <f t="shared" si="11"/>
        <v>5.7280846941319833E-3</v>
      </c>
      <c r="G115" s="2">
        <f t="shared" si="8"/>
        <v>0.28235774042893536</v>
      </c>
      <c r="H115">
        <f t="shared" si="9"/>
        <v>94</v>
      </c>
      <c r="I115" s="2">
        <f t="shared" si="10"/>
        <v>0.12460994672835803</v>
      </c>
      <c r="J115" s="2" cm="1">
        <f t="array" ref="J115">SQRT(SUM(IF(F56:F115&lt;AVERAGE(F56:F115),(F56:F115-AVERAGE(F56:F115))^2, 0)) / COUNT(F56:F115))*SQRT(365)</f>
        <v>8.4990423207326984E-2</v>
      </c>
      <c r="O115" s="2">
        <f t="shared" si="12"/>
        <v>0.97474859811990022</v>
      </c>
      <c r="P115">
        <f t="shared" si="13"/>
        <v>0</v>
      </c>
      <c r="Q115">
        <f t="shared" si="14"/>
        <v>1</v>
      </c>
      <c r="R115">
        <f t="shared" si="15"/>
        <v>1</v>
      </c>
    </row>
    <row r="116" spans="1:18" x14ac:dyDescent="0.3">
      <c r="A116" s="1">
        <v>45111</v>
      </c>
      <c r="B116">
        <v>17140.77</v>
      </c>
      <c r="C116" s="2">
        <f t="shared" si="16"/>
        <v>3.3057765436843626E-3</v>
      </c>
      <c r="D116">
        <f t="shared" si="17"/>
        <v>1</v>
      </c>
      <c r="E116" s="2">
        <f t="shared" si="18"/>
        <v>3.3057765436843626E-3</v>
      </c>
      <c r="F116" s="2">
        <f t="shared" si="11"/>
        <v>3.3057765436843626E-3</v>
      </c>
      <c r="G116" s="2">
        <f t="shared" si="8"/>
        <v>0.31969554617577967</v>
      </c>
      <c r="H116">
        <f t="shared" si="9"/>
        <v>89</v>
      </c>
      <c r="I116" s="2">
        <f t="shared" si="10"/>
        <v>0.12455777652551496</v>
      </c>
      <c r="J116" s="2" cm="1">
        <f t="array" ref="J116">SQRT(SUM(IF(F57:F116&lt;AVERAGE(F57:F116),(F57:F116-AVERAGE(F57:F116))^2, 0)) / COUNT(F57:F116))*SQRT(365)</f>
        <v>8.5561571785099461E-2</v>
      </c>
      <c r="O116" s="2">
        <f t="shared" si="12"/>
        <v>0.98588978208096834</v>
      </c>
      <c r="P116">
        <f t="shared" si="13"/>
        <v>0</v>
      </c>
      <c r="Q116">
        <f t="shared" si="14"/>
        <v>0</v>
      </c>
      <c r="R116">
        <f t="shared" si="15"/>
        <v>0</v>
      </c>
    </row>
    <row r="117" spans="1:18" x14ac:dyDescent="0.3">
      <c r="A117" s="1">
        <v>45112</v>
      </c>
      <c r="B117">
        <v>17056.43</v>
      </c>
      <c r="C117" s="2">
        <f t="shared" si="16"/>
        <v>-4.9325775795410224E-3</v>
      </c>
      <c r="D117">
        <f t="shared" si="17"/>
        <v>1</v>
      </c>
      <c r="E117" s="2">
        <f t="shared" si="18"/>
        <v>-4.9325775795410224E-3</v>
      </c>
      <c r="F117" s="2">
        <f t="shared" si="11"/>
        <v>-4.9325775795410224E-3</v>
      </c>
      <c r="G117" s="2">
        <f t="shared" si="8"/>
        <v>0.28235774042893536</v>
      </c>
      <c r="H117">
        <f t="shared" si="9"/>
        <v>89</v>
      </c>
      <c r="I117" s="2">
        <f t="shared" si="10"/>
        <v>0.12545773961203111</v>
      </c>
      <c r="J117" s="2" cm="1">
        <f t="array" ref="J117">SQRT(SUM(IF(F58:F117&lt;AVERAGE(F58:F117),(F58:F117-AVERAGE(F58:F117))^2, 0)) / COUNT(F58:F117))*SQRT(365)</f>
        <v>8.5740546334421922E-2</v>
      </c>
      <c r="O117" s="2">
        <f t="shared" si="12"/>
        <v>0.99446543033917401</v>
      </c>
      <c r="P117">
        <f t="shared" si="13"/>
        <v>0</v>
      </c>
      <c r="Q117">
        <f t="shared" si="14"/>
        <v>0</v>
      </c>
      <c r="R117">
        <f t="shared" si="15"/>
        <v>0</v>
      </c>
    </row>
    <row r="118" spans="1:18" x14ac:dyDescent="0.3">
      <c r="A118" s="1">
        <v>45113</v>
      </c>
      <c r="B118">
        <v>16762.169999999998</v>
      </c>
      <c r="C118" s="2">
        <f t="shared" si="16"/>
        <v>-1.7402697121944404E-2</v>
      </c>
      <c r="D118">
        <f t="shared" si="17"/>
        <v>1</v>
      </c>
      <c r="E118" s="2">
        <f t="shared" si="18"/>
        <v>-1.7402697121944404E-2</v>
      </c>
      <c r="F118" s="2">
        <f t="shared" si="11"/>
        <v>-1.7402697121944404E-2</v>
      </c>
      <c r="G118" s="2">
        <f t="shared" si="8"/>
        <v>0.22319522073574413</v>
      </c>
      <c r="H118">
        <f t="shared" si="9"/>
        <v>87</v>
      </c>
      <c r="I118" s="2">
        <f t="shared" si="10"/>
        <v>0.13346162936732742</v>
      </c>
      <c r="J118" s="2" cm="1">
        <f t="array" ref="J118">SQRT(SUM(IF(F59:F118&lt;AVERAGE(F59:F118),(F59:F118-AVERAGE(F59:F118))^2, 0)) / COUNT(F59:F118))*SQRT(365)</f>
        <v>9.3894757052802605E-2</v>
      </c>
      <c r="O118" s="2">
        <f t="shared" si="12"/>
        <v>1.0178515072929104</v>
      </c>
      <c r="P118">
        <f t="shared" si="13"/>
        <v>1</v>
      </c>
      <c r="Q118">
        <f t="shared" si="14"/>
        <v>0</v>
      </c>
      <c r="R118">
        <f t="shared" si="15"/>
        <v>1</v>
      </c>
    </row>
    <row r="119" spans="1:18" x14ac:dyDescent="0.3">
      <c r="A119" s="1">
        <v>45114</v>
      </c>
      <c r="B119">
        <v>16664.21</v>
      </c>
      <c r="C119" s="2">
        <f t="shared" si="16"/>
        <v>-5.8612557175256406E-3</v>
      </c>
      <c r="D119">
        <f t="shared" si="17"/>
        <v>1</v>
      </c>
      <c r="E119" s="2">
        <f t="shared" si="18"/>
        <v>-5.8612557175256406E-3</v>
      </c>
      <c r="F119" s="2">
        <f t="shared" si="11"/>
        <v>-5.8612557175256406E-3</v>
      </c>
      <c r="G119" s="2">
        <f t="shared" si="8"/>
        <v>0.17354519465658427</v>
      </c>
      <c r="H119">
        <f t="shared" si="9"/>
        <v>87</v>
      </c>
      <c r="I119" s="2">
        <f t="shared" si="10"/>
        <v>0.13438453692317681</v>
      </c>
      <c r="J119" s="2" cm="1">
        <f t="array" ref="J119">SQRT(SUM(IF(F60:F119&lt;AVERAGE(F60:F119),(F60:F119-AVERAGE(F60:F119))^2, 0)) / COUNT(F60:F119))*SQRT(365)</f>
        <v>9.3892562008471403E-2</v>
      </c>
      <c r="O119" s="2">
        <f t="shared" si="12"/>
        <v>1.0371754796657027</v>
      </c>
      <c r="P119">
        <f t="shared" si="13"/>
        <v>1</v>
      </c>
      <c r="Q119">
        <f t="shared" si="14"/>
        <v>0</v>
      </c>
      <c r="R119">
        <f t="shared" si="15"/>
        <v>1</v>
      </c>
    </row>
    <row r="120" spans="1:18" x14ac:dyDescent="0.3">
      <c r="A120" s="1">
        <v>45117</v>
      </c>
      <c r="B120">
        <v>16652.8</v>
      </c>
      <c r="C120" s="2">
        <f t="shared" si="16"/>
        <v>-6.849354396490521E-4</v>
      </c>
      <c r="D120">
        <f t="shared" si="17"/>
        <v>3</v>
      </c>
      <c r="E120" s="2">
        <f t="shared" si="18"/>
        <v>-2.2831181321635071E-4</v>
      </c>
      <c r="F120" s="2">
        <f t="shared" si="11"/>
        <v>-3.9544766045889493E-4</v>
      </c>
      <c r="G120" s="2">
        <f t="shared" si="8"/>
        <v>0.15237483868634535</v>
      </c>
      <c r="H120">
        <f t="shared" si="9"/>
        <v>89</v>
      </c>
      <c r="I120" s="2">
        <f t="shared" si="10"/>
        <v>0.13439910290695659</v>
      </c>
      <c r="J120" s="2" cm="1">
        <f t="array" ref="J120">SQRT(SUM(IF(F61:F120&lt;AVERAGE(F61:F120),(F61:F120-AVERAGE(F61:F120))^2, 0)) / COUNT(F61:F120))*SQRT(365)</f>
        <v>9.3653091139700481E-2</v>
      </c>
      <c r="O120" s="2">
        <f t="shared" si="12"/>
        <v>1.0409234483089931</v>
      </c>
      <c r="P120">
        <f t="shared" si="13"/>
        <v>1</v>
      </c>
      <c r="Q120">
        <f t="shared" si="14"/>
        <v>0</v>
      </c>
      <c r="R120">
        <f t="shared" si="15"/>
        <v>1</v>
      </c>
    </row>
    <row r="121" spans="1:18" x14ac:dyDescent="0.3">
      <c r="A121" s="1">
        <v>45118</v>
      </c>
      <c r="B121">
        <v>16898.91</v>
      </c>
      <c r="C121" s="2">
        <f t="shared" si="16"/>
        <v>1.4670752351644325E-2</v>
      </c>
      <c r="D121">
        <f t="shared" si="17"/>
        <v>1</v>
      </c>
      <c r="E121" s="2">
        <f t="shared" si="18"/>
        <v>1.4670752351644325E-2</v>
      </c>
      <c r="F121" s="2">
        <f t="shared" si="11"/>
        <v>1.4670752351644325E-2</v>
      </c>
      <c r="G121" s="2">
        <f t="shared" si="8"/>
        <v>0.17354519465658427</v>
      </c>
      <c r="H121">
        <f t="shared" si="9"/>
        <v>89</v>
      </c>
      <c r="I121" s="2">
        <f t="shared" si="10"/>
        <v>0.13701181209384403</v>
      </c>
      <c r="J121" s="2" cm="1">
        <f t="array" ref="J121">SQRT(SUM(IF(F62:F121&lt;AVERAGE(F62:F121),(F62:F121-AVERAGE(F62:F121))^2, 0)) / COUNT(F62:F121))*SQRT(365)</f>
        <v>9.5013940776386016E-2</v>
      </c>
      <c r="O121" s="2">
        <f t="shared" si="12"/>
        <v>1.0194687112955807</v>
      </c>
      <c r="P121">
        <f t="shared" si="13"/>
        <v>1</v>
      </c>
      <c r="Q121">
        <f t="shared" si="14"/>
        <v>0</v>
      </c>
      <c r="R121">
        <f t="shared" si="15"/>
        <v>1</v>
      </c>
    </row>
    <row r="122" spans="1:18" x14ac:dyDescent="0.3">
      <c r="A122" s="1">
        <v>45119</v>
      </c>
      <c r="B122">
        <v>16962.03</v>
      </c>
      <c r="C122" s="2">
        <f t="shared" si="16"/>
        <v>3.7281937897163989E-3</v>
      </c>
      <c r="D122">
        <f t="shared" si="17"/>
        <v>1</v>
      </c>
      <c r="E122" s="2">
        <f t="shared" si="18"/>
        <v>3.7281937897163989E-3</v>
      </c>
      <c r="F122" s="2">
        <f t="shared" si="11"/>
        <v>3.7281937897163989E-3</v>
      </c>
      <c r="G122" s="2">
        <f t="shared" si="8"/>
        <v>0.17354519465658427</v>
      </c>
      <c r="H122">
        <f t="shared" si="9"/>
        <v>89</v>
      </c>
      <c r="I122" s="2">
        <f t="shared" si="10"/>
        <v>0.13610253029459415</v>
      </c>
      <c r="J122" s="2" cm="1">
        <f t="array" ref="J122">SQRT(SUM(IF(F63:F122&lt;AVERAGE(F63:F122),(F63:F122-AVERAGE(F63:F122))^2, 0)) / COUNT(F63:F122))*SQRT(365)</f>
        <v>9.4309060275139023E-2</v>
      </c>
      <c r="K122" s="2">
        <f>MEDIAN(E3:E122)*365</f>
        <v>0.27227727857566064</v>
      </c>
      <c r="L122">
        <f>SUM(D3:D122)</f>
        <v>190</v>
      </c>
      <c r="M122" s="2">
        <f>_xlfn.STDEV.S(F3:F122)*SQRT(365)</f>
        <v>0.13798400425788618</v>
      </c>
      <c r="N122" s="2" cm="1">
        <f t="array" ref="N122">SQRT(SUM(IF(F3:F122&lt;AVERAGE(F3:F122),(F3:F122-AVERAGE(F3:F122))^2, 0)) / COUNT(F3:F122))*SQRT(365)</f>
        <v>9.8415830943157909E-2</v>
      </c>
      <c r="O122" s="2">
        <f t="shared" si="12"/>
        <v>1.0091032736058125</v>
      </c>
      <c r="P122">
        <f t="shared" si="13"/>
        <v>0</v>
      </c>
      <c r="Q122">
        <f t="shared" si="14"/>
        <v>0</v>
      </c>
      <c r="R122">
        <f t="shared" si="15"/>
        <v>0</v>
      </c>
    </row>
    <row r="123" spans="1:18" x14ac:dyDescent="0.3">
      <c r="A123" s="1">
        <v>45120</v>
      </c>
      <c r="B123">
        <v>17061.400000000001</v>
      </c>
      <c r="C123" s="2">
        <f t="shared" si="16"/>
        <v>5.8412854052027141E-3</v>
      </c>
      <c r="D123">
        <f t="shared" si="17"/>
        <v>1</v>
      </c>
      <c r="E123" s="2">
        <f t="shared" si="18"/>
        <v>5.8412854052027141E-3</v>
      </c>
      <c r="F123" s="2">
        <f t="shared" si="11"/>
        <v>5.8412854052027141E-3</v>
      </c>
      <c r="G123" s="2">
        <f t="shared" si="8"/>
        <v>0.17354519465658427</v>
      </c>
      <c r="H123">
        <f t="shared" si="9"/>
        <v>87</v>
      </c>
      <c r="I123" s="2">
        <f t="shared" si="10"/>
        <v>0.1366463415114737</v>
      </c>
      <c r="J123" s="2" cm="1">
        <f t="array" ref="J123">SQRT(SUM(IF(F64:F123&lt;AVERAGE(F64:F123),(F64:F123-AVERAGE(F64:F123))^2, 0)) / COUNT(F64:F123))*SQRT(365)</f>
        <v>9.5095634629568979E-2</v>
      </c>
      <c r="K123" s="2">
        <f t="shared" ref="K123:K186" si="19">MEDIAN(E4:E123)*365</f>
        <v>0.29026878172508053</v>
      </c>
      <c r="L123">
        <f t="shared" ref="L123:L186" si="20">SUM(D4:D123)</f>
        <v>190</v>
      </c>
      <c r="M123" s="2">
        <f t="shared" ref="M123:M186" si="21">_xlfn.STDEV.S(F4:F123)*SQRT(365)</f>
        <v>0.13814438712764368</v>
      </c>
      <c r="N123" s="2" cm="1">
        <f t="array" ref="N123">SQRT(SUM(IF(F4:F123&lt;AVERAGE(F4:F123),(F4:F123-AVERAGE(F4:F123))^2, 0)) / COUNT(F4:F123))*SQRT(365)</f>
        <v>9.8926909254883025E-2</v>
      </c>
      <c r="O123" s="2">
        <f t="shared" si="12"/>
        <v>1.0060657390366556</v>
      </c>
      <c r="P123">
        <f t="shared" si="13"/>
        <v>0</v>
      </c>
      <c r="Q123">
        <f t="shared" si="14"/>
        <v>0</v>
      </c>
      <c r="R123">
        <f t="shared" si="15"/>
        <v>0</v>
      </c>
    </row>
    <row r="124" spans="1:18" x14ac:dyDescent="0.3">
      <c r="A124" s="1">
        <v>45121</v>
      </c>
      <c r="B124">
        <v>17283.71</v>
      </c>
      <c r="C124" s="2">
        <f t="shared" si="16"/>
        <v>1.2945837402932706E-2</v>
      </c>
      <c r="D124">
        <f t="shared" si="17"/>
        <v>1</v>
      </c>
      <c r="E124" s="2">
        <f t="shared" si="18"/>
        <v>1.2945837402932706E-2</v>
      </c>
      <c r="F124" s="2">
        <f t="shared" si="11"/>
        <v>1.2945837402932706E-2</v>
      </c>
      <c r="G124" s="2">
        <f t="shared" si="8"/>
        <v>0.26053302648258847</v>
      </c>
      <c r="H124">
        <f t="shared" si="9"/>
        <v>87</v>
      </c>
      <c r="I124" s="2">
        <f t="shared" si="10"/>
        <v>0.13866800139998336</v>
      </c>
      <c r="J124" s="2" cm="1">
        <f t="array" ref="J124">SQRT(SUM(IF(F65:F124&lt;AVERAGE(F65:F124),(F65:F124-AVERAGE(F65:F124))^2, 0)) / COUNT(F65:F124))*SQRT(365)</f>
        <v>9.6755284207183184E-2</v>
      </c>
      <c r="K124" s="2">
        <f t="shared" si="19"/>
        <v>0.29026878172508053</v>
      </c>
      <c r="L124">
        <f t="shared" si="20"/>
        <v>190</v>
      </c>
      <c r="M124" s="2">
        <f t="shared" si="21"/>
        <v>0.13928475710644597</v>
      </c>
      <c r="N124" s="2" cm="1">
        <f t="array" ref="N124">SQRT(SUM(IF(F5:F124&lt;AVERAGE(F5:F124),(F5:F124-AVERAGE(F5:F124))^2, 0)) / COUNT(F5:F124))*SQRT(365)</f>
        <v>9.9412370813125067E-2</v>
      </c>
      <c r="O124" s="2">
        <f t="shared" si="12"/>
        <v>0.98536136049494016</v>
      </c>
      <c r="P124">
        <f t="shared" si="13"/>
        <v>0</v>
      </c>
      <c r="Q124">
        <f t="shared" si="14"/>
        <v>0</v>
      </c>
      <c r="R124">
        <f t="shared" si="15"/>
        <v>0</v>
      </c>
    </row>
    <row r="125" spans="1:18" x14ac:dyDescent="0.3">
      <c r="A125" s="1">
        <v>45124</v>
      </c>
      <c r="B125">
        <v>17334.29</v>
      </c>
      <c r="C125" s="2">
        <f t="shared" si="16"/>
        <v>2.9221812925348607E-3</v>
      </c>
      <c r="D125">
        <f t="shared" si="17"/>
        <v>3</v>
      </c>
      <c r="E125" s="2">
        <f t="shared" si="18"/>
        <v>9.7406043084495358E-4</v>
      </c>
      <c r="F125" s="2">
        <f t="shared" si="11"/>
        <v>1.6871221558658906E-3</v>
      </c>
      <c r="G125" s="2">
        <f t="shared" si="8"/>
        <v>0.34526627922817099</v>
      </c>
      <c r="H125">
        <f t="shared" si="9"/>
        <v>89</v>
      </c>
      <c r="I125" s="2">
        <f t="shared" si="10"/>
        <v>0.13737240147343546</v>
      </c>
      <c r="J125" s="2" cm="1">
        <f t="array" ref="J125">SQRT(SUM(IF(F66:F125&lt;AVERAGE(F66:F125),(F66:F125-AVERAGE(F66:F125))^2, 0)) / COUNT(F66:F125))*SQRT(365)</f>
        <v>9.628264898800061E-2</v>
      </c>
      <c r="K125" s="2">
        <f t="shared" si="19"/>
        <v>0.29026878172508053</v>
      </c>
      <c r="L125">
        <f t="shared" si="20"/>
        <v>192</v>
      </c>
      <c r="M125" s="2">
        <f t="shared" si="21"/>
        <v>0.13912159169780841</v>
      </c>
      <c r="N125" s="2" cm="1">
        <f t="array" ref="N125">SQRT(SUM(IF(F6:F125&lt;AVERAGE(F6:F125),(F6:F125-AVERAGE(F6:F125))^2, 0)) / COUNT(F6:F125))*SQRT(365)</f>
        <v>9.9131010024559568E-2</v>
      </c>
      <c r="O125" s="2">
        <f t="shared" si="12"/>
        <v>0.98265403428695375</v>
      </c>
      <c r="P125">
        <f t="shared" si="13"/>
        <v>0</v>
      </c>
      <c r="Q125">
        <f t="shared" si="14"/>
        <v>1</v>
      </c>
      <c r="R125">
        <f t="shared" si="15"/>
        <v>1</v>
      </c>
    </row>
    <row r="126" spans="1:18" x14ac:dyDescent="0.3">
      <c r="A126" s="1">
        <v>45125</v>
      </c>
      <c r="B126">
        <v>17227.91</v>
      </c>
      <c r="C126" s="2">
        <f t="shared" si="16"/>
        <v>-6.1558775736176921E-3</v>
      </c>
      <c r="D126">
        <f t="shared" si="17"/>
        <v>1</v>
      </c>
      <c r="E126" s="2">
        <f t="shared" si="18"/>
        <v>-6.1558775736176921E-3</v>
      </c>
      <c r="F126" s="2">
        <f t="shared" si="11"/>
        <v>-6.1558775736176921E-3</v>
      </c>
      <c r="G126" s="2">
        <f t="shared" si="8"/>
        <v>0.34526627922817099</v>
      </c>
      <c r="H126">
        <f t="shared" si="9"/>
        <v>89</v>
      </c>
      <c r="I126" s="2">
        <f t="shared" si="10"/>
        <v>0.13800025374654643</v>
      </c>
      <c r="J126" s="2" cm="1">
        <f t="array" ref="J126">SQRT(SUM(IF(F67:F126&lt;AVERAGE(F67:F126),(F67:F126-AVERAGE(F67:F126))^2, 0)) / COUNT(F67:F126))*SQRT(365)</f>
        <v>9.679870235744506E-2</v>
      </c>
      <c r="K126" s="2">
        <f t="shared" si="19"/>
        <v>0.27227727857566064</v>
      </c>
      <c r="L126">
        <f t="shared" si="20"/>
        <v>190</v>
      </c>
      <c r="M126" s="2">
        <f t="shared" si="21"/>
        <v>0.13753560058817757</v>
      </c>
      <c r="N126" s="2" cm="1">
        <f t="array" ref="N126">SQRT(SUM(IF(F7:F126&lt;AVERAGE(F7:F126),(F7:F126-AVERAGE(F7:F126))^2, 0)) / COUNT(F7:F126))*SQRT(365)</f>
        <v>9.8159043074365696E-2</v>
      </c>
      <c r="O126" s="2">
        <f t="shared" si="12"/>
        <v>0.99831552405370116</v>
      </c>
      <c r="P126">
        <f t="shared" si="13"/>
        <v>0</v>
      </c>
      <c r="Q126">
        <f t="shared" si="14"/>
        <v>0</v>
      </c>
      <c r="R126">
        <f t="shared" si="15"/>
        <v>0</v>
      </c>
    </row>
    <row r="127" spans="1:18" x14ac:dyDescent="0.3">
      <c r="A127" s="1">
        <v>45126</v>
      </c>
      <c r="B127">
        <v>17116.439999999999</v>
      </c>
      <c r="C127" s="2">
        <f t="shared" si="16"/>
        <v>-6.4913379593263369E-3</v>
      </c>
      <c r="D127">
        <f t="shared" si="17"/>
        <v>1</v>
      </c>
      <c r="E127" s="2">
        <f t="shared" si="18"/>
        <v>-6.4913379593263369E-3</v>
      </c>
      <c r="F127" s="2">
        <f t="shared" si="11"/>
        <v>-6.4913379593263369E-3</v>
      </c>
      <c r="G127" s="2">
        <f t="shared" ref="G127:G190" si="22">MEDIAN(E68:E127)*365</f>
        <v>0.34526627922817099</v>
      </c>
      <c r="H127">
        <f t="shared" ref="H127:H190" si="23">SUM(D68:D127)</f>
        <v>89</v>
      </c>
      <c r="I127" s="2">
        <f t="shared" ref="I127:I190" si="24">_xlfn.STDEV.S(F68:F127)*SQRT(365)</f>
        <v>0.1379338930016871</v>
      </c>
      <c r="J127" s="2" cm="1">
        <f t="array" ref="J127">SQRT(SUM(IF(F68:F127&lt;AVERAGE(F68:F127),(F68:F127-AVERAGE(F68:F127))^2, 0)) / COUNT(F68:F127))*SQRT(365)</f>
        <v>9.6737065676859413E-2</v>
      </c>
      <c r="K127" s="2">
        <f t="shared" si="19"/>
        <v>0.26436623727951547</v>
      </c>
      <c r="L127">
        <f t="shared" si="20"/>
        <v>190</v>
      </c>
      <c r="M127" s="2">
        <f t="shared" si="21"/>
        <v>0.13807777557823681</v>
      </c>
      <c r="N127" s="2" cm="1">
        <f t="array" ref="N127">SQRT(SUM(IF(F8:F127&lt;AVERAGE(F8:F127),(F8:F127-AVERAGE(F8:F127))^2, 0)) / COUNT(F8:F127))*SQRT(365)</f>
        <v>9.8176906801725902E-2</v>
      </c>
      <c r="O127" s="2">
        <f t="shared" si="12"/>
        <v>1.0026939013019063</v>
      </c>
      <c r="P127">
        <f t="shared" si="13"/>
        <v>0</v>
      </c>
      <c r="Q127">
        <f t="shared" si="14"/>
        <v>0</v>
      </c>
      <c r="R127">
        <f t="shared" si="15"/>
        <v>0</v>
      </c>
    </row>
    <row r="128" spans="1:18" x14ac:dyDescent="0.3">
      <c r="A128" s="1">
        <v>45127</v>
      </c>
      <c r="B128">
        <v>17164.89</v>
      </c>
      <c r="C128" s="2">
        <f t="shared" si="16"/>
        <v>2.8266133349309666E-3</v>
      </c>
      <c r="D128">
        <f t="shared" si="17"/>
        <v>1</v>
      </c>
      <c r="E128" s="2">
        <f t="shared" si="18"/>
        <v>2.8266133349309666E-3</v>
      </c>
      <c r="F128" s="2">
        <f t="shared" si="11"/>
        <v>2.8266133349309666E-3</v>
      </c>
      <c r="G128" s="2">
        <f t="shared" si="22"/>
        <v>0.36341156328966667</v>
      </c>
      <c r="H128">
        <f t="shared" si="23"/>
        <v>87</v>
      </c>
      <c r="I128" s="2">
        <f t="shared" si="24"/>
        <v>0.13797317867158632</v>
      </c>
      <c r="J128" s="2" cm="1">
        <f t="array" ref="J128">SQRT(SUM(IF(F69:F128&lt;AVERAGE(F69:F128),(F69:F128-AVERAGE(F69:F128))^2, 0)) / COUNT(F69:F128))*SQRT(365)</f>
        <v>9.7057228575747542E-2</v>
      </c>
      <c r="K128" s="2">
        <f t="shared" si="19"/>
        <v>0.27227727857566064</v>
      </c>
      <c r="L128">
        <f t="shared" si="20"/>
        <v>190</v>
      </c>
      <c r="M128" s="2">
        <f t="shared" si="21"/>
        <v>0.13790369986302889</v>
      </c>
      <c r="N128" s="2" cm="1">
        <f t="array" ref="N128">SQRT(SUM(IF(F9:F128&lt;AVERAGE(F9:F128),(F9:F128-AVERAGE(F9:F128))^2, 0)) / COUNT(F9:F128))*SQRT(365)</f>
        <v>9.8408782917235746E-2</v>
      </c>
      <c r="O128" s="2">
        <f t="shared" si="12"/>
        <v>1.0044818230702324</v>
      </c>
      <c r="P128">
        <f t="shared" si="13"/>
        <v>0</v>
      </c>
      <c r="Q128">
        <f t="shared" si="14"/>
        <v>0</v>
      </c>
      <c r="R128">
        <f t="shared" si="15"/>
        <v>0</v>
      </c>
    </row>
    <row r="129" spans="1:18" x14ac:dyDescent="0.3">
      <c r="A129" s="1">
        <v>45128</v>
      </c>
      <c r="B129">
        <v>17030.7</v>
      </c>
      <c r="C129" s="2">
        <f t="shared" si="16"/>
        <v>-7.8484207358704549E-3</v>
      </c>
      <c r="D129">
        <f t="shared" si="17"/>
        <v>1</v>
      </c>
      <c r="E129" s="2">
        <f t="shared" si="18"/>
        <v>-7.8484207358704549E-3</v>
      </c>
      <c r="F129" s="2">
        <f t="shared" si="11"/>
        <v>-7.8484207358704549E-3</v>
      </c>
      <c r="G129" s="2">
        <f t="shared" si="22"/>
        <v>0.36341156328966667</v>
      </c>
      <c r="H129">
        <f t="shared" si="23"/>
        <v>87</v>
      </c>
      <c r="I129" s="2">
        <f t="shared" si="24"/>
        <v>0.13254305937279479</v>
      </c>
      <c r="J129" s="2" cm="1">
        <f t="array" ref="J129">SQRT(SUM(IF(F70:F129&lt;AVERAGE(F70:F129),(F70:F129-AVERAGE(F70:F129))^2, 0)) / COUNT(F70:F129))*SQRT(365)</f>
        <v>9.086694474169088E-2</v>
      </c>
      <c r="K129" s="2">
        <f t="shared" si="19"/>
        <v>0.27227727857566064</v>
      </c>
      <c r="L129">
        <f t="shared" si="20"/>
        <v>190</v>
      </c>
      <c r="M129" s="2">
        <f t="shared" si="21"/>
        <v>0.13869800883350183</v>
      </c>
      <c r="N129" s="2" cm="1">
        <f t="array" ref="N129">SQRT(SUM(IF(F10:F129&lt;AVERAGE(F10:F129),(F10:F129-AVERAGE(F10:F129))^2, 0)) / COUNT(F10:F129))*SQRT(365)</f>
        <v>9.8965959516484139E-2</v>
      </c>
      <c r="O129" s="2">
        <f t="shared" si="12"/>
        <v>1.0153974880656695</v>
      </c>
      <c r="P129">
        <f t="shared" si="13"/>
        <v>1</v>
      </c>
      <c r="Q129">
        <f t="shared" si="14"/>
        <v>0</v>
      </c>
      <c r="R129">
        <f t="shared" si="15"/>
        <v>1</v>
      </c>
    </row>
    <row r="130" spans="1:18" x14ac:dyDescent="0.3">
      <c r="A130" s="1">
        <v>45131</v>
      </c>
      <c r="B130">
        <v>17033.61</v>
      </c>
      <c r="C130" s="2">
        <f t="shared" si="16"/>
        <v>1.7085330699952625E-4</v>
      </c>
      <c r="D130">
        <f t="shared" si="17"/>
        <v>3</v>
      </c>
      <c r="E130" s="2">
        <f t="shared" si="18"/>
        <v>5.6951102333175419E-5</v>
      </c>
      <c r="F130" s="2">
        <f t="shared" si="11"/>
        <v>9.8642202788114258E-5</v>
      </c>
      <c r="G130" s="2">
        <f t="shared" si="22"/>
        <v>0.36341156328966667</v>
      </c>
      <c r="H130">
        <f t="shared" si="23"/>
        <v>89</v>
      </c>
      <c r="I130" s="2">
        <f t="shared" si="24"/>
        <v>0.13255310011012339</v>
      </c>
      <c r="J130" s="2" cm="1">
        <f t="array" ref="J130">SQRT(SUM(IF(F71:F130&lt;AVERAGE(F71:F130),(F71:F130-AVERAGE(F71:F130))^2, 0)) / COUNT(F71:F130))*SQRT(365)</f>
        <v>9.0854062043003322E-2</v>
      </c>
      <c r="K130" s="2">
        <f t="shared" si="19"/>
        <v>0.26436623727951547</v>
      </c>
      <c r="L130">
        <f t="shared" si="20"/>
        <v>192</v>
      </c>
      <c r="M130" s="2">
        <f t="shared" si="21"/>
        <v>0.13838137819619206</v>
      </c>
      <c r="N130" s="2" cm="1">
        <f t="array" ref="N130">SQRT(SUM(IF(F11:F130&lt;AVERAGE(F11:F130),(F11:F130-AVERAGE(F11:F130))^2, 0)) / COUNT(F11:F130))*SQRT(365)</f>
        <v>9.8456412125487794E-2</v>
      </c>
      <c r="O130" s="2">
        <f t="shared" si="12"/>
        <v>1.0065646683233913</v>
      </c>
      <c r="P130">
        <f t="shared" si="13"/>
        <v>0</v>
      </c>
      <c r="Q130">
        <f t="shared" si="14"/>
        <v>0</v>
      </c>
      <c r="R130">
        <f t="shared" si="15"/>
        <v>0</v>
      </c>
    </row>
    <row r="131" spans="1:18" x14ac:dyDescent="0.3">
      <c r="A131" s="1">
        <v>45132</v>
      </c>
      <c r="B131">
        <v>17198.89</v>
      </c>
      <c r="C131" s="2">
        <f t="shared" si="16"/>
        <v>9.6563957821345428E-3</v>
      </c>
      <c r="D131">
        <f t="shared" si="17"/>
        <v>1</v>
      </c>
      <c r="E131" s="2">
        <f t="shared" si="18"/>
        <v>9.6563957821345428E-3</v>
      </c>
      <c r="F131" s="2">
        <f t="shared" ref="F131:F194" si="25">C131/SQRT(D131)</f>
        <v>9.6563957821345428E-3</v>
      </c>
      <c r="G131" s="2">
        <f t="shared" si="22"/>
        <v>0.36341156328966667</v>
      </c>
      <c r="H131">
        <f t="shared" si="23"/>
        <v>89</v>
      </c>
      <c r="I131" s="2">
        <f t="shared" si="24"/>
        <v>0.13403693988639484</v>
      </c>
      <c r="J131" s="2" cm="1">
        <f t="array" ref="J131">SQRT(SUM(IF(F72:F131&lt;AVERAGE(F72:F131),(F72:F131-AVERAGE(F72:F131))^2, 0)) / COUNT(F72:F131))*SQRT(365)</f>
        <v>9.2138492929526597E-2</v>
      </c>
      <c r="K131" s="2">
        <f t="shared" si="19"/>
        <v>0.26436623727951547</v>
      </c>
      <c r="L131">
        <f t="shared" si="20"/>
        <v>190</v>
      </c>
      <c r="M131" s="2">
        <f t="shared" si="21"/>
        <v>0.13912873892109193</v>
      </c>
      <c r="N131" s="2" cm="1">
        <f t="array" ref="N131">SQRT(SUM(IF(F12:F131&lt;AVERAGE(F12:F131),(F12:F131-AVERAGE(F12:F131))^2, 0)) / COUNT(F12:F131))*SQRT(365)</f>
        <v>9.893348589131884E-2</v>
      </c>
      <c r="O131" s="2">
        <f t="shared" ref="O131:O194" si="26">B136/B131</f>
        <v>1.0008128431544128</v>
      </c>
      <c r="P131">
        <f t="shared" ref="P131:P194" si="27">IF(O131 &gt;= 1.015, 1, 0)</f>
        <v>0</v>
      </c>
      <c r="Q131">
        <f t="shared" ref="Q131:Q194" si="28">IF(O131&lt;=0.985,1,0)</f>
        <v>0</v>
      </c>
      <c r="R131">
        <f t="shared" ref="R131:R194" si="29">MAX(P131,Q131)</f>
        <v>0</v>
      </c>
    </row>
    <row r="132" spans="1:18" x14ac:dyDescent="0.3">
      <c r="A132" s="1">
        <v>45133</v>
      </c>
      <c r="B132">
        <v>17162.55</v>
      </c>
      <c r="C132" s="2">
        <f t="shared" ref="C132:C195" si="30">LN(B132/B131)</f>
        <v>-2.1151624348977943E-3</v>
      </c>
      <c r="D132">
        <f t="shared" ref="D132:D195" si="31">DATEDIF(A131,A132,"d")</f>
        <v>1</v>
      </c>
      <c r="E132" s="2">
        <f t="shared" ref="E132:E195" si="32">C132/D132</f>
        <v>-2.1151624348977943E-3</v>
      </c>
      <c r="F132" s="2">
        <f t="shared" si="25"/>
        <v>-2.1151624348977943E-3</v>
      </c>
      <c r="G132" s="2">
        <f t="shared" si="22"/>
        <v>0.34526627922817099</v>
      </c>
      <c r="H132">
        <f t="shared" si="23"/>
        <v>89</v>
      </c>
      <c r="I132" s="2">
        <f t="shared" si="24"/>
        <v>0.13236781020329302</v>
      </c>
      <c r="J132" s="2" cm="1">
        <f t="array" ref="J132">SQRT(SUM(IF(F73:F132&lt;AVERAGE(F73:F132),(F73:F132-AVERAGE(F73:F132))^2, 0)) / COUNT(F73:F132))*SQRT(365)</f>
        <v>9.0292324779402966E-2</v>
      </c>
      <c r="K132" s="2">
        <f t="shared" si="19"/>
        <v>0.26436623727951547</v>
      </c>
      <c r="L132">
        <f t="shared" si="20"/>
        <v>190</v>
      </c>
      <c r="M132" s="2">
        <f t="shared" si="21"/>
        <v>0.13922435663402905</v>
      </c>
      <c r="N132" s="2" cm="1">
        <f t="array" ref="N132">SQRT(SUM(IF(F13:F132&lt;AVERAGE(F13:F132),(F13:F132-AVERAGE(F13:F132))^2, 0)) / COUNT(F13:F132))*SQRT(365)</f>
        <v>9.8854469925920327E-2</v>
      </c>
      <c r="O132" s="2">
        <f t="shared" si="26"/>
        <v>0.98433682640400177</v>
      </c>
      <c r="P132">
        <f t="shared" si="27"/>
        <v>0</v>
      </c>
      <c r="Q132">
        <f t="shared" si="28"/>
        <v>1</v>
      </c>
      <c r="R132">
        <f t="shared" si="29"/>
        <v>1</v>
      </c>
    </row>
    <row r="133" spans="1:18" x14ac:dyDescent="0.3">
      <c r="A133" s="1">
        <v>45134</v>
      </c>
      <c r="B133">
        <v>17241.82</v>
      </c>
      <c r="C133" s="2">
        <f t="shared" si="30"/>
        <v>4.6081436907429284E-3</v>
      </c>
      <c r="D133">
        <f t="shared" si="31"/>
        <v>1</v>
      </c>
      <c r="E133" s="2">
        <f t="shared" si="32"/>
        <v>4.6081436907429284E-3</v>
      </c>
      <c r="F133" s="2">
        <f t="shared" si="25"/>
        <v>4.6081436907429284E-3</v>
      </c>
      <c r="G133" s="2">
        <f t="shared" si="22"/>
        <v>0.36341156328966667</v>
      </c>
      <c r="H133">
        <f t="shared" si="23"/>
        <v>86</v>
      </c>
      <c r="I133" s="2">
        <f t="shared" si="24"/>
        <v>0.13259192811714843</v>
      </c>
      <c r="J133" s="2" cm="1">
        <f t="array" ref="J133">SQRT(SUM(IF(F74:F133&lt;AVERAGE(F74:F133),(F74:F133-AVERAGE(F74:F133))^2, 0)) / COUNT(F74:F133))*SQRT(365)</f>
        <v>9.0786388381181762E-2</v>
      </c>
      <c r="K133" s="2">
        <f t="shared" si="19"/>
        <v>0.26436623727951547</v>
      </c>
      <c r="L133">
        <f t="shared" si="20"/>
        <v>178</v>
      </c>
      <c r="M133" s="2">
        <f t="shared" si="21"/>
        <v>0.13840710699378211</v>
      </c>
      <c r="N133" s="2" cm="1">
        <f t="array" ref="N133">SQRT(SUM(IF(F14:F133&lt;AVERAGE(F14:F133),(F14:F133-AVERAGE(F14:F133))^2, 0)) / COUNT(F14:F133))*SQRT(365)</f>
        <v>9.8378950425575665E-2</v>
      </c>
      <c r="O133" s="2">
        <f t="shared" si="26"/>
        <v>0.97690847021950122</v>
      </c>
      <c r="P133">
        <f t="shared" si="27"/>
        <v>0</v>
      </c>
      <c r="Q133">
        <f t="shared" si="28"/>
        <v>1</v>
      </c>
      <c r="R133">
        <f t="shared" si="29"/>
        <v>1</v>
      </c>
    </row>
    <row r="134" spans="1:18" x14ac:dyDescent="0.3">
      <c r="A134" s="1">
        <v>45135</v>
      </c>
      <c r="B134">
        <v>17292.93</v>
      </c>
      <c r="C134" s="2">
        <f t="shared" si="30"/>
        <v>2.9599193458807321E-3</v>
      </c>
      <c r="D134">
        <f t="shared" si="31"/>
        <v>1</v>
      </c>
      <c r="E134" s="2">
        <f t="shared" si="32"/>
        <v>2.9599193458807321E-3</v>
      </c>
      <c r="F134" s="2">
        <f t="shared" si="25"/>
        <v>2.9599193458807321E-3</v>
      </c>
      <c r="G134" s="2">
        <f t="shared" si="22"/>
        <v>0.38476769585131998</v>
      </c>
      <c r="H134">
        <f t="shared" si="23"/>
        <v>86</v>
      </c>
      <c r="I134" s="2">
        <f t="shared" si="24"/>
        <v>0.13151798740789827</v>
      </c>
      <c r="J134" s="2" cm="1">
        <f t="array" ref="J134">SQRT(SUM(IF(F75:F134&lt;AVERAGE(F75:F134),(F75:F134-AVERAGE(F75:F134))^2, 0)) / COUNT(F75:F134))*SQRT(365)</f>
        <v>9.0654511105325658E-2</v>
      </c>
      <c r="K134" s="2">
        <f t="shared" si="19"/>
        <v>0.27227727857566064</v>
      </c>
      <c r="L134">
        <f t="shared" si="20"/>
        <v>178</v>
      </c>
      <c r="M134" s="2">
        <f t="shared" si="21"/>
        <v>0.13567907726550082</v>
      </c>
      <c r="N134" s="2" cm="1">
        <f t="array" ref="N134">SQRT(SUM(IF(F15:F134&lt;AVERAGE(F15:F134),(F15:F134-AVERAGE(F15:F134))^2, 0)) / COUNT(F15:F134))*SQRT(365)</f>
        <v>9.6005184929838408E-2</v>
      </c>
      <c r="O134" s="2">
        <f t="shared" si="26"/>
        <v>0.98282939906655498</v>
      </c>
      <c r="P134">
        <f t="shared" si="27"/>
        <v>0</v>
      </c>
      <c r="Q134">
        <f t="shared" si="28"/>
        <v>1</v>
      </c>
      <c r="R134">
        <f t="shared" si="29"/>
        <v>1</v>
      </c>
    </row>
    <row r="135" spans="1:18" x14ac:dyDescent="0.3">
      <c r="A135" s="1">
        <v>45138</v>
      </c>
      <c r="B135">
        <v>17145.43</v>
      </c>
      <c r="C135" s="2">
        <f t="shared" si="30"/>
        <v>-8.5660816562577978E-3</v>
      </c>
      <c r="D135">
        <f t="shared" si="31"/>
        <v>3</v>
      </c>
      <c r="E135" s="2">
        <f t="shared" si="32"/>
        <v>-2.8553605520859325E-3</v>
      </c>
      <c r="F135" s="2">
        <f t="shared" si="25"/>
        <v>-4.945629550140755E-3</v>
      </c>
      <c r="G135" s="2">
        <f t="shared" si="22"/>
        <v>0.36341156328966667</v>
      </c>
      <c r="H135">
        <f t="shared" si="23"/>
        <v>88</v>
      </c>
      <c r="I135" s="2">
        <f t="shared" si="24"/>
        <v>0.1324237379710243</v>
      </c>
      <c r="J135" s="2" cm="1">
        <f t="array" ref="J135">SQRT(SUM(IF(F76:F135&lt;AVERAGE(F76:F135),(F76:F135-AVERAGE(F76:F135))^2, 0)) / COUNT(F76:F135))*SQRT(365)</f>
        <v>9.0575607772013303E-2</v>
      </c>
      <c r="K135" s="2">
        <f t="shared" si="19"/>
        <v>0.26436623727951547</v>
      </c>
      <c r="L135">
        <f t="shared" si="20"/>
        <v>180</v>
      </c>
      <c r="M135" s="2">
        <f t="shared" si="21"/>
        <v>0.13510667628668782</v>
      </c>
      <c r="N135" s="2" cm="1">
        <f t="array" ref="N135">SQRT(SUM(IF(F16:F135&lt;AVERAGE(F16:F135),(F16:F135-AVERAGE(F16:F135))^2, 0)) / COUNT(F16:F135))*SQRT(365)</f>
        <v>9.5271544205742992E-2</v>
      </c>
      <c r="O135" s="2">
        <f t="shared" si="26"/>
        <v>0.9843480157686334</v>
      </c>
      <c r="P135">
        <f t="shared" si="27"/>
        <v>0</v>
      </c>
      <c r="Q135">
        <f t="shared" si="28"/>
        <v>1</v>
      </c>
      <c r="R135">
        <f t="shared" si="29"/>
        <v>1</v>
      </c>
    </row>
    <row r="136" spans="1:18" x14ac:dyDescent="0.3">
      <c r="A136" s="1">
        <v>45139</v>
      </c>
      <c r="B136">
        <v>17212.87</v>
      </c>
      <c r="C136" s="2">
        <f t="shared" si="30"/>
        <v>3.925694030857704E-3</v>
      </c>
      <c r="D136">
        <f t="shared" si="31"/>
        <v>1</v>
      </c>
      <c r="E136" s="2">
        <f t="shared" si="32"/>
        <v>3.925694030857704E-3</v>
      </c>
      <c r="F136" s="2">
        <f t="shared" si="25"/>
        <v>3.925694030857704E-3</v>
      </c>
      <c r="G136" s="2">
        <f t="shared" si="22"/>
        <v>0.36341156328966667</v>
      </c>
      <c r="H136">
        <f t="shared" si="23"/>
        <v>88</v>
      </c>
      <c r="I136" s="2">
        <f t="shared" si="24"/>
        <v>0.13255274190378419</v>
      </c>
      <c r="J136" s="2" cm="1">
        <f t="array" ref="J136">SQRT(SUM(IF(F77:F136&lt;AVERAGE(F77:F136),(F77:F136-AVERAGE(F77:F136))^2, 0)) / COUNT(F77:F136))*SQRT(365)</f>
        <v>9.1075003590921924E-2</v>
      </c>
      <c r="K136" s="2">
        <f t="shared" si="19"/>
        <v>0.26436623727951547</v>
      </c>
      <c r="L136">
        <f t="shared" si="20"/>
        <v>180</v>
      </c>
      <c r="M136" s="2">
        <f t="shared" si="21"/>
        <v>0.13396498507369931</v>
      </c>
      <c r="N136" s="2" cm="1">
        <f t="array" ref="N136">SQRT(SUM(IF(F17:F136&lt;AVERAGE(F17:F136),(F17:F136-AVERAGE(F17:F136))^2, 0)) / COUNT(F17:F136))*SQRT(365)</f>
        <v>9.4647609635573116E-2</v>
      </c>
      <c r="O136" s="2">
        <f t="shared" si="26"/>
        <v>0.98013521277973981</v>
      </c>
      <c r="P136">
        <f t="shared" si="27"/>
        <v>0</v>
      </c>
      <c r="Q136">
        <f t="shared" si="28"/>
        <v>1</v>
      </c>
      <c r="R136">
        <f t="shared" si="29"/>
        <v>1</v>
      </c>
    </row>
    <row r="137" spans="1:18" x14ac:dyDescent="0.3">
      <c r="A137" s="1">
        <v>45140</v>
      </c>
      <c r="B137">
        <v>16893.73</v>
      </c>
      <c r="C137" s="2">
        <f t="shared" si="30"/>
        <v>-1.8714812657401578E-2</v>
      </c>
      <c r="D137">
        <f t="shared" si="31"/>
        <v>1</v>
      </c>
      <c r="E137" s="2">
        <f t="shared" si="32"/>
        <v>-1.8714812657401578E-2</v>
      </c>
      <c r="F137" s="2">
        <f t="shared" si="25"/>
        <v>-1.8714812657401578E-2</v>
      </c>
      <c r="G137" s="2">
        <f t="shared" si="22"/>
        <v>0.25827844740216682</v>
      </c>
      <c r="H137">
        <f t="shared" si="23"/>
        <v>86</v>
      </c>
      <c r="I137" s="2">
        <f t="shared" si="24"/>
        <v>0.14162302769384702</v>
      </c>
      <c r="J137" s="2" cm="1">
        <f t="array" ref="J137">SQRT(SUM(IF(F78:F137&lt;AVERAGE(F78:F137),(F78:F137-AVERAGE(F78:F137))^2, 0)) / COUNT(F78:F137))*SQRT(365)</f>
        <v>0.10017244782154211</v>
      </c>
      <c r="K137" s="2">
        <f t="shared" si="19"/>
        <v>0.26436623727951547</v>
      </c>
      <c r="L137">
        <f t="shared" si="20"/>
        <v>180</v>
      </c>
      <c r="M137" s="2">
        <f t="shared" si="21"/>
        <v>0.13820908009954602</v>
      </c>
      <c r="N137" s="2" cm="1">
        <f t="array" ref="N137">SQRT(SUM(IF(F18:F137&lt;AVERAGE(F18:F137),(F18:F137-AVERAGE(F18:F137))^2, 0)) / COUNT(F18:F137))*SQRT(365)</f>
        <v>9.8952620367243074E-2</v>
      </c>
      <c r="O137" s="2">
        <f t="shared" si="26"/>
        <v>0.9846670924656663</v>
      </c>
      <c r="P137">
        <f t="shared" si="27"/>
        <v>0</v>
      </c>
      <c r="Q137">
        <f t="shared" si="28"/>
        <v>1</v>
      </c>
      <c r="R137">
        <f t="shared" si="29"/>
        <v>1</v>
      </c>
    </row>
    <row r="138" spans="1:18" x14ac:dyDescent="0.3">
      <c r="A138" s="1">
        <v>45142</v>
      </c>
      <c r="B138">
        <v>16843.68</v>
      </c>
      <c r="C138" s="2">
        <f t="shared" si="30"/>
        <v>-2.967034915666307E-3</v>
      </c>
      <c r="D138">
        <f t="shared" si="31"/>
        <v>2</v>
      </c>
      <c r="E138" s="2">
        <f t="shared" si="32"/>
        <v>-1.4835174578331535E-3</v>
      </c>
      <c r="F138" s="2">
        <f t="shared" si="25"/>
        <v>-2.0980105088849016E-3</v>
      </c>
      <c r="G138" s="2">
        <f t="shared" si="22"/>
        <v>0.15237483868634535</v>
      </c>
      <c r="H138">
        <f t="shared" si="23"/>
        <v>87</v>
      </c>
      <c r="I138" s="2">
        <f t="shared" si="24"/>
        <v>0.14184735435199886</v>
      </c>
      <c r="J138" s="2" cm="1">
        <f t="array" ref="J138">SQRT(SUM(IF(F79:F138&lt;AVERAGE(F79:F138),(F79:F138-AVERAGE(F79:F138))^2, 0)) / COUNT(F79:F138))*SQRT(365)</f>
        <v>9.9826984524687801E-2</v>
      </c>
      <c r="K138" s="2">
        <f t="shared" si="19"/>
        <v>0.26436623727951547</v>
      </c>
      <c r="L138">
        <f t="shared" si="20"/>
        <v>179</v>
      </c>
      <c r="M138" s="2">
        <f t="shared" si="21"/>
        <v>0.13749717026006802</v>
      </c>
      <c r="N138" s="2" cm="1">
        <f t="array" ref="N138">SQRT(SUM(IF(F19:F138&lt;AVERAGE(F19:F138),(F19:F138-AVERAGE(F19:F138))^2, 0)) / COUNT(F19:F138))*SQRT(365)</f>
        <v>9.8442708914305344E-2</v>
      </c>
      <c r="O138" s="2">
        <f t="shared" si="26"/>
        <v>0.98560706448947022</v>
      </c>
      <c r="P138">
        <f t="shared" si="27"/>
        <v>0</v>
      </c>
      <c r="Q138">
        <f t="shared" si="28"/>
        <v>0</v>
      </c>
      <c r="R138">
        <f t="shared" si="29"/>
        <v>0</v>
      </c>
    </row>
    <row r="139" spans="1:18" x14ac:dyDescent="0.3">
      <c r="A139" s="1">
        <v>45145</v>
      </c>
      <c r="B139">
        <v>16996</v>
      </c>
      <c r="C139" s="2">
        <f t="shared" si="30"/>
        <v>9.0025099960859434E-3</v>
      </c>
      <c r="D139">
        <f t="shared" si="31"/>
        <v>3</v>
      </c>
      <c r="E139" s="2">
        <f t="shared" si="32"/>
        <v>3.000836665361981E-3</v>
      </c>
      <c r="F139" s="2">
        <f t="shared" si="25"/>
        <v>5.1976015696225163E-3</v>
      </c>
      <c r="G139" s="2">
        <f t="shared" si="22"/>
        <v>0.25827844740216682</v>
      </c>
      <c r="H139">
        <f t="shared" si="23"/>
        <v>89</v>
      </c>
      <c r="I139" s="2">
        <f t="shared" si="24"/>
        <v>0.14121017657279447</v>
      </c>
      <c r="J139" s="2" cm="1">
        <f t="array" ref="J139">SQRT(SUM(IF(F80:F139&lt;AVERAGE(F80:F139),(F80:F139-AVERAGE(F80:F139))^2, 0)) / COUNT(F80:F139))*SQRT(365)</f>
        <v>0.10030023285068954</v>
      </c>
      <c r="K139" s="2">
        <f t="shared" si="19"/>
        <v>0.27227727857566064</v>
      </c>
      <c r="L139">
        <f t="shared" si="20"/>
        <v>181</v>
      </c>
      <c r="M139" s="2">
        <f t="shared" si="21"/>
        <v>0.13772437120356296</v>
      </c>
      <c r="N139" s="2" cm="1">
        <f t="array" ref="N139">SQRT(SUM(IF(F20:F139&lt;AVERAGE(F20:F139),(F20:F139-AVERAGE(F20:F139))^2, 0)) / COUNT(F20:F139))*SQRT(365)</f>
        <v>9.8831019450135824E-2</v>
      </c>
      <c r="O139" s="2">
        <f t="shared" si="26"/>
        <v>0.96455989644622264</v>
      </c>
      <c r="P139">
        <f t="shared" si="27"/>
        <v>0</v>
      </c>
      <c r="Q139">
        <f t="shared" si="28"/>
        <v>1</v>
      </c>
      <c r="R139">
        <f t="shared" si="29"/>
        <v>1</v>
      </c>
    </row>
    <row r="140" spans="1:18" x14ac:dyDescent="0.3">
      <c r="A140" s="1">
        <v>45146</v>
      </c>
      <c r="B140">
        <v>16877.07</v>
      </c>
      <c r="C140" s="2">
        <f t="shared" si="30"/>
        <v>-7.0221263502452998E-3</v>
      </c>
      <c r="D140">
        <f t="shared" si="31"/>
        <v>1</v>
      </c>
      <c r="E140" s="2">
        <f t="shared" si="32"/>
        <v>-7.0221263502452998E-3</v>
      </c>
      <c r="F140" s="2">
        <f t="shared" si="25"/>
        <v>-7.0221263502452998E-3</v>
      </c>
      <c r="G140" s="2">
        <f t="shared" si="22"/>
        <v>0.25827844740216682</v>
      </c>
      <c r="H140">
        <f t="shared" si="23"/>
        <v>89</v>
      </c>
      <c r="I140" s="2">
        <f t="shared" si="24"/>
        <v>0.14076503966009246</v>
      </c>
      <c r="J140" s="2" cm="1">
        <f t="array" ref="J140">SQRT(SUM(IF(F81:F140&lt;AVERAGE(F81:F140),(F81:F140-AVERAGE(F81:F140))^2, 0)) / COUNT(F81:F140))*SQRT(365)</f>
        <v>9.9878750263735577E-2</v>
      </c>
      <c r="K140" s="2">
        <f t="shared" si="19"/>
        <v>0.26436623727951547</v>
      </c>
      <c r="L140">
        <f t="shared" si="20"/>
        <v>181</v>
      </c>
      <c r="M140" s="2">
        <f t="shared" si="21"/>
        <v>0.13636810475474739</v>
      </c>
      <c r="N140" s="2" cm="1">
        <f t="array" ref="N140">SQRT(SUM(IF(F21:F140&lt;AVERAGE(F21:F140),(F21:F140-AVERAGE(F21:F140))^2, 0)) / COUNT(F21:F140))*SQRT(365)</f>
        <v>9.797872176607135E-2</v>
      </c>
      <c r="O140" s="2">
        <f t="shared" si="26"/>
        <v>0.97497966175408401</v>
      </c>
      <c r="P140">
        <f t="shared" si="27"/>
        <v>0</v>
      </c>
      <c r="Q140">
        <f t="shared" si="28"/>
        <v>1</v>
      </c>
      <c r="R140">
        <f t="shared" si="29"/>
        <v>1</v>
      </c>
    </row>
    <row r="141" spans="1:18" x14ac:dyDescent="0.3">
      <c r="A141" s="1">
        <v>45147</v>
      </c>
      <c r="B141">
        <v>16870.939999999999</v>
      </c>
      <c r="C141" s="2">
        <f t="shared" si="30"/>
        <v>-3.6328068335982213E-4</v>
      </c>
      <c r="D141">
        <f t="shared" si="31"/>
        <v>1</v>
      </c>
      <c r="E141" s="2">
        <f t="shared" si="32"/>
        <v>-3.6328068335982213E-4</v>
      </c>
      <c r="F141" s="2">
        <f t="shared" si="25"/>
        <v>-3.6328068335982213E-4</v>
      </c>
      <c r="G141" s="2">
        <f t="shared" si="22"/>
        <v>0.25827844740216682</v>
      </c>
      <c r="H141">
        <f t="shared" si="23"/>
        <v>89</v>
      </c>
      <c r="I141" s="2">
        <f t="shared" si="24"/>
        <v>0.14072899573406328</v>
      </c>
      <c r="J141" s="2" cm="1">
        <f t="array" ref="J141">SQRT(SUM(IF(F82:F141&lt;AVERAGE(F82:F141),(F82:F141-AVERAGE(F82:F141))^2, 0)) / COUNT(F82:F141))*SQRT(365)</f>
        <v>9.9902262662493246E-2</v>
      </c>
      <c r="K141" s="2">
        <f t="shared" si="19"/>
        <v>0.26436623727951547</v>
      </c>
      <c r="L141">
        <f t="shared" si="20"/>
        <v>181</v>
      </c>
      <c r="M141" s="2">
        <f t="shared" si="21"/>
        <v>0.13634161912235357</v>
      </c>
      <c r="N141" s="2" cm="1">
        <f t="array" ref="N141">SQRT(SUM(IF(F22:F141&lt;AVERAGE(F22:F141),(F22:F141-AVERAGE(F22:F141))^2, 0)) / COUNT(F22:F141))*SQRT(365)</f>
        <v>9.8015800875341716E-2</v>
      </c>
      <c r="O141" s="2">
        <f t="shared" si="26"/>
        <v>0.97485854374445058</v>
      </c>
      <c r="P141">
        <f t="shared" si="27"/>
        <v>0</v>
      </c>
      <c r="Q141">
        <f t="shared" si="28"/>
        <v>1</v>
      </c>
      <c r="R141">
        <f t="shared" si="29"/>
        <v>1</v>
      </c>
    </row>
    <row r="142" spans="1:18" x14ac:dyDescent="0.3">
      <c r="A142" s="1">
        <v>45148</v>
      </c>
      <c r="B142">
        <v>16634.7</v>
      </c>
      <c r="C142" s="2">
        <f t="shared" si="30"/>
        <v>-1.4101740176242879E-2</v>
      </c>
      <c r="D142">
        <f t="shared" si="31"/>
        <v>1</v>
      </c>
      <c r="E142" s="2">
        <f t="shared" si="32"/>
        <v>-1.4101740176242879E-2</v>
      </c>
      <c r="F142" s="2">
        <f t="shared" si="25"/>
        <v>-1.4101740176242879E-2</v>
      </c>
      <c r="G142" s="2">
        <f t="shared" si="22"/>
        <v>0.25827844740216682</v>
      </c>
      <c r="H142">
        <f t="shared" si="23"/>
        <v>87</v>
      </c>
      <c r="I142" s="2">
        <f t="shared" si="24"/>
        <v>0.14569718618732758</v>
      </c>
      <c r="J142" s="2" cm="1">
        <f t="array" ref="J142">SQRT(SUM(IF(F83:F142&lt;AVERAGE(F83:F142),(F83:F142-AVERAGE(F83:F142))^2, 0)) / COUNT(F83:F142))*SQRT(365)</f>
        <v>0.10451703165663208</v>
      </c>
      <c r="K142" s="2">
        <f t="shared" si="19"/>
        <v>0.26436623727951547</v>
      </c>
      <c r="L142">
        <f t="shared" si="20"/>
        <v>181</v>
      </c>
      <c r="M142" s="2">
        <f t="shared" si="21"/>
        <v>0.13869410197796447</v>
      </c>
      <c r="N142" s="2" cm="1">
        <f t="array" ref="N142">SQRT(SUM(IF(F23:F142&lt;AVERAGE(F23:F142),(F23:F142-AVERAGE(F23:F142))^2, 0)) / COUNT(F23:F142))*SQRT(365)</f>
        <v>0.10014400075839813</v>
      </c>
      <c r="O142" s="2">
        <f t="shared" si="26"/>
        <v>0.99290398985253714</v>
      </c>
      <c r="P142">
        <f t="shared" si="27"/>
        <v>0</v>
      </c>
      <c r="Q142">
        <f t="shared" si="28"/>
        <v>0</v>
      </c>
      <c r="R142">
        <f t="shared" si="29"/>
        <v>0</v>
      </c>
    </row>
    <row r="143" spans="1:18" x14ac:dyDescent="0.3">
      <c r="A143" s="1">
        <v>45149</v>
      </c>
      <c r="B143">
        <v>16601.25</v>
      </c>
      <c r="C143" s="2">
        <f t="shared" si="30"/>
        <v>-2.0128813103936689E-3</v>
      </c>
      <c r="D143">
        <f t="shared" si="31"/>
        <v>1</v>
      </c>
      <c r="E143" s="2">
        <f t="shared" si="32"/>
        <v>-2.0128813103936689E-3</v>
      </c>
      <c r="F143" s="2">
        <f t="shared" si="25"/>
        <v>-2.0128813103936689E-3</v>
      </c>
      <c r="G143" s="2">
        <f t="shared" si="22"/>
        <v>0.15237483868634535</v>
      </c>
      <c r="H143">
        <f t="shared" si="23"/>
        <v>87</v>
      </c>
      <c r="I143" s="2">
        <f t="shared" si="24"/>
        <v>0.14292237556081031</v>
      </c>
      <c r="J143" s="2" cm="1">
        <f t="array" ref="J143">SQRT(SUM(IF(F84:F143&lt;AVERAGE(F84:F143),(F84:F143-AVERAGE(F84:F143))^2, 0)) / COUNT(F84:F143))*SQRT(365)</f>
        <v>0.10228076509112588</v>
      </c>
      <c r="K143" s="2">
        <f t="shared" si="19"/>
        <v>0.26436623727951547</v>
      </c>
      <c r="L143">
        <f t="shared" si="20"/>
        <v>179</v>
      </c>
      <c r="M143" s="2">
        <f t="shared" si="21"/>
        <v>0.13871567548161778</v>
      </c>
      <c r="N143" s="2" cm="1">
        <f t="array" ref="N143">SQRT(SUM(IF(F24:F143&lt;AVERAGE(F24:F143),(F24:F143-AVERAGE(F24:F143))^2, 0)) / COUNT(F24:F143))*SQRT(365)</f>
        <v>0.10013687335719582</v>
      </c>
      <c r="O143" s="2">
        <f t="shared" si="26"/>
        <v>0.98675160003011819</v>
      </c>
      <c r="P143">
        <f t="shared" si="27"/>
        <v>0</v>
      </c>
      <c r="Q143">
        <f t="shared" si="28"/>
        <v>0</v>
      </c>
      <c r="R143">
        <f t="shared" si="29"/>
        <v>0</v>
      </c>
    </row>
    <row r="144" spans="1:18" x14ac:dyDescent="0.3">
      <c r="A144" s="1">
        <v>45152</v>
      </c>
      <c r="B144">
        <v>16393.66</v>
      </c>
      <c r="C144" s="2">
        <f t="shared" si="30"/>
        <v>-1.2583319011410668E-2</v>
      </c>
      <c r="D144">
        <f t="shared" si="31"/>
        <v>3</v>
      </c>
      <c r="E144" s="2">
        <f t="shared" si="32"/>
        <v>-4.1944396704702231E-3</v>
      </c>
      <c r="F144" s="2">
        <f t="shared" si="25"/>
        <v>-7.2649826185368855E-3</v>
      </c>
      <c r="G144" s="2">
        <f t="shared" si="22"/>
        <v>9.9238142992526535E-2</v>
      </c>
      <c r="H144">
        <f t="shared" si="23"/>
        <v>89</v>
      </c>
      <c r="I144" s="2">
        <f t="shared" si="24"/>
        <v>0.13922154895168523</v>
      </c>
      <c r="J144" s="2" cm="1">
        <f t="array" ref="J144">SQRT(SUM(IF(F85:F144&lt;AVERAGE(F85:F144),(F85:F144-AVERAGE(F85:F144))^2, 0)) / COUNT(F85:F144))*SQRT(365)</f>
        <v>0.1002718067672824</v>
      </c>
      <c r="K144" s="2">
        <f t="shared" si="19"/>
        <v>0.24361404964574562</v>
      </c>
      <c r="L144">
        <f t="shared" si="20"/>
        <v>181</v>
      </c>
      <c r="M144" s="2">
        <f t="shared" si="21"/>
        <v>0.13886046491713971</v>
      </c>
      <c r="N144" s="2" cm="1">
        <f t="array" ref="N144">SQRT(SUM(IF(F25:F144&lt;AVERAGE(F25:F144),(F25:F144-AVERAGE(F25:F144))^2, 0)) / COUNT(F25:F144))*SQRT(365)</f>
        <v>9.9822807318444715E-2</v>
      </c>
      <c r="O144" s="2">
        <f t="shared" si="26"/>
        <v>0.99925763984369564</v>
      </c>
      <c r="P144">
        <f t="shared" si="27"/>
        <v>0</v>
      </c>
      <c r="Q144">
        <f t="shared" si="28"/>
        <v>0</v>
      </c>
      <c r="R144">
        <f t="shared" si="29"/>
        <v>0</v>
      </c>
    </row>
    <row r="145" spans="1:18" x14ac:dyDescent="0.3">
      <c r="A145" s="1">
        <v>45153</v>
      </c>
      <c r="B145">
        <v>16454.8</v>
      </c>
      <c r="C145" s="2">
        <f t="shared" si="30"/>
        <v>3.7225532401488821E-3</v>
      </c>
      <c r="D145">
        <f t="shared" si="31"/>
        <v>1</v>
      </c>
      <c r="E145" s="2">
        <f t="shared" si="32"/>
        <v>3.7225532401488821E-3</v>
      </c>
      <c r="F145" s="2">
        <f t="shared" si="25"/>
        <v>3.7225532401488821E-3</v>
      </c>
      <c r="G145" s="2">
        <f t="shared" si="22"/>
        <v>9.9238142992526535E-2</v>
      </c>
      <c r="H145">
        <f t="shared" si="23"/>
        <v>89</v>
      </c>
      <c r="I145" s="2">
        <f t="shared" si="24"/>
        <v>0.13694790272232435</v>
      </c>
      <c r="J145" s="2" cm="1">
        <f t="array" ref="J145">SQRT(SUM(IF(F86:F145&lt;AVERAGE(F86:F145),(F86:F145-AVERAGE(F86:F145))^2, 0)) / COUNT(F86:F145))*SQRT(365)</f>
        <v>9.9051139095841179E-2</v>
      </c>
      <c r="K145" s="2">
        <f t="shared" si="19"/>
        <v>0.26436623727951547</v>
      </c>
      <c r="L145">
        <f t="shared" si="20"/>
        <v>181</v>
      </c>
      <c r="M145" s="2">
        <f t="shared" si="21"/>
        <v>0.1366027460556713</v>
      </c>
      <c r="N145" s="2" cm="1">
        <f t="array" ref="N145">SQRT(SUM(IF(F26:F145&lt;AVERAGE(F26:F145),(F26:F145-AVERAGE(F26:F145))^2, 0)) / COUNT(F26:F145))*SQRT(365)</f>
        <v>9.8039770037385052E-2</v>
      </c>
      <c r="O145" s="2">
        <f t="shared" si="26"/>
        <v>0.99895532002819853</v>
      </c>
      <c r="P145">
        <f t="shared" si="27"/>
        <v>0</v>
      </c>
      <c r="Q145">
        <f t="shared" si="28"/>
        <v>0</v>
      </c>
      <c r="R145">
        <f t="shared" si="29"/>
        <v>0</v>
      </c>
    </row>
    <row r="146" spans="1:18" x14ac:dyDescent="0.3">
      <c r="A146" s="1">
        <v>45154</v>
      </c>
      <c r="B146">
        <v>16446.78</v>
      </c>
      <c r="C146" s="2">
        <f t="shared" si="30"/>
        <v>-4.8751459102232595E-4</v>
      </c>
      <c r="D146">
        <f t="shared" si="31"/>
        <v>1</v>
      </c>
      <c r="E146" s="2">
        <f t="shared" si="32"/>
        <v>-4.8751459102232595E-4</v>
      </c>
      <c r="F146" s="2">
        <f t="shared" si="25"/>
        <v>-4.8751459102232595E-4</v>
      </c>
      <c r="G146" s="2">
        <f t="shared" si="22"/>
        <v>4.9824550916951559E-2</v>
      </c>
      <c r="H146">
        <f t="shared" si="23"/>
        <v>89</v>
      </c>
      <c r="I146" s="2">
        <f t="shared" si="24"/>
        <v>0.13656375728876022</v>
      </c>
      <c r="J146" s="2" cm="1">
        <f t="array" ref="J146">SQRT(SUM(IF(F87:F146&lt;AVERAGE(F87:F146),(F87:F146-AVERAGE(F87:F146))^2, 0)) / COUNT(F87:F146))*SQRT(365)</f>
        <v>9.8239221296696044E-2</v>
      </c>
      <c r="K146" s="2">
        <f t="shared" si="19"/>
        <v>0.24361404964574562</v>
      </c>
      <c r="L146">
        <f t="shared" si="20"/>
        <v>181</v>
      </c>
      <c r="M146" s="2">
        <f t="shared" si="21"/>
        <v>0.13603214381538747</v>
      </c>
      <c r="N146" s="2" cm="1">
        <f t="array" ref="N146">SQRT(SUM(IF(F27:F146&lt;AVERAGE(F27:F146),(F27:F146-AVERAGE(F27:F146))^2, 0)) / COUNT(F27:F146))*SQRT(365)</f>
        <v>9.7376508141293644E-2</v>
      </c>
      <c r="O146" s="2">
        <f t="shared" si="26"/>
        <v>1.007911579044652</v>
      </c>
      <c r="P146">
        <f t="shared" si="27"/>
        <v>0</v>
      </c>
      <c r="Q146">
        <f t="shared" si="28"/>
        <v>0</v>
      </c>
      <c r="R146">
        <f t="shared" si="29"/>
        <v>0</v>
      </c>
    </row>
    <row r="147" spans="1:18" x14ac:dyDescent="0.3">
      <c r="A147" s="1">
        <v>45155</v>
      </c>
      <c r="B147">
        <v>16516.66</v>
      </c>
      <c r="C147" s="2">
        <f t="shared" si="30"/>
        <v>4.2398551050722988E-3</v>
      </c>
      <c r="D147">
        <f t="shared" si="31"/>
        <v>1</v>
      </c>
      <c r="E147" s="2">
        <f t="shared" si="32"/>
        <v>4.2398551050722988E-3</v>
      </c>
      <c r="F147" s="2">
        <f t="shared" si="25"/>
        <v>4.2398551050722988E-3</v>
      </c>
      <c r="G147" s="2">
        <f t="shared" si="22"/>
        <v>9.9238142992526535E-2</v>
      </c>
      <c r="H147">
        <f t="shared" si="23"/>
        <v>87</v>
      </c>
      <c r="I147" s="2">
        <f t="shared" si="24"/>
        <v>0.13691160996624638</v>
      </c>
      <c r="J147" s="2" cm="1">
        <f t="array" ref="J147">SQRT(SUM(IF(F88:F147&lt;AVERAGE(F88:F147),(F88:F147-AVERAGE(F88:F147))^2, 0)) / COUNT(F88:F147))*SQRT(365)</f>
        <v>9.8908298148145807E-2</v>
      </c>
      <c r="K147" s="2">
        <f t="shared" si="19"/>
        <v>0.26436623727951547</v>
      </c>
      <c r="L147">
        <f t="shared" si="20"/>
        <v>181</v>
      </c>
      <c r="M147" s="2">
        <f t="shared" si="21"/>
        <v>0.13591734359015167</v>
      </c>
      <c r="N147" s="2" cm="1">
        <f t="array" ref="N147">SQRT(SUM(IF(F28:F147&lt;AVERAGE(F28:F147),(F28:F147-AVERAGE(F28:F147))^2, 0)) / COUNT(F28:F147))*SQRT(365)</f>
        <v>9.7723277044666712E-2</v>
      </c>
      <c r="O147" s="2">
        <f t="shared" si="26"/>
        <v>1.0153911262930884</v>
      </c>
      <c r="P147">
        <f t="shared" si="27"/>
        <v>1</v>
      </c>
      <c r="Q147">
        <f t="shared" si="28"/>
        <v>0</v>
      </c>
      <c r="R147">
        <f t="shared" si="29"/>
        <v>1</v>
      </c>
    </row>
    <row r="148" spans="1:18" x14ac:dyDescent="0.3">
      <c r="A148" s="1">
        <v>45156</v>
      </c>
      <c r="B148">
        <v>16381.31</v>
      </c>
      <c r="C148" s="2">
        <f t="shared" si="30"/>
        <v>-8.2285176680889031E-3</v>
      </c>
      <c r="D148">
        <f t="shared" si="31"/>
        <v>1</v>
      </c>
      <c r="E148" s="2">
        <f t="shared" si="32"/>
        <v>-8.2285176680889031E-3</v>
      </c>
      <c r="F148" s="2">
        <f t="shared" si="25"/>
        <v>-8.2285176680889031E-3</v>
      </c>
      <c r="G148" s="2">
        <f t="shared" si="22"/>
        <v>3.776929925494852E-2</v>
      </c>
      <c r="H148">
        <f t="shared" si="23"/>
        <v>87</v>
      </c>
      <c r="I148" s="2">
        <f t="shared" si="24"/>
        <v>0.13853637112263939</v>
      </c>
      <c r="J148" s="2" cm="1">
        <f t="array" ref="J148">SQRT(SUM(IF(F89:F148&lt;AVERAGE(F89:F148),(F89:F148-AVERAGE(F89:F148))^2, 0)) / COUNT(F89:F148))*SQRT(365)</f>
        <v>9.9667487217075523E-2</v>
      </c>
      <c r="K148" s="2">
        <f t="shared" si="19"/>
        <v>0.24361404964574562</v>
      </c>
      <c r="L148">
        <f t="shared" si="20"/>
        <v>179</v>
      </c>
      <c r="M148" s="2">
        <f t="shared" si="21"/>
        <v>0.13669933234944309</v>
      </c>
      <c r="N148" s="2" cm="1">
        <f t="array" ref="N148">SQRT(SUM(IF(F29:F148&lt;AVERAGE(F29:F148),(F29:F148-AVERAGE(F29:F148))^2, 0)) / COUNT(F29:F148))*SQRT(365)</f>
        <v>9.7974261307880187E-2</v>
      </c>
      <c r="O148" s="2">
        <f t="shared" si="26"/>
        <v>1.0061210000909575</v>
      </c>
      <c r="P148">
        <f t="shared" si="27"/>
        <v>0</v>
      </c>
      <c r="Q148">
        <f t="shared" si="28"/>
        <v>0</v>
      </c>
      <c r="R148">
        <f t="shared" si="29"/>
        <v>0</v>
      </c>
    </row>
    <row r="149" spans="1:18" x14ac:dyDescent="0.3">
      <c r="A149" s="1">
        <v>45159</v>
      </c>
      <c r="B149">
        <v>16381.49</v>
      </c>
      <c r="C149" s="2">
        <f t="shared" si="30"/>
        <v>1.0988071837708156E-5</v>
      </c>
      <c r="D149">
        <f t="shared" si="31"/>
        <v>3</v>
      </c>
      <c r="E149" s="2">
        <f t="shared" si="32"/>
        <v>3.6626906125693852E-6</v>
      </c>
      <c r="F149" s="2">
        <f t="shared" si="25"/>
        <v>6.3439662333757501E-6</v>
      </c>
      <c r="G149" s="2">
        <f t="shared" si="22"/>
        <v>3.776929925494852E-2</v>
      </c>
      <c r="H149">
        <f t="shared" si="23"/>
        <v>89</v>
      </c>
      <c r="I149" s="2">
        <f t="shared" si="24"/>
        <v>0.1384484058962038</v>
      </c>
      <c r="J149" s="2" cm="1">
        <f t="array" ref="J149">SQRT(SUM(IF(F90:F149&lt;AVERAGE(F90:F149),(F90:F149-AVERAGE(F90:F149))^2, 0)) / COUNT(F90:F149))*SQRT(365)</f>
        <v>9.9848490404295984E-2</v>
      </c>
      <c r="K149" s="2">
        <f t="shared" si="19"/>
        <v>0.20648438067724439</v>
      </c>
      <c r="L149">
        <f t="shared" si="20"/>
        <v>181</v>
      </c>
      <c r="M149" s="2">
        <f t="shared" si="21"/>
        <v>0.13669895763541667</v>
      </c>
      <c r="N149" s="2" cm="1">
        <f t="array" ref="N149">SQRT(SUM(IF(F30:F149&lt;AVERAGE(F30:F149),(F30:F149-AVERAGE(F30:F149))^2, 0)) / COUNT(F30:F149))*SQRT(365)</f>
        <v>9.791334264024891E-2</v>
      </c>
      <c r="O149" s="2">
        <f t="shared" si="26"/>
        <v>1.0077996568077749</v>
      </c>
      <c r="P149">
        <f t="shared" si="27"/>
        <v>0</v>
      </c>
      <c r="Q149">
        <f t="shared" si="28"/>
        <v>0</v>
      </c>
      <c r="R149">
        <f t="shared" si="29"/>
        <v>0</v>
      </c>
    </row>
    <row r="150" spans="1:18" x14ac:dyDescent="0.3">
      <c r="A150" s="1">
        <v>45160</v>
      </c>
      <c r="B150">
        <v>16437.61</v>
      </c>
      <c r="C150" s="2">
        <f t="shared" si="30"/>
        <v>3.4199630519405151E-3</v>
      </c>
      <c r="D150">
        <f t="shared" si="31"/>
        <v>1</v>
      </c>
      <c r="E150" s="2">
        <f t="shared" si="32"/>
        <v>3.4199630519405151E-3</v>
      </c>
      <c r="F150" s="2">
        <f t="shared" si="25"/>
        <v>3.4199630519405151E-3</v>
      </c>
      <c r="G150" s="2">
        <f t="shared" si="22"/>
        <v>3.776929925494852E-2</v>
      </c>
      <c r="H150">
        <f t="shared" si="23"/>
        <v>89</v>
      </c>
      <c r="I150" s="2">
        <f t="shared" si="24"/>
        <v>0.13725232515632127</v>
      </c>
      <c r="J150" s="2" cm="1">
        <f t="array" ref="J150">SQRT(SUM(IF(F91:F150&lt;AVERAGE(F91:F150),(F91:F150-AVERAGE(F91:F150))^2, 0)) / COUNT(F91:F150))*SQRT(365)</f>
        <v>9.9049883973842859E-2</v>
      </c>
      <c r="K150" s="2">
        <f t="shared" si="19"/>
        <v>0.24361404964574562</v>
      </c>
      <c r="L150">
        <f t="shared" si="20"/>
        <v>181</v>
      </c>
      <c r="M150" s="2">
        <f t="shared" si="21"/>
        <v>0.13573737241617845</v>
      </c>
      <c r="N150" s="2" cm="1">
        <f t="array" ref="N150">SQRT(SUM(IF(F31:F150&lt;AVERAGE(F31:F150),(F31:F150-AVERAGE(F31:F150))^2, 0)) / COUNT(F31:F150))*SQRT(365)</f>
        <v>9.7505927362428427E-2</v>
      </c>
      <c r="O150" s="2">
        <f t="shared" si="26"/>
        <v>1.0113179470738143</v>
      </c>
      <c r="P150">
        <f t="shared" si="27"/>
        <v>0</v>
      </c>
      <c r="Q150">
        <f t="shared" si="28"/>
        <v>0</v>
      </c>
      <c r="R150">
        <f t="shared" si="29"/>
        <v>0</v>
      </c>
    </row>
    <row r="151" spans="1:18" x14ac:dyDescent="0.3">
      <c r="A151" s="1">
        <v>45161</v>
      </c>
      <c r="B151">
        <v>16576.900000000001</v>
      </c>
      <c r="C151" s="2">
        <f t="shared" si="30"/>
        <v>8.4381580391269424E-3</v>
      </c>
      <c r="D151">
        <f t="shared" si="31"/>
        <v>1</v>
      </c>
      <c r="E151" s="2">
        <f t="shared" si="32"/>
        <v>8.4381580391269424E-3</v>
      </c>
      <c r="F151" s="2">
        <f t="shared" si="25"/>
        <v>8.4381580391269424E-3</v>
      </c>
      <c r="G151" s="2">
        <f t="shared" si="22"/>
        <v>3.776929925494852E-2</v>
      </c>
      <c r="H151">
        <f t="shared" si="23"/>
        <v>89</v>
      </c>
      <c r="I151" s="2">
        <f t="shared" si="24"/>
        <v>0.13505969199239057</v>
      </c>
      <c r="J151" s="2" cm="1">
        <f t="array" ref="J151">SQRT(SUM(IF(F92:F151&lt;AVERAGE(F92:F151),(F92:F151-AVERAGE(F92:F151))^2, 0)) / COUNT(F92:F151))*SQRT(365)</f>
        <v>9.8290236677427353E-2</v>
      </c>
      <c r="K151" s="2">
        <f t="shared" si="19"/>
        <v>0.24361404964574562</v>
      </c>
      <c r="L151">
        <f t="shared" si="20"/>
        <v>181</v>
      </c>
      <c r="M151" s="2">
        <f t="shared" si="21"/>
        <v>0.13476643095362623</v>
      </c>
      <c r="N151" s="2" cm="1">
        <f t="array" ref="N151">SQRT(SUM(IF(F32:F151&lt;AVERAGE(F32:F151),(F32:F151-AVERAGE(F32:F151))^2, 0)) / COUNT(F32:F151))*SQRT(365)</f>
        <v>9.7154070996723491E-2</v>
      </c>
      <c r="O151" s="2">
        <f t="shared" si="26"/>
        <v>1.008621636132208</v>
      </c>
      <c r="P151">
        <f t="shared" si="27"/>
        <v>0</v>
      </c>
      <c r="Q151">
        <f t="shared" si="28"/>
        <v>0</v>
      </c>
      <c r="R151">
        <f t="shared" si="29"/>
        <v>0</v>
      </c>
    </row>
    <row r="152" spans="1:18" x14ac:dyDescent="0.3">
      <c r="A152" s="1">
        <v>45162</v>
      </c>
      <c r="B152">
        <v>16770.87</v>
      </c>
      <c r="C152" s="2">
        <f t="shared" si="30"/>
        <v>1.1633292873758087E-2</v>
      </c>
      <c r="D152">
        <f t="shared" si="31"/>
        <v>1</v>
      </c>
      <c r="E152" s="2">
        <f t="shared" si="32"/>
        <v>1.1633292873758087E-2</v>
      </c>
      <c r="F152" s="2">
        <f t="shared" si="25"/>
        <v>1.1633292873758087E-2</v>
      </c>
      <c r="G152" s="2">
        <f t="shared" si="22"/>
        <v>3.776929925494852E-2</v>
      </c>
      <c r="H152">
        <f t="shared" si="23"/>
        <v>87</v>
      </c>
      <c r="I152" s="2">
        <f t="shared" si="24"/>
        <v>0.13761101953731161</v>
      </c>
      <c r="J152" s="2" cm="1">
        <f t="array" ref="J152">SQRT(SUM(IF(F93:F152&lt;AVERAGE(F93:F152),(F93:F152-AVERAGE(F93:F152))^2, 0)) / COUNT(F93:F152))*SQRT(365)</f>
        <v>9.9469973125691474E-2</v>
      </c>
      <c r="K152" s="2">
        <f t="shared" si="19"/>
        <v>0.26436623727951547</v>
      </c>
      <c r="L152">
        <f t="shared" si="20"/>
        <v>181</v>
      </c>
      <c r="M152" s="2">
        <f t="shared" si="21"/>
        <v>0.13550259437852652</v>
      </c>
      <c r="N152" s="2" cm="1">
        <f t="array" ref="N152">SQRT(SUM(IF(F33:F152&lt;AVERAGE(F33:F152),(F33:F152-AVERAGE(F33:F152))^2, 0)) / COUNT(F33:F152))*SQRT(365)</f>
        <v>9.7792813491888619E-2</v>
      </c>
      <c r="O152" s="2">
        <f t="shared" si="26"/>
        <v>0.99186923516788328</v>
      </c>
      <c r="P152">
        <f t="shared" si="27"/>
        <v>0</v>
      </c>
      <c r="Q152">
        <f t="shared" si="28"/>
        <v>0</v>
      </c>
      <c r="R152">
        <f t="shared" si="29"/>
        <v>0</v>
      </c>
    </row>
    <row r="153" spans="1:18" x14ac:dyDescent="0.3">
      <c r="A153" s="1">
        <v>45163</v>
      </c>
      <c r="B153">
        <v>16481.580000000002</v>
      </c>
      <c r="C153" s="2">
        <f t="shared" si="30"/>
        <v>-1.7400059171550311E-2</v>
      </c>
      <c r="D153">
        <f t="shared" si="31"/>
        <v>1</v>
      </c>
      <c r="E153" s="2">
        <f t="shared" si="32"/>
        <v>-1.7400059171550311E-2</v>
      </c>
      <c r="F153" s="2">
        <f t="shared" si="25"/>
        <v>-1.7400059171550311E-2</v>
      </c>
      <c r="G153" s="2">
        <f t="shared" si="22"/>
        <v>3.776929925494852E-2</v>
      </c>
      <c r="H153">
        <f t="shared" si="23"/>
        <v>87</v>
      </c>
      <c r="I153" s="2">
        <f t="shared" si="24"/>
        <v>0.14428458438532113</v>
      </c>
      <c r="J153" s="2" cm="1">
        <f t="array" ref="J153">SQRT(SUM(IF(F94:F153&lt;AVERAGE(F94:F153),(F94:F153-AVERAGE(F94:F153))^2, 0)) / COUNT(F94:F153))*SQRT(365)</f>
        <v>0.10571673714332108</v>
      </c>
      <c r="K153" s="2">
        <f t="shared" si="19"/>
        <v>0.24361404964574562</v>
      </c>
      <c r="L153">
        <f t="shared" si="20"/>
        <v>177</v>
      </c>
      <c r="M153" s="2">
        <f t="shared" si="21"/>
        <v>0.13902710697423429</v>
      </c>
      <c r="N153" s="2" cm="1">
        <f t="array" ref="N153">SQRT(SUM(IF(F34:F153&lt;AVERAGE(F34:F153),(F34:F153-AVERAGE(F34:F153))^2, 0)) / COUNT(F34:F153))*SQRT(365)</f>
        <v>0.10103441149252541</v>
      </c>
      <c r="O153" s="2">
        <f t="shared" si="26"/>
        <v>1.0099116710897862</v>
      </c>
      <c r="P153">
        <f t="shared" si="27"/>
        <v>0</v>
      </c>
      <c r="Q153">
        <f t="shared" si="28"/>
        <v>0</v>
      </c>
      <c r="R153">
        <f t="shared" si="29"/>
        <v>0</v>
      </c>
    </row>
    <row r="154" spans="1:18" x14ac:dyDescent="0.3">
      <c r="A154" s="1">
        <v>45166</v>
      </c>
      <c r="B154">
        <v>16509.259999999998</v>
      </c>
      <c r="C154" s="2">
        <f t="shared" si="30"/>
        <v>1.6780419349835532E-3</v>
      </c>
      <c r="D154">
        <f t="shared" si="31"/>
        <v>3</v>
      </c>
      <c r="E154" s="2">
        <f t="shared" si="32"/>
        <v>5.5934731166118435E-4</v>
      </c>
      <c r="F154" s="2">
        <f t="shared" si="25"/>
        <v>9.6881796287423495E-4</v>
      </c>
      <c r="G154" s="2">
        <f t="shared" si="22"/>
        <v>9.9238142992526535E-2</v>
      </c>
      <c r="H154">
        <f t="shared" si="23"/>
        <v>89</v>
      </c>
      <c r="I154" s="2">
        <f t="shared" si="24"/>
        <v>0.14416297624352911</v>
      </c>
      <c r="J154" s="2" cm="1">
        <f t="array" ref="J154">SQRT(SUM(IF(F95:F154&lt;AVERAGE(F95:F154),(F95:F154-AVERAGE(F95:F154))^2, 0)) / COUNT(F95:F154))*SQRT(365)</f>
        <v>0.10612074780191215</v>
      </c>
      <c r="K154" s="2">
        <f t="shared" si="19"/>
        <v>0.24361404964574562</v>
      </c>
      <c r="L154">
        <f t="shared" si="20"/>
        <v>179</v>
      </c>
      <c r="M154" s="2">
        <f t="shared" si="21"/>
        <v>0.13902862048589076</v>
      </c>
      <c r="N154" s="2" cm="1">
        <f t="array" ref="N154">SQRT(SUM(IF(F35:F154&lt;AVERAGE(F35:F154),(F35:F154-AVERAGE(F35:F154))^2, 0)) / COUNT(F35:F154))*SQRT(365)</f>
        <v>0.10111034379113534</v>
      </c>
      <c r="O154" s="2">
        <f t="shared" si="26"/>
        <v>1.0169862247005621</v>
      </c>
      <c r="P154">
        <f t="shared" si="27"/>
        <v>1</v>
      </c>
      <c r="Q154">
        <f t="shared" si="28"/>
        <v>0</v>
      </c>
      <c r="R154">
        <f t="shared" si="29"/>
        <v>1</v>
      </c>
    </row>
    <row r="155" spans="1:18" x14ac:dyDescent="0.3">
      <c r="A155" s="1">
        <v>45167</v>
      </c>
      <c r="B155">
        <v>16623.650000000001</v>
      </c>
      <c r="C155" s="2">
        <f t="shared" si="30"/>
        <v>6.904944630137042E-3</v>
      </c>
      <c r="D155">
        <f t="shared" si="31"/>
        <v>1</v>
      </c>
      <c r="E155" s="2">
        <f t="shared" si="32"/>
        <v>6.904944630137042E-3</v>
      </c>
      <c r="F155" s="2">
        <f t="shared" si="25"/>
        <v>6.904944630137042E-3</v>
      </c>
      <c r="G155" s="2">
        <f t="shared" si="22"/>
        <v>0.17394330429154867</v>
      </c>
      <c r="H155">
        <f t="shared" si="23"/>
        <v>89</v>
      </c>
      <c r="I155" s="2">
        <f t="shared" si="24"/>
        <v>0.14480575076305502</v>
      </c>
      <c r="J155" s="2" cm="1">
        <f t="array" ref="J155">SQRT(SUM(IF(F96:F155&lt;AVERAGE(F96:F155),(F96:F155-AVERAGE(F96:F155))^2, 0)) / COUNT(F96:F155))*SQRT(365)</f>
        <v>0.10743705793904038</v>
      </c>
      <c r="K155" s="2">
        <f t="shared" si="19"/>
        <v>0.26436623727951547</v>
      </c>
      <c r="L155">
        <f t="shared" si="20"/>
        <v>179</v>
      </c>
      <c r="M155" s="2">
        <f t="shared" si="21"/>
        <v>0.13948715257940589</v>
      </c>
      <c r="N155" s="2" cm="1">
        <f t="array" ref="N155">SQRT(SUM(IF(F36:F155&lt;AVERAGE(F36:F155),(F36:F155-AVERAGE(F36:F155))^2, 0)) / COUNT(F36:F155))*SQRT(365)</f>
        <v>0.10162752445420381</v>
      </c>
      <c r="O155" s="2">
        <f t="shared" si="26"/>
        <v>1.0101036775918646</v>
      </c>
      <c r="P155">
        <f t="shared" si="27"/>
        <v>0</v>
      </c>
      <c r="Q155">
        <f t="shared" si="28"/>
        <v>0</v>
      </c>
      <c r="R155">
        <f t="shared" si="29"/>
        <v>0</v>
      </c>
    </row>
    <row r="156" spans="1:18" x14ac:dyDescent="0.3">
      <c r="A156" s="1">
        <v>45168</v>
      </c>
      <c r="B156">
        <v>16719.82</v>
      </c>
      <c r="C156" s="2">
        <f t="shared" si="30"/>
        <v>5.7684618111108416E-3</v>
      </c>
      <c r="D156">
        <f t="shared" si="31"/>
        <v>1</v>
      </c>
      <c r="E156" s="2">
        <f t="shared" si="32"/>
        <v>5.7684618111108416E-3</v>
      </c>
      <c r="F156" s="2">
        <f t="shared" si="25"/>
        <v>5.7684618111108416E-3</v>
      </c>
      <c r="G156" s="2">
        <f t="shared" si="22"/>
        <v>0.17394330429154867</v>
      </c>
      <c r="H156">
        <f t="shared" si="23"/>
        <v>89</v>
      </c>
      <c r="I156" s="2">
        <f t="shared" si="24"/>
        <v>0.14260689540101812</v>
      </c>
      <c r="J156" s="2" cm="1">
        <f t="array" ref="J156">SQRT(SUM(IF(F97:F156&lt;AVERAGE(F97:F156),(F97:F156-AVERAGE(F97:F156))^2, 0)) / COUNT(F97:F156))*SQRT(365)</f>
        <v>0.10647104855537505</v>
      </c>
      <c r="K156" s="2">
        <f t="shared" si="19"/>
        <v>0.26436623727951547</v>
      </c>
      <c r="L156">
        <f t="shared" si="20"/>
        <v>177</v>
      </c>
      <c r="M156" s="2">
        <f t="shared" si="21"/>
        <v>0.13949410036882834</v>
      </c>
      <c r="N156" s="2" cm="1">
        <f t="array" ref="N156">SQRT(SUM(IF(F37:F156&lt;AVERAGE(F37:F156),(F37:F156-AVERAGE(F37:F156))^2, 0)) / COUNT(F37:F156))*SQRT(365)</f>
        <v>0.10163247683789439</v>
      </c>
      <c r="O156" s="2">
        <f t="shared" si="26"/>
        <v>1.0010969017609042</v>
      </c>
      <c r="P156">
        <f t="shared" si="27"/>
        <v>0</v>
      </c>
      <c r="Q156">
        <f t="shared" si="28"/>
        <v>0</v>
      </c>
      <c r="R156">
        <f t="shared" si="29"/>
        <v>0</v>
      </c>
    </row>
    <row r="157" spans="1:18" x14ac:dyDescent="0.3">
      <c r="A157" s="1">
        <v>45169</v>
      </c>
      <c r="B157">
        <v>16634.509999999998</v>
      </c>
      <c r="C157" s="2">
        <f t="shared" si="30"/>
        <v>-5.1153889780989519E-3</v>
      </c>
      <c r="D157">
        <f t="shared" si="31"/>
        <v>1</v>
      </c>
      <c r="E157" s="2">
        <f t="shared" si="32"/>
        <v>-5.1153889780989519E-3</v>
      </c>
      <c r="F157" s="2">
        <f t="shared" si="25"/>
        <v>-5.1153889780989519E-3</v>
      </c>
      <c r="G157" s="2">
        <f t="shared" si="22"/>
        <v>0.17394330429154867</v>
      </c>
      <c r="H157">
        <f t="shared" si="23"/>
        <v>87</v>
      </c>
      <c r="I157" s="2">
        <f t="shared" si="24"/>
        <v>0.14317661703688431</v>
      </c>
      <c r="J157" s="2" cm="1">
        <f t="array" ref="J157">SQRT(SUM(IF(F98:F157&lt;AVERAGE(F98:F157),(F98:F157-AVERAGE(F98:F157))^2, 0)) / COUNT(F98:F157))*SQRT(365)</f>
        <v>0.10634446779229792</v>
      </c>
      <c r="K157" s="2">
        <f t="shared" si="19"/>
        <v>0.23224332923028881</v>
      </c>
      <c r="L157">
        <f t="shared" si="20"/>
        <v>177</v>
      </c>
      <c r="M157" s="2">
        <f t="shared" si="21"/>
        <v>0.1394949593332758</v>
      </c>
      <c r="N157" s="2" cm="1">
        <f t="array" ref="N157">SQRT(SUM(IF(F38:F157&lt;AVERAGE(F38:F157),(F38:F157-AVERAGE(F38:F157))^2, 0)) / COUNT(F38:F157))*SQRT(365)</f>
        <v>0.10117707874100648</v>
      </c>
      <c r="O157" s="2">
        <f t="shared" si="26"/>
        <v>0.99907601726771644</v>
      </c>
      <c r="P157">
        <f t="shared" si="27"/>
        <v>0</v>
      </c>
      <c r="Q157">
        <f t="shared" si="28"/>
        <v>0</v>
      </c>
      <c r="R157">
        <f t="shared" si="29"/>
        <v>0</v>
      </c>
    </row>
    <row r="158" spans="1:18" x14ac:dyDescent="0.3">
      <c r="A158" s="1">
        <v>45170</v>
      </c>
      <c r="B158">
        <v>16644.939999999999</v>
      </c>
      <c r="C158" s="2">
        <f t="shared" si="30"/>
        <v>6.2681326413088366E-4</v>
      </c>
      <c r="D158">
        <f t="shared" si="31"/>
        <v>1</v>
      </c>
      <c r="E158" s="2">
        <f t="shared" si="32"/>
        <v>6.2681326413088366E-4</v>
      </c>
      <c r="F158" s="2">
        <f t="shared" si="25"/>
        <v>6.2681326413088366E-4</v>
      </c>
      <c r="G158" s="2">
        <f t="shared" si="22"/>
        <v>0.17394330429154867</v>
      </c>
      <c r="H158">
        <f t="shared" si="23"/>
        <v>87</v>
      </c>
      <c r="I158" s="2">
        <f t="shared" si="24"/>
        <v>0.14300893853914004</v>
      </c>
      <c r="J158" s="2" cm="1">
        <f t="array" ref="J158">SQRT(SUM(IF(F99:F158&lt;AVERAGE(F99:F158),(F99:F158-AVERAGE(F99:F158))^2, 0)) / COUNT(F99:F158))*SQRT(365)</f>
        <v>0.10598228980349512</v>
      </c>
      <c r="K158" s="2">
        <f t="shared" si="19"/>
        <v>0.24455586555600894</v>
      </c>
      <c r="L158">
        <f t="shared" si="20"/>
        <v>177</v>
      </c>
      <c r="M158" s="2">
        <f t="shared" si="21"/>
        <v>0.13940283168106105</v>
      </c>
      <c r="N158" s="2" cm="1">
        <f t="array" ref="N158">SQRT(SUM(IF(F39:F158&lt;AVERAGE(F39:F158),(F39:F158-AVERAGE(F39:F158))^2, 0)) / COUNT(F39:F158))*SQRT(365)</f>
        <v>0.10130949766719839</v>
      </c>
      <c r="O158" s="2">
        <f t="shared" si="26"/>
        <v>0.99585940231686032</v>
      </c>
      <c r="P158">
        <f t="shared" si="27"/>
        <v>0</v>
      </c>
      <c r="Q158">
        <f t="shared" si="28"/>
        <v>0</v>
      </c>
      <c r="R158">
        <f t="shared" si="29"/>
        <v>0</v>
      </c>
    </row>
    <row r="159" spans="1:18" x14ac:dyDescent="0.3">
      <c r="A159" s="1">
        <v>45173</v>
      </c>
      <c r="B159">
        <v>16789.689999999999</v>
      </c>
      <c r="C159" s="2">
        <f t="shared" si="30"/>
        <v>8.6587412135456128E-3</v>
      </c>
      <c r="D159">
        <f t="shared" si="31"/>
        <v>3</v>
      </c>
      <c r="E159" s="2">
        <f t="shared" si="32"/>
        <v>2.8862470711818709E-3</v>
      </c>
      <c r="F159" s="2">
        <f t="shared" si="25"/>
        <v>4.9991265704838663E-3</v>
      </c>
      <c r="G159" s="2">
        <f t="shared" si="22"/>
        <v>0.17394330429154867</v>
      </c>
      <c r="H159">
        <f t="shared" si="23"/>
        <v>89</v>
      </c>
      <c r="I159" s="2">
        <f t="shared" si="24"/>
        <v>0.14155041065761398</v>
      </c>
      <c r="J159" s="2" cm="1">
        <f t="array" ref="J159">SQRT(SUM(IF(F100:F159&lt;AVERAGE(F100:F159),(F100:F159-AVERAGE(F100:F159))^2, 0)) / COUNT(F100:F159))*SQRT(365)</f>
        <v>0.10523424022990215</v>
      </c>
      <c r="K159" s="2">
        <f t="shared" si="19"/>
        <v>0.26436623727951547</v>
      </c>
      <c r="L159">
        <f t="shared" si="20"/>
        <v>179</v>
      </c>
      <c r="M159" s="2">
        <f t="shared" si="21"/>
        <v>0.13949985709010504</v>
      </c>
      <c r="N159" s="2" cm="1">
        <f t="array" ref="N159">SQRT(SUM(IF(F40:F159&lt;AVERAGE(F40:F159),(F40:F159-AVERAGE(F40:F159))^2, 0)) / COUNT(F40:F159))*SQRT(365)</f>
        <v>0.10178995894109508</v>
      </c>
      <c r="O159" s="2">
        <f t="shared" si="26"/>
        <v>0.97875243676327572</v>
      </c>
      <c r="P159">
        <f t="shared" si="27"/>
        <v>0</v>
      </c>
      <c r="Q159">
        <f t="shared" si="28"/>
        <v>1</v>
      </c>
      <c r="R159">
        <f t="shared" si="29"/>
        <v>1</v>
      </c>
    </row>
    <row r="160" spans="1:18" x14ac:dyDescent="0.3">
      <c r="A160" s="1">
        <v>45174</v>
      </c>
      <c r="B160">
        <v>16791.61</v>
      </c>
      <c r="C160" s="2">
        <f t="shared" si="30"/>
        <v>1.1434935527173502E-4</v>
      </c>
      <c r="D160">
        <f t="shared" si="31"/>
        <v>1</v>
      </c>
      <c r="E160" s="2">
        <f t="shared" si="32"/>
        <v>1.1434935527173502E-4</v>
      </c>
      <c r="F160" s="2">
        <f t="shared" si="25"/>
        <v>1.1434935527173502E-4</v>
      </c>
      <c r="G160" s="2">
        <f t="shared" si="22"/>
        <v>0.17394330429154867</v>
      </c>
      <c r="H160">
        <f t="shared" si="23"/>
        <v>89</v>
      </c>
      <c r="I160" s="2">
        <f t="shared" si="24"/>
        <v>0.13879446844124263</v>
      </c>
      <c r="J160" s="2" cm="1">
        <f t="array" ref="J160">SQRT(SUM(IF(F101:F160&lt;AVERAGE(F101:F160),(F101:F160-AVERAGE(F101:F160))^2, 0)) / COUNT(F101:F160))*SQRT(365)</f>
        <v>0.10343385343543898</v>
      </c>
      <c r="K160" s="2">
        <f t="shared" si="19"/>
        <v>0.26436623727951547</v>
      </c>
      <c r="L160">
        <f t="shared" si="20"/>
        <v>179</v>
      </c>
      <c r="M160" s="2">
        <f t="shared" si="21"/>
        <v>0.13659895896261309</v>
      </c>
      <c r="N160" s="2" cm="1">
        <f t="array" ref="N160">SQRT(SUM(IF(F41:F160&lt;AVERAGE(F41:F160),(F41:F160-AVERAGE(F41:F160))^2, 0)) / COUNT(F41:F160))*SQRT(365)</f>
        <v>9.9129840671839706E-2</v>
      </c>
      <c r="O160" s="2">
        <f t="shared" si="26"/>
        <v>0.98696372771878327</v>
      </c>
      <c r="P160">
        <f t="shared" si="27"/>
        <v>0</v>
      </c>
      <c r="Q160">
        <f t="shared" si="28"/>
        <v>0</v>
      </c>
      <c r="R160">
        <f t="shared" si="29"/>
        <v>0</v>
      </c>
    </row>
    <row r="161" spans="1:18" x14ac:dyDescent="0.3">
      <c r="A161" s="1">
        <v>45175</v>
      </c>
      <c r="B161">
        <v>16738.16</v>
      </c>
      <c r="C161" s="2">
        <f t="shared" si="30"/>
        <v>-3.1882142511151417E-3</v>
      </c>
      <c r="D161">
        <f t="shared" si="31"/>
        <v>1</v>
      </c>
      <c r="E161" s="2">
        <f t="shared" si="32"/>
        <v>-3.1882142511151417E-3</v>
      </c>
      <c r="F161" s="2">
        <f t="shared" si="25"/>
        <v>-3.1882142511151417E-3</v>
      </c>
      <c r="G161" s="2">
        <f t="shared" si="22"/>
        <v>9.2731177250474153E-2</v>
      </c>
      <c r="H161">
        <f t="shared" si="23"/>
        <v>89</v>
      </c>
      <c r="I161" s="2">
        <f t="shared" si="24"/>
        <v>0.13714445312834719</v>
      </c>
      <c r="J161" s="2" cm="1">
        <f t="array" ref="J161">SQRT(SUM(IF(F102:F161&lt;AVERAGE(F102:F161),(F102:F161-AVERAGE(F102:F161))^2, 0)) / COUNT(F102:F161))*SQRT(365)</f>
        <v>0.10174932328850496</v>
      </c>
      <c r="K161" s="2">
        <f t="shared" si="19"/>
        <v>0.24455586555600894</v>
      </c>
      <c r="L161">
        <f t="shared" si="20"/>
        <v>177</v>
      </c>
      <c r="M161" s="2">
        <f t="shared" si="21"/>
        <v>0.13675386293511685</v>
      </c>
      <c r="N161" s="2" cm="1">
        <f t="array" ref="N161">SQRT(SUM(IF(F42:F161&lt;AVERAGE(F42:F161),(F42:F161-AVERAGE(F42:F161))^2, 0)) / COUNT(F42:F161))*SQRT(365)</f>
        <v>9.8980996916135239E-2</v>
      </c>
      <c r="O161" s="2">
        <f t="shared" si="26"/>
        <v>0.9906411457412283</v>
      </c>
      <c r="P161">
        <f t="shared" si="27"/>
        <v>0</v>
      </c>
      <c r="Q161">
        <f t="shared" si="28"/>
        <v>0</v>
      </c>
      <c r="R161">
        <f t="shared" si="29"/>
        <v>0</v>
      </c>
    </row>
    <row r="162" spans="1:18" x14ac:dyDescent="0.3">
      <c r="A162" s="1">
        <v>45176</v>
      </c>
      <c r="B162">
        <v>16619.14</v>
      </c>
      <c r="C162" s="2">
        <f t="shared" si="30"/>
        <v>-7.13609944929225E-3</v>
      </c>
      <c r="D162">
        <f t="shared" si="31"/>
        <v>1</v>
      </c>
      <c r="E162" s="2">
        <f t="shared" si="32"/>
        <v>-7.13609944929225E-3</v>
      </c>
      <c r="F162" s="2">
        <f t="shared" si="25"/>
        <v>-7.13609944929225E-3</v>
      </c>
      <c r="G162" s="2">
        <f t="shared" si="22"/>
        <v>3.1262333512896152E-2</v>
      </c>
      <c r="H162">
        <f t="shared" si="23"/>
        <v>87</v>
      </c>
      <c r="I162" s="2">
        <f t="shared" si="24"/>
        <v>0.13806587524076153</v>
      </c>
      <c r="J162" s="2" cm="1">
        <f t="array" ref="J162">SQRT(SUM(IF(F103:F162&lt;AVERAGE(F103:F162),(F103:F162-AVERAGE(F103:F162))^2, 0)) / COUNT(F103:F162))*SQRT(365)</f>
        <v>0.10163228835926523</v>
      </c>
      <c r="K162" s="2">
        <f t="shared" si="19"/>
        <v>0.24455586555600894</v>
      </c>
      <c r="L162">
        <f t="shared" si="20"/>
        <v>177</v>
      </c>
      <c r="M162" s="2">
        <f t="shared" si="21"/>
        <v>0.13536230188282089</v>
      </c>
      <c r="N162" s="2" cm="1">
        <f t="array" ref="N162">SQRT(SUM(IF(F43:F162&lt;AVERAGE(F43:F162),(F43:F162-AVERAGE(F43:F162))^2, 0)) / COUNT(F43:F162))*SQRT(365)</f>
        <v>9.7551866691508837E-2</v>
      </c>
      <c r="O162" s="2">
        <f t="shared" si="26"/>
        <v>1.0113375301008356</v>
      </c>
      <c r="P162">
        <f t="shared" si="27"/>
        <v>0</v>
      </c>
      <c r="Q162">
        <f t="shared" si="28"/>
        <v>0</v>
      </c>
      <c r="R162">
        <f t="shared" si="29"/>
        <v>0</v>
      </c>
    </row>
    <row r="163" spans="1:18" x14ac:dyDescent="0.3">
      <c r="A163" s="1">
        <v>45177</v>
      </c>
      <c r="B163">
        <v>16576.02</v>
      </c>
      <c r="C163" s="2">
        <f t="shared" si="30"/>
        <v>-2.5979705627581901E-3</v>
      </c>
      <c r="D163">
        <f t="shared" si="31"/>
        <v>1</v>
      </c>
      <c r="E163" s="2">
        <f t="shared" si="32"/>
        <v>-2.5979705627581901E-3</v>
      </c>
      <c r="F163" s="2">
        <f t="shared" si="25"/>
        <v>-2.5979705627581901E-3</v>
      </c>
      <c r="G163" s="2">
        <f t="shared" si="22"/>
        <v>1.1062017212598427E-2</v>
      </c>
      <c r="H163">
        <f t="shared" si="23"/>
        <v>87</v>
      </c>
      <c r="I163" s="2">
        <f t="shared" si="24"/>
        <v>0.13249908386464609</v>
      </c>
      <c r="J163" s="2" cm="1">
        <f t="array" ref="J163">SQRT(SUM(IF(F104:F163&lt;AVERAGE(F104:F163),(F104:F163-AVERAGE(F104:F163))^2, 0)) / COUNT(F104:F163))*SQRT(365)</f>
        <v>9.8850438505255087E-2</v>
      </c>
      <c r="K163" s="2">
        <f t="shared" si="19"/>
        <v>0.2164743050820524</v>
      </c>
      <c r="L163">
        <f t="shared" si="20"/>
        <v>177</v>
      </c>
      <c r="M163" s="2">
        <f t="shared" si="21"/>
        <v>0.13546282816265068</v>
      </c>
      <c r="N163" s="2" cm="1">
        <f t="array" ref="N163">SQRT(SUM(IF(F44:F163&lt;AVERAGE(F44:F163),(F44:F163-AVERAGE(F44:F163))^2, 0)) / COUNT(F44:F163))*SQRT(365)</f>
        <v>9.7347544151150586E-2</v>
      </c>
      <c r="O163" s="2">
        <f t="shared" si="26"/>
        <v>1.0208071660145197</v>
      </c>
      <c r="P163">
        <f t="shared" si="27"/>
        <v>1</v>
      </c>
      <c r="Q163">
        <f t="shared" si="28"/>
        <v>0</v>
      </c>
      <c r="R163">
        <f t="shared" si="29"/>
        <v>1</v>
      </c>
    </row>
    <row r="164" spans="1:18" x14ac:dyDescent="0.3">
      <c r="A164" s="1">
        <v>45180</v>
      </c>
      <c r="B164">
        <v>16432.95</v>
      </c>
      <c r="C164" s="2">
        <f t="shared" si="30"/>
        <v>-8.6686071035933336E-3</v>
      </c>
      <c r="D164">
        <f t="shared" si="31"/>
        <v>3</v>
      </c>
      <c r="E164" s="2">
        <f t="shared" si="32"/>
        <v>-2.8895357011977777E-3</v>
      </c>
      <c r="F164" s="2">
        <f t="shared" si="25"/>
        <v>-5.0048226447587134E-3</v>
      </c>
      <c r="G164" s="2">
        <f t="shared" si="22"/>
        <v>-4.0998464875190092E-2</v>
      </c>
      <c r="H164">
        <f t="shared" si="23"/>
        <v>89</v>
      </c>
      <c r="I164" s="2">
        <f t="shared" si="24"/>
        <v>0.13285384159812641</v>
      </c>
      <c r="J164" s="2" cm="1">
        <f t="array" ref="J164">SQRT(SUM(IF(F105:F164&lt;AVERAGE(F105:F164),(F105:F164-AVERAGE(F105:F164))^2, 0)) / COUNT(F105:F164))*SQRT(365)</f>
        <v>9.8406444019004294E-2</v>
      </c>
      <c r="K164" s="2">
        <f t="shared" si="19"/>
        <v>0.2164743050820524</v>
      </c>
      <c r="L164">
        <f t="shared" si="20"/>
        <v>179</v>
      </c>
      <c r="M164" s="2">
        <f t="shared" si="21"/>
        <v>0.1343212917223309</v>
      </c>
      <c r="N164" s="2" cm="1">
        <f t="array" ref="N164">SQRT(SUM(IF(F45:F164&lt;AVERAGE(F45:F164),(F45:F164-AVERAGE(F45:F164))^2, 0)) / COUNT(F45:F164))*SQRT(365)</f>
        <v>9.6261679729932062E-2</v>
      </c>
      <c r="O164" s="2">
        <f t="shared" si="26"/>
        <v>1.0161437842870575</v>
      </c>
      <c r="P164">
        <f t="shared" si="27"/>
        <v>1</v>
      </c>
      <c r="Q164">
        <f t="shared" si="28"/>
        <v>0</v>
      </c>
      <c r="R164">
        <f t="shared" si="29"/>
        <v>1</v>
      </c>
    </row>
    <row r="165" spans="1:18" x14ac:dyDescent="0.3">
      <c r="A165" s="1">
        <v>45181</v>
      </c>
      <c r="B165">
        <v>16572.71</v>
      </c>
      <c r="C165" s="2">
        <f t="shared" si="30"/>
        <v>8.4689011111764891E-3</v>
      </c>
      <c r="D165">
        <f t="shared" si="31"/>
        <v>1</v>
      </c>
      <c r="E165" s="2">
        <f t="shared" si="32"/>
        <v>8.4689011111764891E-3</v>
      </c>
      <c r="F165" s="2">
        <f t="shared" si="25"/>
        <v>8.4689011111764891E-3</v>
      </c>
      <c r="G165" s="2">
        <f t="shared" si="22"/>
        <v>-4.0998464875190092E-2</v>
      </c>
      <c r="H165">
        <f t="shared" si="23"/>
        <v>89</v>
      </c>
      <c r="I165" s="2">
        <f t="shared" si="24"/>
        <v>0.13388108576881816</v>
      </c>
      <c r="J165" s="2" cm="1">
        <f t="array" ref="J165">SQRT(SUM(IF(F106:F165&lt;AVERAGE(F106:F165),(F106:F165-AVERAGE(F106:F165))^2, 0)) / COUNT(F106:F165))*SQRT(365)</f>
        <v>9.8880843901761342E-2</v>
      </c>
      <c r="K165" s="2">
        <f t="shared" si="19"/>
        <v>0.2164743050820524</v>
      </c>
      <c r="L165">
        <f t="shared" si="20"/>
        <v>179</v>
      </c>
      <c r="M165" s="2">
        <f t="shared" si="21"/>
        <v>0.13261200804968687</v>
      </c>
      <c r="N165" s="2" cm="1">
        <f t="array" ref="N165">SQRT(SUM(IF(F46:F165&lt;AVERAGE(F46:F165),(F46:F165-AVERAGE(F46:F165))^2, 0)) / COUNT(F46:F165))*SQRT(365)</f>
        <v>9.5705972846830967E-2</v>
      </c>
      <c r="O165" s="2">
        <f t="shared" si="26"/>
        <v>1.0038382376811035</v>
      </c>
      <c r="P165">
        <f t="shared" si="27"/>
        <v>0</v>
      </c>
      <c r="Q165">
        <f t="shared" si="28"/>
        <v>0</v>
      </c>
      <c r="R165">
        <f t="shared" si="29"/>
        <v>0</v>
      </c>
    </row>
    <row r="166" spans="1:18" x14ac:dyDescent="0.3">
      <c r="A166" s="1">
        <v>45182</v>
      </c>
      <c r="B166">
        <v>16581.509999999998</v>
      </c>
      <c r="C166" s="2">
        <f t="shared" si="30"/>
        <v>5.3085249519709595E-4</v>
      </c>
      <c r="D166">
        <f t="shared" si="31"/>
        <v>1</v>
      </c>
      <c r="E166" s="2">
        <f t="shared" si="32"/>
        <v>5.3085249519709595E-4</v>
      </c>
      <c r="F166" s="2">
        <f t="shared" si="25"/>
        <v>5.3085249519709595E-4</v>
      </c>
      <c r="G166" s="2">
        <f t="shared" si="22"/>
        <v>1.1062017212598427E-2</v>
      </c>
      <c r="H166">
        <f t="shared" si="23"/>
        <v>89</v>
      </c>
      <c r="I166" s="2">
        <f t="shared" si="24"/>
        <v>0.13381816487179171</v>
      </c>
      <c r="J166" s="2" cm="1">
        <f t="array" ref="J166">SQRT(SUM(IF(F107:F166&lt;AVERAGE(F107:F166),(F107:F166-AVERAGE(F107:F166))^2, 0)) / COUNT(F107:F166))*SQRT(365)</f>
        <v>9.9282109524997622E-2</v>
      </c>
      <c r="K166" s="2">
        <f t="shared" si="19"/>
        <v>0.2164743050820524</v>
      </c>
      <c r="L166">
        <f t="shared" si="20"/>
        <v>177</v>
      </c>
      <c r="M166" s="2">
        <f t="shared" si="21"/>
        <v>0.13257381605348462</v>
      </c>
      <c r="N166" s="2" cm="1">
        <f t="array" ref="N166">SQRT(SUM(IF(F47:F166&lt;AVERAGE(F47:F166),(F47:F166-AVERAGE(F47:F166))^2, 0)) / COUNT(F47:F166))*SQRT(365)</f>
        <v>9.5800439780001329E-2</v>
      </c>
      <c r="O166" s="2">
        <f t="shared" si="26"/>
        <v>0.99717999144830605</v>
      </c>
      <c r="P166">
        <f t="shared" si="27"/>
        <v>0</v>
      </c>
      <c r="Q166">
        <f t="shared" si="28"/>
        <v>0</v>
      </c>
      <c r="R166">
        <f t="shared" si="29"/>
        <v>0</v>
      </c>
    </row>
    <row r="167" spans="1:18" x14ac:dyDescent="0.3">
      <c r="A167" s="1">
        <v>45183</v>
      </c>
      <c r="B167">
        <v>16807.560000000001</v>
      </c>
      <c r="C167" s="2">
        <f t="shared" si="30"/>
        <v>1.3540566046746515E-2</v>
      </c>
      <c r="D167">
        <f t="shared" si="31"/>
        <v>1</v>
      </c>
      <c r="E167" s="2">
        <f t="shared" si="32"/>
        <v>1.3540566046746515E-2</v>
      </c>
      <c r="F167" s="2">
        <f t="shared" si="25"/>
        <v>1.3540566046746515E-2</v>
      </c>
      <c r="G167" s="2">
        <f t="shared" si="22"/>
        <v>3.1262333512896152E-2</v>
      </c>
      <c r="H167">
        <f t="shared" si="23"/>
        <v>87</v>
      </c>
      <c r="I167" s="2">
        <f t="shared" si="24"/>
        <v>0.13829697087141682</v>
      </c>
      <c r="J167" s="2" cm="1">
        <f t="array" ref="J167">SQRT(SUM(IF(F108:F167&lt;AVERAGE(F108:F167),(F108:F167-AVERAGE(F108:F167))^2, 0)) / COUNT(F108:F167))*SQRT(365)</f>
        <v>0.10160164265457912</v>
      </c>
      <c r="K167" s="2">
        <f t="shared" si="19"/>
        <v>0.2164743050820524</v>
      </c>
      <c r="L167">
        <f t="shared" si="20"/>
        <v>177</v>
      </c>
      <c r="M167" s="2">
        <f t="shared" si="21"/>
        <v>0.1341547837932347</v>
      </c>
      <c r="N167" s="2" cm="1">
        <f t="array" ref="N167">SQRT(SUM(IF(F48:F167&lt;AVERAGE(F48:F167),(F48:F167-AVERAGE(F48:F167))^2, 0)) / COUNT(F48:F167))*SQRT(365)</f>
        <v>9.6424880365409832E-2</v>
      </c>
      <c r="O167" s="2">
        <f t="shared" si="26"/>
        <v>0.9707935000678265</v>
      </c>
      <c r="P167">
        <f t="shared" si="27"/>
        <v>0</v>
      </c>
      <c r="Q167">
        <f t="shared" si="28"/>
        <v>1</v>
      </c>
      <c r="R167">
        <f t="shared" si="29"/>
        <v>1</v>
      </c>
    </row>
    <row r="168" spans="1:18" x14ac:dyDescent="0.3">
      <c r="A168" s="1">
        <v>45184</v>
      </c>
      <c r="B168">
        <v>16920.919999999998</v>
      </c>
      <c r="C168" s="2">
        <f t="shared" si="30"/>
        <v>6.7219410327712835E-3</v>
      </c>
      <c r="D168">
        <f t="shared" si="31"/>
        <v>1</v>
      </c>
      <c r="E168" s="2">
        <f t="shared" si="32"/>
        <v>6.7219410327712835E-3</v>
      </c>
      <c r="F168" s="2">
        <f t="shared" si="25"/>
        <v>6.7219410327712835E-3</v>
      </c>
      <c r="G168" s="2">
        <f t="shared" si="22"/>
        <v>9.2731177250474153E-2</v>
      </c>
      <c r="H168">
        <f t="shared" si="23"/>
        <v>87</v>
      </c>
      <c r="I168" s="2">
        <f t="shared" si="24"/>
        <v>0.13884979215795623</v>
      </c>
      <c r="J168" s="2" cm="1">
        <f t="array" ref="J168">SQRT(SUM(IF(F109:F168&lt;AVERAGE(F109:F168),(F109:F168-AVERAGE(F109:F168))^2, 0)) / COUNT(F109:F168))*SQRT(365)</f>
        <v>0.1028577013151192</v>
      </c>
      <c r="K168" s="2">
        <f t="shared" si="19"/>
        <v>0.2164743050820524</v>
      </c>
      <c r="L168">
        <f t="shared" si="20"/>
        <v>177</v>
      </c>
      <c r="M168" s="2">
        <f t="shared" si="21"/>
        <v>0.13192798028306849</v>
      </c>
      <c r="N168" s="2" cm="1">
        <f t="array" ref="N168">SQRT(SUM(IF(F49:F168&lt;AVERAGE(F49:F168),(F49:F168-AVERAGE(F49:F168))^2, 0)) / COUNT(F49:F168))*SQRT(365)</f>
        <v>9.5669369540733309E-2</v>
      </c>
      <c r="O168" s="2">
        <f t="shared" si="26"/>
        <v>0.96593329440715991</v>
      </c>
      <c r="P168">
        <f t="shared" si="27"/>
        <v>0</v>
      </c>
      <c r="Q168">
        <f t="shared" si="28"/>
        <v>1</v>
      </c>
      <c r="R168">
        <f t="shared" si="29"/>
        <v>1</v>
      </c>
    </row>
    <row r="169" spans="1:18" x14ac:dyDescent="0.3">
      <c r="A169" s="1">
        <v>45187</v>
      </c>
      <c r="B169">
        <v>16698.240000000002</v>
      </c>
      <c r="C169" s="2">
        <f t="shared" si="30"/>
        <v>-1.3247401575030966E-2</v>
      </c>
      <c r="D169">
        <f t="shared" si="31"/>
        <v>3</v>
      </c>
      <c r="E169" s="2">
        <f t="shared" si="32"/>
        <v>-4.4158005250103218E-3</v>
      </c>
      <c r="F169" s="2">
        <f t="shared" si="25"/>
        <v>-7.6483908654072013E-3</v>
      </c>
      <c r="G169" s="2">
        <f t="shared" si="22"/>
        <v>3.1262333512896152E-2</v>
      </c>
      <c r="H169">
        <f t="shared" si="23"/>
        <v>89</v>
      </c>
      <c r="I169" s="2">
        <f t="shared" si="24"/>
        <v>0.14002768334315177</v>
      </c>
      <c r="J169" s="2" cm="1">
        <f t="array" ref="J169">SQRT(SUM(IF(F110:F169&lt;AVERAGE(F110:F169),(F110:F169-AVERAGE(F110:F169))^2, 0)) / COUNT(F110:F169))*SQRT(365)</f>
        <v>0.10303028408996351</v>
      </c>
      <c r="K169" s="2">
        <f t="shared" si="19"/>
        <v>0.19896146475163615</v>
      </c>
      <c r="L169">
        <f t="shared" si="20"/>
        <v>179</v>
      </c>
      <c r="M169" s="2">
        <f t="shared" si="21"/>
        <v>0.13228085884143562</v>
      </c>
      <c r="N169" s="2" cm="1">
        <f t="array" ref="N169">SQRT(SUM(IF(F50:F169&lt;AVERAGE(F50:F169),(F50:F169-AVERAGE(F50:F169))^2, 0)) / COUNT(F50:F169))*SQRT(365)</f>
        <v>9.5549218606312492E-2</v>
      </c>
      <c r="O169" s="2">
        <f t="shared" si="26"/>
        <v>0.98526730960867726</v>
      </c>
      <c r="P169">
        <f t="shared" si="27"/>
        <v>0</v>
      </c>
      <c r="Q169">
        <f t="shared" si="28"/>
        <v>0</v>
      </c>
      <c r="R169">
        <f t="shared" si="29"/>
        <v>0</v>
      </c>
    </row>
    <row r="170" spans="1:18" x14ac:dyDescent="0.3">
      <c r="A170" s="1">
        <v>45188</v>
      </c>
      <c r="B170">
        <v>16636.32</v>
      </c>
      <c r="C170" s="2">
        <f t="shared" si="30"/>
        <v>-3.7150675585276836E-3</v>
      </c>
      <c r="D170">
        <f t="shared" si="31"/>
        <v>1</v>
      </c>
      <c r="E170" s="2">
        <f t="shared" si="32"/>
        <v>-3.7150675585276836E-3</v>
      </c>
      <c r="F170" s="2">
        <f t="shared" si="25"/>
        <v>-3.7150675585276836E-3</v>
      </c>
      <c r="G170" s="2">
        <f t="shared" si="22"/>
        <v>3.1262333512896152E-2</v>
      </c>
      <c r="H170">
        <f t="shared" si="23"/>
        <v>85</v>
      </c>
      <c r="I170" s="2">
        <f t="shared" si="24"/>
        <v>0.14002433743959658</v>
      </c>
      <c r="J170" s="2" cm="1">
        <f t="array" ref="J170">SQRT(SUM(IF(F111:F170&lt;AVERAGE(F111:F170),(F111:F170-AVERAGE(F111:F170))^2, 0)) / COUNT(F111:F170))*SQRT(365)</f>
        <v>0.10302955527014813</v>
      </c>
      <c r="K170" s="2">
        <f t="shared" si="19"/>
        <v>0.18991335625709146</v>
      </c>
      <c r="L170">
        <f t="shared" si="20"/>
        <v>179</v>
      </c>
      <c r="M170" s="2">
        <f t="shared" si="21"/>
        <v>0.13239162668347657</v>
      </c>
      <c r="N170" s="2" cm="1">
        <f t="array" ref="N170">SQRT(SUM(IF(F51:F170&lt;AVERAGE(F51:F170),(F51:F170-AVERAGE(F51:F170))^2, 0)) / COUNT(F51:F170))*SQRT(365)</f>
        <v>9.5245032851478853E-2</v>
      </c>
      <c r="O170" s="2">
        <f t="shared" si="26"/>
        <v>0.97834557161679991</v>
      </c>
      <c r="P170">
        <f t="shared" si="27"/>
        <v>0</v>
      </c>
      <c r="Q170">
        <f t="shared" si="28"/>
        <v>1</v>
      </c>
      <c r="R170">
        <f t="shared" si="29"/>
        <v>1</v>
      </c>
    </row>
    <row r="171" spans="1:18" x14ac:dyDescent="0.3">
      <c r="A171" s="1">
        <v>45189</v>
      </c>
      <c r="B171">
        <v>16534.75</v>
      </c>
      <c r="C171" s="2">
        <f t="shared" si="30"/>
        <v>-6.124030212939076E-3</v>
      </c>
      <c r="D171">
        <f t="shared" si="31"/>
        <v>1</v>
      </c>
      <c r="E171" s="2">
        <f t="shared" si="32"/>
        <v>-6.124030212939076E-3</v>
      </c>
      <c r="F171" s="2">
        <f t="shared" si="25"/>
        <v>-6.124030212939076E-3</v>
      </c>
      <c r="G171" s="2">
        <f t="shared" si="22"/>
        <v>3.1262333512896152E-2</v>
      </c>
      <c r="H171">
        <f t="shared" si="23"/>
        <v>85</v>
      </c>
      <c r="I171" s="2">
        <f t="shared" si="24"/>
        <v>0.1386459615614728</v>
      </c>
      <c r="J171" s="2" cm="1">
        <f t="array" ref="J171">SQRT(SUM(IF(F112:F171&lt;AVERAGE(F112:F171),(F112:F171-AVERAGE(F112:F171))^2, 0)) / COUNT(F112:F171))*SQRT(365)</f>
        <v>0.10185329115774577</v>
      </c>
      <c r="K171" s="2">
        <f t="shared" si="19"/>
        <v>0.18991335625709146</v>
      </c>
      <c r="L171">
        <f t="shared" si="20"/>
        <v>177</v>
      </c>
      <c r="M171" s="2">
        <f t="shared" si="21"/>
        <v>0.13274402055564463</v>
      </c>
      <c r="N171" s="2" cm="1">
        <f t="array" ref="N171">SQRT(SUM(IF(F52:F171&lt;AVERAGE(F52:F171),(F52:F171-AVERAGE(F52:F171))^2, 0)) / COUNT(F52:F171))*SQRT(365)</f>
        <v>9.5474129900203444E-2</v>
      </c>
      <c r="O171" s="2">
        <f t="shared" si="26"/>
        <v>0.98642918701522553</v>
      </c>
      <c r="P171">
        <f t="shared" si="27"/>
        <v>0</v>
      </c>
      <c r="Q171">
        <f t="shared" si="28"/>
        <v>0</v>
      </c>
      <c r="R171">
        <f t="shared" si="29"/>
        <v>0</v>
      </c>
    </row>
    <row r="172" spans="1:18" x14ac:dyDescent="0.3">
      <c r="A172" s="1">
        <v>45190</v>
      </c>
      <c r="B172">
        <v>16316.67</v>
      </c>
      <c r="C172" s="2">
        <f t="shared" si="30"/>
        <v>-1.3276942277370946E-2</v>
      </c>
      <c r="D172">
        <f t="shared" si="31"/>
        <v>1</v>
      </c>
      <c r="E172" s="2">
        <f t="shared" si="32"/>
        <v>-1.3276942277370946E-2</v>
      </c>
      <c r="F172" s="2">
        <f t="shared" si="25"/>
        <v>-1.3276942277370946E-2</v>
      </c>
      <c r="G172" s="2">
        <f t="shared" si="22"/>
        <v>1.1062017212598427E-2</v>
      </c>
      <c r="H172">
        <f t="shared" si="23"/>
        <v>85</v>
      </c>
      <c r="I172" s="2">
        <f t="shared" si="24"/>
        <v>0.14207720043790889</v>
      </c>
      <c r="J172" s="2" cm="1">
        <f t="array" ref="J172">SQRT(SUM(IF(F113:F172&lt;AVERAGE(F113:F172),(F113:F172-AVERAGE(F113:F172))^2, 0)) / COUNT(F113:F172))*SQRT(365)</f>
        <v>0.10403991388399766</v>
      </c>
      <c r="K172" s="2">
        <f t="shared" si="19"/>
        <v>0.18991335625709146</v>
      </c>
      <c r="L172">
        <f t="shared" si="20"/>
        <v>177</v>
      </c>
      <c r="M172" s="2">
        <f t="shared" si="21"/>
        <v>0.13404472290799052</v>
      </c>
      <c r="N172" s="2" cm="1">
        <f t="array" ref="N172">SQRT(SUM(IF(F53:F172&lt;AVERAGE(F53:F172),(F53:F172-AVERAGE(F53:F172))^2, 0)) / COUNT(F53:F172))*SQRT(365)</f>
        <v>9.6835110907701527E-2</v>
      </c>
      <c r="O172" s="2">
        <f t="shared" si="26"/>
        <v>1.0022719096482309</v>
      </c>
      <c r="P172">
        <f t="shared" si="27"/>
        <v>0</v>
      </c>
      <c r="Q172">
        <f t="shared" si="28"/>
        <v>0</v>
      </c>
      <c r="R172">
        <f t="shared" si="29"/>
        <v>0</v>
      </c>
    </row>
    <row r="173" spans="1:18" x14ac:dyDescent="0.3">
      <c r="A173" s="1">
        <v>45191</v>
      </c>
      <c r="B173">
        <v>16344.48</v>
      </c>
      <c r="C173" s="2">
        <f t="shared" si="30"/>
        <v>1.7029410612159673E-3</v>
      </c>
      <c r="D173">
        <f t="shared" si="31"/>
        <v>1</v>
      </c>
      <c r="E173" s="2">
        <f t="shared" si="32"/>
        <v>1.7029410612159673E-3</v>
      </c>
      <c r="F173" s="2">
        <f t="shared" si="25"/>
        <v>1.7029410612159673E-3</v>
      </c>
      <c r="G173" s="2">
        <f t="shared" si="22"/>
        <v>1.1062017212598427E-2</v>
      </c>
      <c r="H173">
        <f t="shared" si="23"/>
        <v>85</v>
      </c>
      <c r="I173" s="2">
        <f t="shared" si="24"/>
        <v>0.14216628849915938</v>
      </c>
      <c r="J173" s="2" cm="1">
        <f t="array" ref="J173">SQRT(SUM(IF(F114:F173&lt;AVERAGE(F114:F173),(F114:F173-AVERAGE(F114:F173))^2, 0)) / COUNT(F114:F173))*SQRT(365)</f>
        <v>0.10426242720435516</v>
      </c>
      <c r="K173" s="2">
        <f t="shared" si="19"/>
        <v>0.18991335625709146</v>
      </c>
      <c r="L173">
        <f t="shared" si="20"/>
        <v>177</v>
      </c>
      <c r="M173" s="2">
        <f t="shared" si="21"/>
        <v>0.13388189123905664</v>
      </c>
      <c r="N173" s="2" cm="1">
        <f t="array" ref="N173">SQRT(SUM(IF(F54:F173&lt;AVERAGE(F54:F173),(F54:F173-AVERAGE(F54:F173))^2, 0)) / COUNT(F54:F173))*SQRT(365)</f>
        <v>9.6614695112611351E-2</v>
      </c>
      <c r="O173" s="2">
        <f t="shared" si="26"/>
        <v>1.0130215216391101</v>
      </c>
      <c r="P173">
        <f t="shared" si="27"/>
        <v>0</v>
      </c>
      <c r="Q173">
        <f t="shared" si="28"/>
        <v>0</v>
      </c>
      <c r="R173">
        <f t="shared" si="29"/>
        <v>0</v>
      </c>
    </row>
    <row r="174" spans="1:18" x14ac:dyDescent="0.3">
      <c r="A174" s="1">
        <v>45194</v>
      </c>
      <c r="B174">
        <v>16452.23</v>
      </c>
      <c r="C174" s="2">
        <f t="shared" si="30"/>
        <v>6.5708046739748303E-3</v>
      </c>
      <c r="D174">
        <f t="shared" si="31"/>
        <v>3</v>
      </c>
      <c r="E174" s="2">
        <f t="shared" si="32"/>
        <v>2.1902682246582768E-3</v>
      </c>
      <c r="F174" s="2">
        <f t="shared" si="25"/>
        <v>3.7936558473118196E-3</v>
      </c>
      <c r="G174" s="2">
        <f t="shared" si="22"/>
        <v>3.1262333512896152E-2</v>
      </c>
      <c r="H174">
        <f t="shared" si="23"/>
        <v>87</v>
      </c>
      <c r="I174" s="2">
        <f t="shared" si="24"/>
        <v>0.1425319897571814</v>
      </c>
      <c r="J174" s="2" cm="1">
        <f t="array" ref="J174">SQRT(SUM(IF(F115:F174&lt;AVERAGE(F115:F174),(F115:F174-AVERAGE(F115:F174))^2, 0)) / COUNT(F115:F174))*SQRT(365)</f>
        <v>0.10513926355605555</v>
      </c>
      <c r="K174" s="2">
        <f t="shared" si="19"/>
        <v>0.18991335625709146</v>
      </c>
      <c r="L174">
        <f t="shared" si="20"/>
        <v>179</v>
      </c>
      <c r="M174" s="2">
        <f t="shared" si="21"/>
        <v>0.13376456540279685</v>
      </c>
      <c r="N174" s="2" cm="1">
        <f t="array" ref="N174">SQRT(SUM(IF(F55:F174&lt;AVERAGE(F55:F174),(F55:F174-AVERAGE(F55:F174))^2, 0)) / COUNT(F55:F174))*SQRT(365)</f>
        <v>9.651066979410948E-2</v>
      </c>
      <c r="O174" s="2">
        <f t="shared" si="26"/>
        <v>1.0001282500913251</v>
      </c>
      <c r="P174">
        <f t="shared" si="27"/>
        <v>0</v>
      </c>
      <c r="Q174">
        <f t="shared" si="28"/>
        <v>0</v>
      </c>
      <c r="R174">
        <f t="shared" si="29"/>
        <v>0</v>
      </c>
    </row>
    <row r="175" spans="1:18" x14ac:dyDescent="0.3">
      <c r="A175" s="1">
        <v>45195</v>
      </c>
      <c r="B175">
        <v>16276.07</v>
      </c>
      <c r="C175" s="2">
        <f t="shared" si="30"/>
        <v>-1.0765099392466559E-2</v>
      </c>
      <c r="D175">
        <f t="shared" si="31"/>
        <v>1</v>
      </c>
      <c r="E175" s="2">
        <f t="shared" si="32"/>
        <v>-1.0765099392466559E-2</v>
      </c>
      <c r="F175" s="2">
        <f t="shared" si="25"/>
        <v>-1.0765099392466559E-2</v>
      </c>
      <c r="G175" s="2">
        <f t="shared" si="22"/>
        <v>1.1062017212598427E-2</v>
      </c>
      <c r="H175">
        <f t="shared" si="23"/>
        <v>85</v>
      </c>
      <c r="I175" s="2">
        <f t="shared" si="24"/>
        <v>0.14393293331008244</v>
      </c>
      <c r="J175" s="2" cm="1">
        <f t="array" ref="J175">SQRT(SUM(IF(F116:F175&lt;AVERAGE(F116:F175),(F116:F175-AVERAGE(F116:F175))^2, 0)) / COUNT(F116:F175))*SQRT(365)</f>
        <v>0.10533065381568196</v>
      </c>
      <c r="K175" s="2">
        <f t="shared" si="19"/>
        <v>0.17354519465658427</v>
      </c>
      <c r="L175">
        <f t="shared" si="20"/>
        <v>179</v>
      </c>
      <c r="M175" s="2">
        <f t="shared" si="21"/>
        <v>0.13513939963719526</v>
      </c>
      <c r="N175" s="2" cm="1">
        <f t="array" ref="N175">SQRT(SUM(IF(F56:F175&lt;AVERAGE(F56:F175),(F56:F175-AVERAGE(F56:F175))^2, 0)) / COUNT(F56:F175))*SQRT(365)</f>
        <v>9.7414098816652639E-2</v>
      </c>
      <c r="O175" s="2">
        <f t="shared" si="26"/>
        <v>0.99983472668770779</v>
      </c>
      <c r="P175">
        <f t="shared" si="27"/>
        <v>0</v>
      </c>
      <c r="Q175">
        <f t="shared" si="28"/>
        <v>0</v>
      </c>
      <c r="R175">
        <f t="shared" si="29"/>
        <v>0</v>
      </c>
    </row>
    <row r="176" spans="1:18" x14ac:dyDescent="0.3">
      <c r="A176" s="1">
        <v>45196</v>
      </c>
      <c r="B176">
        <v>16310.36</v>
      </c>
      <c r="C176" s="2">
        <f t="shared" si="30"/>
        <v>2.1045577963793465E-3</v>
      </c>
      <c r="D176">
        <f t="shared" si="31"/>
        <v>1</v>
      </c>
      <c r="E176" s="2">
        <f t="shared" si="32"/>
        <v>2.1045577963793465E-3</v>
      </c>
      <c r="F176" s="2">
        <f t="shared" si="25"/>
        <v>2.1045577963793465E-3</v>
      </c>
      <c r="G176" s="2">
        <f t="shared" si="22"/>
        <v>1.1062017212598427E-2</v>
      </c>
      <c r="H176">
        <f t="shared" si="23"/>
        <v>85</v>
      </c>
      <c r="I176" s="2">
        <f t="shared" si="24"/>
        <v>0.14375704997177505</v>
      </c>
      <c r="J176" s="2" cm="1">
        <f t="array" ref="J176">SQRT(SUM(IF(F117:F176&lt;AVERAGE(F117:F176),(F117:F176-AVERAGE(F117:F176))^2, 0)) / COUNT(F117:F176))*SQRT(365)</f>
        <v>0.10512349607567847</v>
      </c>
      <c r="K176" s="2">
        <f t="shared" si="19"/>
        <v>0.18991335625709146</v>
      </c>
      <c r="L176">
        <f t="shared" si="20"/>
        <v>174</v>
      </c>
      <c r="M176" s="2">
        <f t="shared" si="21"/>
        <v>0.13514724462794622</v>
      </c>
      <c r="N176" s="2" cm="1">
        <f t="array" ref="N176">SQRT(SUM(IF(F57:F176&lt;AVERAGE(F57:F176),(F57:F176-AVERAGE(F57:F176))^2, 0)) / COUNT(F57:F176))*SQRT(365)</f>
        <v>9.7670146639406139E-2</v>
      </c>
      <c r="O176" s="2">
        <f t="shared" si="26"/>
        <v>1.008777243420746</v>
      </c>
      <c r="P176">
        <f t="shared" si="27"/>
        <v>0</v>
      </c>
      <c r="Q176">
        <f t="shared" si="28"/>
        <v>0</v>
      </c>
      <c r="R176">
        <f t="shared" si="29"/>
        <v>0</v>
      </c>
    </row>
    <row r="177" spans="1:18" x14ac:dyDescent="0.3">
      <c r="A177" s="1">
        <v>45197</v>
      </c>
      <c r="B177">
        <v>16353.74</v>
      </c>
      <c r="C177" s="2">
        <f t="shared" si="30"/>
        <v>2.6561286246302288E-3</v>
      </c>
      <c r="D177">
        <f t="shared" si="31"/>
        <v>1</v>
      </c>
      <c r="E177" s="2">
        <f t="shared" si="32"/>
        <v>2.6561286246302288E-3</v>
      </c>
      <c r="F177" s="2">
        <f t="shared" si="25"/>
        <v>2.6561286246302288E-3</v>
      </c>
      <c r="G177" s="2">
        <f t="shared" si="22"/>
        <v>3.1262333512896152E-2</v>
      </c>
      <c r="H177">
        <f t="shared" si="23"/>
        <v>85</v>
      </c>
      <c r="I177" s="2">
        <f t="shared" si="24"/>
        <v>0.14359625508898585</v>
      </c>
      <c r="J177" s="2" cm="1">
        <f t="array" ref="J177">SQRT(SUM(IF(F118:F177&lt;AVERAGE(F118:F177),(F118:F177-AVERAGE(F118:F177))^2, 0)) / COUNT(F118:F177))*SQRT(365)</f>
        <v>0.10589338648984845</v>
      </c>
      <c r="K177" s="2">
        <f t="shared" si="19"/>
        <v>0.18991335625709146</v>
      </c>
      <c r="L177">
        <f t="shared" si="20"/>
        <v>174</v>
      </c>
      <c r="M177" s="2">
        <f t="shared" si="21"/>
        <v>0.13519175902891709</v>
      </c>
      <c r="N177" s="2" cm="1">
        <f t="array" ref="N177">SQRT(SUM(IF(F58:F177&lt;AVERAGE(F58:F177),(F58:F177-AVERAGE(F58:F177))^2, 0)) / COUNT(F58:F177))*SQRT(365)</f>
        <v>9.7756571183245988E-2</v>
      </c>
      <c r="O177" s="2">
        <f t="shared" si="26"/>
        <v>1.010201336208109</v>
      </c>
      <c r="P177">
        <f t="shared" si="27"/>
        <v>0</v>
      </c>
      <c r="Q177">
        <f t="shared" si="28"/>
        <v>0</v>
      </c>
      <c r="R177">
        <f t="shared" si="29"/>
        <v>0</v>
      </c>
    </row>
    <row r="178" spans="1:18" x14ac:dyDescent="0.3">
      <c r="A178" s="1">
        <v>45201</v>
      </c>
      <c r="B178">
        <v>16557.310000000001</v>
      </c>
      <c r="C178" s="2">
        <f t="shared" si="30"/>
        <v>1.2371078786629569E-2</v>
      </c>
      <c r="D178">
        <f t="shared" si="31"/>
        <v>4</v>
      </c>
      <c r="E178" s="2">
        <f t="shared" si="32"/>
        <v>3.0927696966573924E-3</v>
      </c>
      <c r="F178" s="2">
        <f t="shared" si="25"/>
        <v>6.1855393933147847E-3</v>
      </c>
      <c r="G178" s="2">
        <f t="shared" si="22"/>
        <v>0.11774933771056165</v>
      </c>
      <c r="H178">
        <f t="shared" si="23"/>
        <v>88</v>
      </c>
      <c r="I178" s="2">
        <f t="shared" si="24"/>
        <v>0.13818735528216494</v>
      </c>
      <c r="J178" s="2" cm="1">
        <f t="array" ref="J178">SQRT(SUM(IF(F119:F178&lt;AVERAGE(F119:F178),(F119:F178-AVERAGE(F119:F178))^2, 0)) / COUNT(F119:F178))*SQRT(365)</f>
        <v>0.10141639542408289</v>
      </c>
      <c r="K178" s="2">
        <f t="shared" si="19"/>
        <v>0.18991335625709146</v>
      </c>
      <c r="L178">
        <f t="shared" si="20"/>
        <v>175</v>
      </c>
      <c r="M178" s="2">
        <f t="shared" si="21"/>
        <v>0.13557353874218478</v>
      </c>
      <c r="N178" s="2" cm="1">
        <f t="array" ref="N178">SQRT(SUM(IF(F59:F178&lt;AVERAGE(F59:F178),(F59:F178-AVERAGE(F59:F178))^2, 0)) / COUNT(F59:F178))*SQRT(365)</f>
        <v>9.8155009357090608E-2</v>
      </c>
      <c r="O178" s="2">
        <f t="shared" si="26"/>
        <v>1.006928661721016</v>
      </c>
      <c r="P178">
        <f t="shared" si="27"/>
        <v>0</v>
      </c>
      <c r="Q178">
        <f t="shared" si="28"/>
        <v>0</v>
      </c>
      <c r="R178">
        <f t="shared" si="29"/>
        <v>0</v>
      </c>
    </row>
    <row r="179" spans="1:18" x14ac:dyDescent="0.3">
      <c r="A179" s="1">
        <v>45202</v>
      </c>
      <c r="B179">
        <v>16454.34</v>
      </c>
      <c r="C179" s="2">
        <f t="shared" si="30"/>
        <v>-6.238423947187436E-3</v>
      </c>
      <c r="D179">
        <f t="shared" si="31"/>
        <v>1</v>
      </c>
      <c r="E179" s="2">
        <f t="shared" si="32"/>
        <v>-6.238423947187436E-3</v>
      </c>
      <c r="F179" s="2">
        <f t="shared" si="25"/>
        <v>-6.238423947187436E-3</v>
      </c>
      <c r="G179" s="2">
        <f t="shared" si="22"/>
        <v>0.11774933771056165</v>
      </c>
      <c r="H179">
        <f t="shared" si="23"/>
        <v>88</v>
      </c>
      <c r="I179" s="2">
        <f t="shared" si="24"/>
        <v>0.13828621593149928</v>
      </c>
      <c r="J179" s="2" cm="1">
        <f t="array" ref="J179">SQRT(SUM(IF(F120:F179&lt;AVERAGE(F120:F179),(F120:F179-AVERAGE(F120:F179))^2, 0)) / COUNT(F120:F179))*SQRT(365)</f>
        <v>0.10148437918820558</v>
      </c>
      <c r="K179" s="2">
        <f t="shared" si="19"/>
        <v>0.17354519465658427</v>
      </c>
      <c r="L179">
        <f t="shared" si="20"/>
        <v>175</v>
      </c>
      <c r="M179" s="2">
        <f t="shared" si="21"/>
        <v>0.13599709850205396</v>
      </c>
      <c r="N179" s="2" cm="1">
        <f t="array" ref="N179">SQRT(SUM(IF(F60:F179&lt;AVERAGE(F60:F179),(F60:F179-AVERAGE(F60:F179))^2, 0)) / COUNT(F60:F179))*SQRT(365)</f>
        <v>9.8078810178512596E-2</v>
      </c>
      <c r="O179" s="2">
        <f t="shared" si="26"/>
        <v>1.0225818841715923</v>
      </c>
      <c r="P179">
        <f t="shared" si="27"/>
        <v>1</v>
      </c>
      <c r="Q179">
        <f t="shared" si="28"/>
        <v>0</v>
      </c>
      <c r="R179">
        <f t="shared" si="29"/>
        <v>1</v>
      </c>
    </row>
    <row r="180" spans="1:18" x14ac:dyDescent="0.3">
      <c r="A180" s="1">
        <v>45203</v>
      </c>
      <c r="B180">
        <v>16273.38</v>
      </c>
      <c r="C180" s="2">
        <f t="shared" si="30"/>
        <v>-1.1058628231882828E-2</v>
      </c>
      <c r="D180">
        <f t="shared" si="31"/>
        <v>1</v>
      </c>
      <c r="E180" s="2">
        <f t="shared" si="32"/>
        <v>-1.1058628231882828E-2</v>
      </c>
      <c r="F180" s="2">
        <f t="shared" si="25"/>
        <v>-1.1058628231882828E-2</v>
      </c>
      <c r="G180" s="2">
        <f t="shared" si="22"/>
        <v>0.11774933771056165</v>
      </c>
      <c r="H180">
        <f t="shared" si="23"/>
        <v>86</v>
      </c>
      <c r="I180" s="2">
        <f t="shared" si="24"/>
        <v>0.14085837664924628</v>
      </c>
      <c r="J180" s="2" cm="1">
        <f t="array" ref="J180">SQRT(SUM(IF(F121:F180&lt;AVERAGE(F121:F180),(F121:F180-AVERAGE(F121:F180))^2, 0)) / COUNT(F121:F180))*SQRT(365)</f>
        <v>0.10309547662839252</v>
      </c>
      <c r="K180" s="2">
        <f t="shared" si="19"/>
        <v>0.15237483868634535</v>
      </c>
      <c r="L180">
        <f t="shared" si="20"/>
        <v>175</v>
      </c>
      <c r="M180" s="2">
        <f t="shared" si="21"/>
        <v>0.13739635007352391</v>
      </c>
      <c r="N180" s="2" cm="1">
        <f t="array" ref="N180">SQRT(SUM(IF(F61:F180&lt;AVERAGE(F61:F180),(F61:F180-AVERAGE(F61:F180))^2, 0)) / COUNT(F61:F180))*SQRT(365)</f>
        <v>9.8976484028919134E-2</v>
      </c>
      <c r="O180" s="2">
        <f t="shared" si="26"/>
        <v>1.0312897505005107</v>
      </c>
      <c r="P180">
        <f t="shared" si="27"/>
        <v>1</v>
      </c>
      <c r="Q180">
        <f t="shared" si="28"/>
        <v>0</v>
      </c>
      <c r="R180">
        <f t="shared" si="29"/>
        <v>1</v>
      </c>
    </row>
    <row r="181" spans="1:18" x14ac:dyDescent="0.3">
      <c r="A181" s="1">
        <v>45204</v>
      </c>
      <c r="B181">
        <v>16453.52</v>
      </c>
      <c r="C181" s="2">
        <f t="shared" si="30"/>
        <v>1.1008792113692789E-2</v>
      </c>
      <c r="D181">
        <f t="shared" si="31"/>
        <v>1</v>
      </c>
      <c r="E181" s="2">
        <f t="shared" si="32"/>
        <v>1.1008792113692789E-2</v>
      </c>
      <c r="F181" s="2">
        <f t="shared" si="25"/>
        <v>1.1008792113692789E-2</v>
      </c>
      <c r="G181" s="2">
        <f t="shared" si="22"/>
        <v>0.11774933771056165</v>
      </c>
      <c r="H181">
        <f t="shared" si="23"/>
        <v>86</v>
      </c>
      <c r="I181" s="2">
        <f t="shared" si="24"/>
        <v>0.13871195976288936</v>
      </c>
      <c r="J181" s="2" cm="1">
        <f t="array" ref="J181">SQRT(SUM(IF(F122:F181&lt;AVERAGE(F122:F181),(F122:F181-AVERAGE(F122:F181))^2, 0)) / COUNT(F122:F181))*SQRT(365)</f>
        <v>0.10245879202408571</v>
      </c>
      <c r="K181" s="2">
        <f t="shared" si="19"/>
        <v>0.17354519465658427</v>
      </c>
      <c r="L181">
        <f t="shared" si="20"/>
        <v>175</v>
      </c>
      <c r="M181" s="2">
        <f t="shared" si="21"/>
        <v>0.13794011553438346</v>
      </c>
      <c r="N181" s="2" cm="1">
        <f t="array" ref="N181">SQRT(SUM(IF(F62:F181&lt;AVERAGE(F62:F181),(F62:F181-AVERAGE(F62:F181))^2, 0)) / COUNT(F62:F181))*SQRT(365)</f>
        <v>9.9558751642886439E-2</v>
      </c>
      <c r="O181" s="2">
        <f t="shared" si="26"/>
        <v>1.0120776587623803</v>
      </c>
      <c r="P181">
        <f t="shared" si="27"/>
        <v>0</v>
      </c>
      <c r="Q181">
        <f t="shared" si="28"/>
        <v>0</v>
      </c>
      <c r="R181">
        <f t="shared" si="29"/>
        <v>0</v>
      </c>
    </row>
    <row r="182" spans="1:18" x14ac:dyDescent="0.3">
      <c r="A182" s="1">
        <v>45205</v>
      </c>
      <c r="B182">
        <v>16520.57</v>
      </c>
      <c r="C182" s="2">
        <f t="shared" si="30"/>
        <v>4.0668350460897435E-3</v>
      </c>
      <c r="D182">
        <f t="shared" si="31"/>
        <v>1</v>
      </c>
      <c r="E182" s="2">
        <f t="shared" si="32"/>
        <v>4.0668350460897435E-3</v>
      </c>
      <c r="F182" s="2">
        <f t="shared" si="25"/>
        <v>4.0668350460897435E-3</v>
      </c>
      <c r="G182" s="2">
        <f t="shared" si="22"/>
        <v>0.11774933771056165</v>
      </c>
      <c r="H182">
        <f t="shared" si="23"/>
        <v>86</v>
      </c>
      <c r="I182" s="2">
        <f t="shared" si="24"/>
        <v>0.13877733307841228</v>
      </c>
      <c r="J182" s="2" cm="1">
        <f t="array" ref="J182">SQRT(SUM(IF(F123:F182&lt;AVERAGE(F123:F182),(F123:F182-AVERAGE(F123:F182))^2, 0)) / COUNT(F123:F182))*SQRT(365)</f>
        <v>0.10251759445834695</v>
      </c>
      <c r="K182" s="2">
        <f t="shared" si="19"/>
        <v>0.17354519465658427</v>
      </c>
      <c r="L182">
        <f t="shared" si="20"/>
        <v>175</v>
      </c>
      <c r="M182" s="2">
        <f t="shared" si="21"/>
        <v>0.13745784044645304</v>
      </c>
      <c r="N182" s="2" cm="1">
        <f t="array" ref="N182">SQRT(SUM(IF(F63:F182&lt;AVERAGE(F63:F182),(F63:F182-AVERAGE(F63:F182))^2, 0)) / COUNT(F63:F182))*SQRT(365)</f>
        <v>9.923627269045833E-2</v>
      </c>
      <c r="O182" s="2">
        <f t="shared" si="26"/>
        <v>1.0073835224813672</v>
      </c>
      <c r="P182">
        <f t="shared" si="27"/>
        <v>0</v>
      </c>
      <c r="Q182">
        <f t="shared" si="28"/>
        <v>0</v>
      </c>
      <c r="R182">
        <f t="shared" si="29"/>
        <v>0</v>
      </c>
    </row>
    <row r="183" spans="1:18" x14ac:dyDescent="0.3">
      <c r="A183" s="1">
        <v>45210</v>
      </c>
      <c r="B183">
        <v>16672.03</v>
      </c>
      <c r="C183" s="2">
        <f t="shared" si="30"/>
        <v>9.1261938639650604E-3</v>
      </c>
      <c r="D183">
        <f t="shared" si="31"/>
        <v>5</v>
      </c>
      <c r="E183" s="2">
        <f t="shared" si="32"/>
        <v>1.8252387727930122E-3</v>
      </c>
      <c r="F183" s="2">
        <f t="shared" si="25"/>
        <v>4.0813579711334686E-3</v>
      </c>
      <c r="G183" s="2">
        <f t="shared" si="22"/>
        <v>0.11774933771056165</v>
      </c>
      <c r="H183">
        <f t="shared" si="23"/>
        <v>90</v>
      </c>
      <c r="I183" s="2">
        <f t="shared" si="24"/>
        <v>0.13835262686777205</v>
      </c>
      <c r="J183" s="2" cm="1">
        <f t="array" ref="J183">SQRT(SUM(IF(F124:F183&lt;AVERAGE(F124:F183),(F124:F183-AVERAGE(F124:F183))^2, 0)) / COUNT(F124:F183))*SQRT(365)</f>
        <v>0.1022121653324489</v>
      </c>
      <c r="K183" s="2">
        <f t="shared" si="19"/>
        <v>0.17354519465658427</v>
      </c>
      <c r="L183">
        <f t="shared" si="20"/>
        <v>177</v>
      </c>
      <c r="M183" s="2">
        <f t="shared" si="21"/>
        <v>0.13761095955870062</v>
      </c>
      <c r="N183" s="2" cm="1">
        <f t="array" ref="N183">SQRT(SUM(IF(F64:F183&lt;AVERAGE(F64:F183),(F64:F183-AVERAGE(F64:F183))^2, 0)) / COUNT(F64:F183))*SQRT(365)</f>
        <v>9.947834607818215E-2</v>
      </c>
      <c r="O183" s="2">
        <f t="shared" si="26"/>
        <v>0.9861372610294008</v>
      </c>
      <c r="P183">
        <f t="shared" si="27"/>
        <v>0</v>
      </c>
      <c r="Q183">
        <f t="shared" si="28"/>
        <v>0</v>
      </c>
      <c r="R183">
        <f t="shared" si="29"/>
        <v>0</v>
      </c>
    </row>
    <row r="184" spans="1:18" x14ac:dyDescent="0.3">
      <c r="A184" s="1">
        <v>45211</v>
      </c>
      <c r="B184">
        <v>16825.91</v>
      </c>
      <c r="C184" s="2">
        <f t="shared" si="30"/>
        <v>9.1874952559430137E-3</v>
      </c>
      <c r="D184">
        <f t="shared" si="31"/>
        <v>1</v>
      </c>
      <c r="E184" s="2">
        <f t="shared" si="32"/>
        <v>9.1874952559430137E-3</v>
      </c>
      <c r="F184" s="2">
        <f t="shared" si="25"/>
        <v>9.1874952559430137E-3</v>
      </c>
      <c r="G184" s="2">
        <f t="shared" si="22"/>
        <v>0.11774933771056165</v>
      </c>
      <c r="H184">
        <f t="shared" si="23"/>
        <v>90</v>
      </c>
      <c r="I184" s="2">
        <f t="shared" si="24"/>
        <v>0.13639668684648623</v>
      </c>
      <c r="J184" s="2" cm="1">
        <f t="array" ref="J184">SQRT(SUM(IF(F125:F184&lt;AVERAGE(F125:F184),(F125:F184-AVERAGE(F125:F184))^2, 0)) / COUNT(F125:F184))*SQRT(365)</f>
        <v>0.10156129540341738</v>
      </c>
      <c r="K184" s="2">
        <f t="shared" si="19"/>
        <v>0.18991335625709146</v>
      </c>
      <c r="L184">
        <f t="shared" si="20"/>
        <v>177</v>
      </c>
      <c r="M184" s="2">
        <f t="shared" si="21"/>
        <v>0.1380534073919425</v>
      </c>
      <c r="N184" s="2" cm="1">
        <f t="array" ref="N184">SQRT(SUM(IF(F65:F184&lt;AVERAGE(F65:F184),(F65:F184-AVERAGE(F65:F184))^2, 0)) / COUNT(F65:F184))*SQRT(365)</f>
        <v>0.10016928012234054</v>
      </c>
      <c r="O184" s="2">
        <f t="shared" si="26"/>
        <v>0.97782111041839637</v>
      </c>
      <c r="P184">
        <f t="shared" si="27"/>
        <v>0</v>
      </c>
      <c r="Q184">
        <f t="shared" si="28"/>
        <v>1</v>
      </c>
      <c r="R184">
        <f t="shared" si="29"/>
        <v>1</v>
      </c>
    </row>
    <row r="185" spans="1:18" x14ac:dyDescent="0.3">
      <c r="A185" s="1">
        <v>45212</v>
      </c>
      <c r="B185">
        <v>16782.57</v>
      </c>
      <c r="C185" s="2">
        <f t="shared" si="30"/>
        <v>-2.5791124159234634E-3</v>
      </c>
      <c r="D185">
        <f t="shared" si="31"/>
        <v>1</v>
      </c>
      <c r="E185" s="2">
        <f t="shared" si="32"/>
        <v>-2.5791124159234634E-3</v>
      </c>
      <c r="F185" s="2">
        <f t="shared" si="25"/>
        <v>-2.5791124159234634E-3</v>
      </c>
      <c r="G185" s="2">
        <f t="shared" si="22"/>
        <v>3.1262333512896152E-2</v>
      </c>
      <c r="H185">
        <f t="shared" si="23"/>
        <v>88</v>
      </c>
      <c r="I185" s="2">
        <f t="shared" si="24"/>
        <v>0.13637526962283389</v>
      </c>
      <c r="J185" s="2" cm="1">
        <f t="array" ref="J185">SQRT(SUM(IF(F126:F185&lt;AVERAGE(F126:F185),(F126:F185-AVERAGE(F126:F185))^2, 0)) / COUNT(F126:F185))*SQRT(365)</f>
        <v>0.1009436026064089</v>
      </c>
      <c r="K185" s="2">
        <f t="shared" si="19"/>
        <v>0.18991335625709146</v>
      </c>
      <c r="L185">
        <f t="shared" si="20"/>
        <v>177</v>
      </c>
      <c r="M185" s="2">
        <f t="shared" si="21"/>
        <v>0.13765937123940383</v>
      </c>
      <c r="N185" s="2" cm="1">
        <f t="array" ref="N185">SQRT(SUM(IF(F66:F185&lt;AVERAGE(F66:F185),(F66:F185-AVERAGE(F66:F185))^2, 0)) / COUNT(F66:F185))*SQRT(365)</f>
        <v>9.9942127877233347E-2</v>
      </c>
      <c r="O185" s="2">
        <f t="shared" si="26"/>
        <v>0.97963065251627146</v>
      </c>
      <c r="P185">
        <f t="shared" si="27"/>
        <v>0</v>
      </c>
      <c r="Q185">
        <f t="shared" si="28"/>
        <v>1</v>
      </c>
      <c r="R185">
        <f t="shared" si="29"/>
        <v>1</v>
      </c>
    </row>
    <row r="186" spans="1:18" x14ac:dyDescent="0.3">
      <c r="A186" s="1">
        <v>45215</v>
      </c>
      <c r="B186">
        <v>16652.240000000002</v>
      </c>
      <c r="C186" s="2">
        <f t="shared" si="30"/>
        <v>-7.7961059215125904E-3</v>
      </c>
      <c r="D186">
        <f t="shared" si="31"/>
        <v>3</v>
      </c>
      <c r="E186" s="2">
        <f t="shared" si="32"/>
        <v>-2.5987019738375303E-3</v>
      </c>
      <c r="F186" s="2">
        <f t="shared" si="25"/>
        <v>-4.5010838524161293E-3</v>
      </c>
      <c r="G186" s="2">
        <f t="shared" si="22"/>
        <v>3.1262333512896152E-2</v>
      </c>
      <c r="H186">
        <f t="shared" si="23"/>
        <v>90</v>
      </c>
      <c r="I186" s="2">
        <f t="shared" si="24"/>
        <v>0.13601823027903687</v>
      </c>
      <c r="J186" s="2" cm="1">
        <f t="array" ref="J186">SQRT(SUM(IF(F127:F186&lt;AVERAGE(F127:F186),(F127:F186-AVERAGE(F127:F186))^2, 0)) / COUNT(F127:F186))*SQRT(365)</f>
        <v>0.10075723985093687</v>
      </c>
      <c r="K186" s="2">
        <f t="shared" si="19"/>
        <v>0.18991335625709146</v>
      </c>
      <c r="L186">
        <f t="shared" si="20"/>
        <v>179</v>
      </c>
      <c r="M186" s="2">
        <f t="shared" si="21"/>
        <v>0.13771145622676501</v>
      </c>
      <c r="N186" s="2" cm="1">
        <f t="array" ref="N186">SQRT(SUM(IF(F67:F186&lt;AVERAGE(F67:F186),(F67:F186-AVERAGE(F67:F186))^2, 0)) / COUNT(F67:F186))*SQRT(365)</f>
        <v>9.9970892271310785E-2</v>
      </c>
      <c r="O186" s="2">
        <f t="shared" si="26"/>
        <v>0.97592636185882498</v>
      </c>
      <c r="P186">
        <f t="shared" si="27"/>
        <v>0</v>
      </c>
      <c r="Q186">
        <f t="shared" si="28"/>
        <v>1</v>
      </c>
      <c r="R186">
        <f t="shared" si="29"/>
        <v>1</v>
      </c>
    </row>
    <row r="187" spans="1:18" x14ac:dyDescent="0.3">
      <c r="A187" s="1">
        <v>45216</v>
      </c>
      <c r="B187">
        <v>16642.55</v>
      </c>
      <c r="C187" s="2">
        <f t="shared" si="30"/>
        <v>-5.8207306750334873E-4</v>
      </c>
      <c r="D187">
        <f t="shared" si="31"/>
        <v>1</v>
      </c>
      <c r="E187" s="2">
        <f t="shared" si="32"/>
        <v>-5.8207306750334873E-4</v>
      </c>
      <c r="F187" s="2">
        <f t="shared" si="25"/>
        <v>-5.8207306750334873E-4</v>
      </c>
      <c r="G187" s="2">
        <f t="shared" si="22"/>
        <v>3.1262333512896152E-2</v>
      </c>
      <c r="H187">
        <f t="shared" si="23"/>
        <v>90</v>
      </c>
      <c r="I187" s="2">
        <f t="shared" si="24"/>
        <v>0.13520376162922751</v>
      </c>
      <c r="J187" s="2" cm="1">
        <f t="array" ref="J187">SQRT(SUM(IF(F128:F187&lt;AVERAGE(F128:F187),(F128:F187-AVERAGE(F128:F187))^2, 0)) / COUNT(F128:F187))*SQRT(365)</f>
        <v>0.10069515213938793</v>
      </c>
      <c r="K187" s="2">
        <f t="shared" ref="K187:K240" si="33">MEDIAN(E68:E187)*365</f>
        <v>0.18991335625709146</v>
      </c>
      <c r="L187">
        <f t="shared" ref="L187:L240" si="34">SUM(D68:D187)</f>
        <v>179</v>
      </c>
      <c r="M187" s="2">
        <f t="shared" ref="M187:M240" si="35">_xlfn.STDEV.S(F68:F187)*SQRT(365)</f>
        <v>0.13715851461408729</v>
      </c>
      <c r="N187" s="2" cm="1">
        <f t="array" ref="N187">SQRT(SUM(IF(F68:F187&lt;AVERAGE(F68:F187),(F68:F187-AVERAGE(F68:F187))^2, 0)) / COUNT(F68:F187))*SQRT(365)</f>
        <v>9.9729611633161089E-2</v>
      </c>
      <c r="O187" s="2">
        <f t="shared" si="26"/>
        <v>0.98000366530369454</v>
      </c>
      <c r="P187">
        <f t="shared" si="27"/>
        <v>0</v>
      </c>
      <c r="Q187">
        <f t="shared" si="28"/>
        <v>1</v>
      </c>
      <c r="R187">
        <f t="shared" si="29"/>
        <v>1</v>
      </c>
    </row>
    <row r="188" spans="1:18" x14ac:dyDescent="0.3">
      <c r="A188" s="1">
        <v>45217</v>
      </c>
      <c r="B188">
        <v>16440.91</v>
      </c>
      <c r="C188" s="2">
        <f t="shared" si="30"/>
        <v>-1.2189927950347353E-2</v>
      </c>
      <c r="D188">
        <f t="shared" si="31"/>
        <v>1</v>
      </c>
      <c r="E188" s="2">
        <f t="shared" si="32"/>
        <v>-1.2189927950347353E-2</v>
      </c>
      <c r="F188" s="2">
        <f t="shared" si="25"/>
        <v>-1.2189927950347353E-2</v>
      </c>
      <c r="G188" s="2">
        <f t="shared" si="22"/>
        <v>1.1062017212598427E-2</v>
      </c>
      <c r="H188">
        <f t="shared" si="23"/>
        <v>90</v>
      </c>
      <c r="I188" s="2">
        <f t="shared" si="24"/>
        <v>0.13798564573351291</v>
      </c>
      <c r="J188" s="2" cm="1">
        <f t="array" ref="J188">SQRT(SUM(IF(F129:F188&lt;AVERAGE(F129:F188),(F129:F188-AVERAGE(F129:F188))^2, 0)) / COUNT(F129:F188))*SQRT(365)</f>
        <v>0.10215193794871094</v>
      </c>
      <c r="K188" s="2">
        <f t="shared" si="33"/>
        <v>0.17739299914643283</v>
      </c>
      <c r="L188">
        <f t="shared" si="34"/>
        <v>177</v>
      </c>
      <c r="M188" s="2">
        <f t="shared" si="35"/>
        <v>0.1389187875988436</v>
      </c>
      <c r="N188" s="2" cm="1">
        <f t="array" ref="N188">SQRT(SUM(IF(F69:F188&lt;AVERAGE(F69:F188),(F69:F188-AVERAGE(F69:F188))^2, 0)) / COUNT(F69:F188))*SQRT(365)</f>
        <v>0.10103290681943872</v>
      </c>
      <c r="O188" s="2">
        <f t="shared" si="26"/>
        <v>0.99501122504776196</v>
      </c>
      <c r="P188">
        <f t="shared" si="27"/>
        <v>0</v>
      </c>
      <c r="Q188">
        <f t="shared" si="28"/>
        <v>0</v>
      </c>
      <c r="R188">
        <f t="shared" si="29"/>
        <v>0</v>
      </c>
    </row>
    <row r="189" spans="1:18" x14ac:dyDescent="0.3">
      <c r="A189" s="1">
        <v>45218</v>
      </c>
      <c r="B189">
        <v>16452.73</v>
      </c>
      <c r="C189" s="2">
        <f t="shared" si="30"/>
        <v>7.1867999459789055E-4</v>
      </c>
      <c r="D189">
        <f t="shared" si="31"/>
        <v>1</v>
      </c>
      <c r="E189" s="2">
        <f t="shared" si="32"/>
        <v>7.1867999459789055E-4</v>
      </c>
      <c r="F189" s="2">
        <f t="shared" si="25"/>
        <v>7.1867999459789055E-4</v>
      </c>
      <c r="G189" s="2">
        <f t="shared" si="22"/>
        <v>3.1262333512896152E-2</v>
      </c>
      <c r="H189">
        <f t="shared" si="23"/>
        <v>90</v>
      </c>
      <c r="I189" s="2">
        <f t="shared" si="24"/>
        <v>0.1368595517756829</v>
      </c>
      <c r="J189" s="2" cm="1">
        <f t="array" ref="J189">SQRT(SUM(IF(F130:F189&lt;AVERAGE(F130:F189),(F130:F189-AVERAGE(F130:F189))^2, 0)) / COUNT(F130:F189))*SQRT(365)</f>
        <v>0.10207367062075243</v>
      </c>
      <c r="K189" s="2">
        <f t="shared" si="33"/>
        <v>0.19896146475163615</v>
      </c>
      <c r="L189">
        <f t="shared" si="34"/>
        <v>177</v>
      </c>
      <c r="M189" s="2">
        <f t="shared" si="35"/>
        <v>0.135710770413764</v>
      </c>
      <c r="N189" s="2" cm="1">
        <f t="array" ref="N189">SQRT(SUM(IF(F70:F189&lt;AVERAGE(F70:F189),(F70:F189-AVERAGE(F70:F189))^2, 0)) / COUNT(F70:F189))*SQRT(365)</f>
        <v>9.8102958613039942E-2</v>
      </c>
      <c r="O189" s="2">
        <f t="shared" si="26"/>
        <v>0.97696491706847433</v>
      </c>
      <c r="P189">
        <f t="shared" si="27"/>
        <v>0</v>
      </c>
      <c r="Q189">
        <f t="shared" si="28"/>
        <v>1</v>
      </c>
      <c r="R189">
        <f t="shared" si="29"/>
        <v>1</v>
      </c>
    </row>
    <row r="190" spans="1:18" x14ac:dyDescent="0.3">
      <c r="A190" s="1">
        <v>45219</v>
      </c>
      <c r="B190">
        <v>16440.72</v>
      </c>
      <c r="C190" s="2">
        <f t="shared" si="30"/>
        <v>-7.3023659930402524E-4</v>
      </c>
      <c r="D190">
        <f t="shared" si="31"/>
        <v>1</v>
      </c>
      <c r="E190" s="2">
        <f t="shared" si="32"/>
        <v>-7.3023659930402524E-4</v>
      </c>
      <c r="F190" s="2">
        <f t="shared" si="25"/>
        <v>-7.3023659930402524E-4</v>
      </c>
      <c r="G190" s="2">
        <f t="shared" si="22"/>
        <v>2.1537198373885551E-2</v>
      </c>
      <c r="H190">
        <f t="shared" si="23"/>
        <v>88</v>
      </c>
      <c r="I190" s="2">
        <f t="shared" si="24"/>
        <v>0.13684963167333639</v>
      </c>
      <c r="J190" s="2" cm="1">
        <f t="array" ref="J190">SQRT(SUM(IF(F131:F190&lt;AVERAGE(F131:F190),(F131:F190-AVERAGE(F131:F190))^2, 0)) / COUNT(F131:F190))*SQRT(365)</f>
        <v>0.10193378022102154</v>
      </c>
      <c r="K190" s="2">
        <f t="shared" si="33"/>
        <v>0.19896146475163615</v>
      </c>
      <c r="L190">
        <f t="shared" si="34"/>
        <v>177</v>
      </c>
      <c r="M190" s="2">
        <f t="shared" si="35"/>
        <v>0.1357269987403639</v>
      </c>
      <c r="N190" s="2" cm="1">
        <f t="array" ref="N190">SQRT(SUM(IF(F71:F190&lt;AVERAGE(F71:F190),(F71:F190-AVERAGE(F71:F190))^2, 0)) / COUNT(F71:F190))*SQRT(365)</f>
        <v>9.8041751761473228E-2</v>
      </c>
      <c r="O190" s="2">
        <f t="shared" si="26"/>
        <v>0.98138098574758281</v>
      </c>
      <c r="P190">
        <f t="shared" si="27"/>
        <v>0</v>
      </c>
      <c r="Q190">
        <f t="shared" si="28"/>
        <v>1</v>
      </c>
      <c r="R190">
        <f t="shared" si="29"/>
        <v>1</v>
      </c>
    </row>
    <row r="191" spans="1:18" x14ac:dyDescent="0.3">
      <c r="A191" s="1">
        <v>45222</v>
      </c>
      <c r="B191">
        <v>16251.36</v>
      </c>
      <c r="C191" s="2">
        <f t="shared" si="30"/>
        <v>-1.1584586708038698E-2</v>
      </c>
      <c r="D191">
        <f t="shared" si="31"/>
        <v>3</v>
      </c>
      <c r="E191" s="2">
        <f t="shared" si="32"/>
        <v>-3.861528902679566E-3</v>
      </c>
      <c r="F191" s="2">
        <f t="shared" si="25"/>
        <v>-6.6883642543367032E-3</v>
      </c>
      <c r="G191" s="2">
        <f t="shared" ref="G191:G240" si="36">MEDIAN(E132:E191)*365</f>
        <v>-6.5630283676373621E-2</v>
      </c>
      <c r="H191">
        <f t="shared" ref="H191:H240" si="37">SUM(D132:D191)</f>
        <v>90</v>
      </c>
      <c r="I191" s="2">
        <f t="shared" ref="I191:I240" si="38">_xlfn.STDEV.S(F132:F191)*SQRT(365)</f>
        <v>0.13520857361215247</v>
      </c>
      <c r="J191" s="2" cm="1">
        <f t="array" ref="J191">SQRT(SUM(IF(F132:F191&lt;AVERAGE(F132:F191),(F132:F191-AVERAGE(F132:F191))^2, 0)) / COUNT(F132:F191))*SQRT(365)</f>
        <v>0.10021823225425561</v>
      </c>
      <c r="K191" s="2">
        <f t="shared" si="33"/>
        <v>0.17739299914643283</v>
      </c>
      <c r="L191">
        <f t="shared" si="34"/>
        <v>179</v>
      </c>
      <c r="M191" s="2">
        <f t="shared" si="35"/>
        <v>0.13625891094122591</v>
      </c>
      <c r="N191" s="2" cm="1">
        <f t="array" ref="N191">SQRT(SUM(IF(F72:F191&lt;AVERAGE(F72:F191),(F72:F191-AVERAGE(F72:F191))^2, 0)) / COUNT(F72:F191))*SQRT(365)</f>
        <v>9.8057536674684059E-2</v>
      </c>
      <c r="O191" s="2">
        <f t="shared" si="26"/>
        <v>0.99374329286902752</v>
      </c>
      <c r="P191">
        <f t="shared" si="27"/>
        <v>0</v>
      </c>
      <c r="Q191">
        <f t="shared" si="28"/>
        <v>0</v>
      </c>
      <c r="R191">
        <f t="shared" si="29"/>
        <v>0</v>
      </c>
    </row>
    <row r="192" spans="1:18" x14ac:dyDescent="0.3">
      <c r="A192" s="1">
        <v>45223</v>
      </c>
      <c r="B192">
        <v>16309.76</v>
      </c>
      <c r="C192" s="2">
        <f t="shared" si="30"/>
        <v>3.5871040443891705E-3</v>
      </c>
      <c r="D192">
        <f t="shared" si="31"/>
        <v>1</v>
      </c>
      <c r="E192" s="2">
        <f t="shared" si="32"/>
        <v>3.5871040443891705E-3</v>
      </c>
      <c r="F192" s="2">
        <f t="shared" si="25"/>
        <v>3.5871040443891705E-3</v>
      </c>
      <c r="G192" s="2">
        <f t="shared" si="36"/>
        <v>2.1537198373885551E-2</v>
      </c>
      <c r="H192">
        <f t="shared" si="37"/>
        <v>90</v>
      </c>
      <c r="I192" s="2">
        <f t="shared" si="38"/>
        <v>0.13561193896023757</v>
      </c>
      <c r="J192" s="2" cm="1">
        <f t="array" ref="J192">SQRT(SUM(IF(F133:F192&lt;AVERAGE(F133:F192),(F133:F192-AVERAGE(F133:F192))^2, 0)) / COUNT(F133:F192))*SQRT(365)</f>
        <v>0.10114285592165419</v>
      </c>
      <c r="K192" s="2">
        <f t="shared" si="33"/>
        <v>0.17739299914643283</v>
      </c>
      <c r="L192">
        <f t="shared" si="34"/>
        <v>179</v>
      </c>
      <c r="M192" s="2">
        <f t="shared" si="35"/>
        <v>0.13514314114941195</v>
      </c>
      <c r="N192" s="2" cm="1">
        <f t="array" ref="N192">SQRT(SUM(IF(F73:F192&lt;AVERAGE(F73:F192),(F73:F192-AVERAGE(F73:F192))^2, 0)) / COUNT(F73:F192))*SQRT(365)</f>
        <v>9.7439526380214317E-2</v>
      </c>
      <c r="O192" s="2">
        <f t="shared" si="26"/>
        <v>0.98108555858577928</v>
      </c>
      <c r="P192">
        <f t="shared" si="27"/>
        <v>0</v>
      </c>
      <c r="Q192">
        <f t="shared" si="28"/>
        <v>1</v>
      </c>
      <c r="R192">
        <f t="shared" si="29"/>
        <v>1</v>
      </c>
    </row>
    <row r="193" spans="1:18" x14ac:dyDescent="0.3">
      <c r="A193" s="1">
        <v>45224</v>
      </c>
      <c r="B193">
        <v>16358.89</v>
      </c>
      <c r="C193" s="2">
        <f t="shared" si="30"/>
        <v>3.0077788362133069E-3</v>
      </c>
      <c r="D193">
        <f t="shared" si="31"/>
        <v>1</v>
      </c>
      <c r="E193" s="2">
        <f t="shared" si="32"/>
        <v>3.0077788362133069E-3</v>
      </c>
      <c r="F193" s="2">
        <f t="shared" si="25"/>
        <v>3.0077788362133069E-3</v>
      </c>
      <c r="G193" s="2">
        <f t="shared" si="36"/>
        <v>2.1537198373885551E-2</v>
      </c>
      <c r="H193">
        <f t="shared" si="37"/>
        <v>90</v>
      </c>
      <c r="I193" s="2">
        <f t="shared" si="38"/>
        <v>0.13527670687654811</v>
      </c>
      <c r="J193" s="2" cm="1">
        <f t="array" ref="J193">SQRT(SUM(IF(F134:F193&lt;AVERAGE(F134:F193),(F134:F193-AVERAGE(F134:F193))^2, 0)) / COUNT(F134:F193))*SQRT(365)</f>
        <v>0.1008695027147946</v>
      </c>
      <c r="K193" s="2">
        <f t="shared" si="33"/>
        <v>0.17739299914643283</v>
      </c>
      <c r="L193">
        <f t="shared" si="34"/>
        <v>176</v>
      </c>
      <c r="M193" s="2">
        <f t="shared" si="35"/>
        <v>0.13519807603301676</v>
      </c>
      <c r="N193" s="2" cm="1">
        <f t="array" ref="N193">SQRT(SUM(IF(F74:F193&lt;AVERAGE(F74:F193),(F74:F193-AVERAGE(F74:F193))^2, 0)) / COUNT(F74:F193))*SQRT(365)</f>
        <v>9.7539470836556341E-2</v>
      </c>
      <c r="O193" s="2">
        <f t="shared" si="26"/>
        <v>0.98041859808336629</v>
      </c>
      <c r="P193">
        <f t="shared" si="27"/>
        <v>0</v>
      </c>
      <c r="Q193">
        <f t="shared" si="28"/>
        <v>1</v>
      </c>
      <c r="R193">
        <f t="shared" si="29"/>
        <v>1</v>
      </c>
    </row>
    <row r="194" spans="1:18" x14ac:dyDescent="0.3">
      <c r="A194" s="1">
        <v>45225</v>
      </c>
      <c r="B194">
        <v>16073.74</v>
      </c>
      <c r="C194" s="2">
        <f t="shared" si="30"/>
        <v>-1.7584595992076027E-2</v>
      </c>
      <c r="D194">
        <f t="shared" si="31"/>
        <v>1</v>
      </c>
      <c r="E194" s="2">
        <f t="shared" si="32"/>
        <v>-1.7584595992076027E-2</v>
      </c>
      <c r="F194" s="2">
        <f t="shared" si="25"/>
        <v>-1.7584595992076027E-2</v>
      </c>
      <c r="G194" s="2">
        <f t="shared" si="36"/>
        <v>-6.5630283676373621E-2</v>
      </c>
      <c r="H194">
        <f t="shared" si="37"/>
        <v>90</v>
      </c>
      <c r="I194" s="2">
        <f t="shared" si="38"/>
        <v>0.1411163702748098</v>
      </c>
      <c r="J194" s="2" cm="1">
        <f t="array" ref="J194">SQRT(SUM(IF(F135:F194&lt;AVERAGE(F135:F194),(F135:F194-AVERAGE(F135:F194))^2, 0)) / COUNT(F135:F194))*SQRT(365)</f>
        <v>0.10550491703565655</v>
      </c>
      <c r="K194" s="2">
        <f t="shared" si="33"/>
        <v>0.17739299914643283</v>
      </c>
      <c r="L194">
        <f t="shared" si="34"/>
        <v>176</v>
      </c>
      <c r="M194" s="2">
        <f t="shared" si="35"/>
        <v>0.1384314003792998</v>
      </c>
      <c r="N194" s="2" cm="1">
        <f t="array" ref="N194">SQRT(SUM(IF(F75:F194&lt;AVERAGE(F75:F194),(F75:F194-AVERAGE(F75:F194))^2, 0)) / COUNT(F75:F194))*SQRT(365)</f>
        <v>0.10092263705717419</v>
      </c>
      <c r="O194" s="2">
        <f t="shared" si="26"/>
        <v>1.0201079524740353</v>
      </c>
      <c r="P194">
        <f t="shared" si="27"/>
        <v>1</v>
      </c>
      <c r="Q194">
        <f t="shared" si="28"/>
        <v>0</v>
      </c>
      <c r="R194">
        <f t="shared" si="29"/>
        <v>1</v>
      </c>
    </row>
    <row r="195" spans="1:18" x14ac:dyDescent="0.3">
      <c r="A195" s="1">
        <v>45226</v>
      </c>
      <c r="B195">
        <v>16134.61</v>
      </c>
      <c r="C195" s="2">
        <f t="shared" si="30"/>
        <v>3.7797696851319508E-3</v>
      </c>
      <c r="D195">
        <f t="shared" si="31"/>
        <v>1</v>
      </c>
      <c r="E195" s="2">
        <f t="shared" si="32"/>
        <v>3.7797696851319508E-3</v>
      </c>
      <c r="F195" s="2">
        <f t="shared" ref="F195:F240" si="39">C195/SQRT(D195)</f>
        <v>3.7797696851319508E-3</v>
      </c>
      <c r="G195" s="2">
        <f t="shared" si="36"/>
        <v>2.1537198373885551E-2</v>
      </c>
      <c r="H195">
        <f t="shared" si="37"/>
        <v>88</v>
      </c>
      <c r="I195" s="2">
        <f t="shared" si="38"/>
        <v>0.14129919887876827</v>
      </c>
      <c r="J195" s="2" cm="1">
        <f t="array" ref="J195">SQRT(SUM(IF(F136:F195&lt;AVERAGE(F136:F195),(F136:F195-AVERAGE(F136:F195))^2, 0)) / COUNT(F136:F195))*SQRT(365)</f>
        <v>0.10655428363796532</v>
      </c>
      <c r="K195" s="2">
        <f t="shared" si="33"/>
        <v>0.17739299914643283</v>
      </c>
      <c r="L195">
        <f t="shared" si="34"/>
        <v>176</v>
      </c>
      <c r="M195" s="2">
        <f t="shared" si="35"/>
        <v>0.1384472947350214</v>
      </c>
      <c r="N195" s="2" cm="1">
        <f t="array" ref="N195">SQRT(SUM(IF(F76:F195&lt;AVERAGE(F76:F195),(F76:F195-AVERAGE(F76:F195))^2, 0)) / COUNT(F76:F195))*SQRT(365)</f>
        <v>0.10094029081355284</v>
      </c>
      <c r="O195" s="2">
        <f t="shared" ref="O195:O240" si="40">B200/B195</f>
        <v>1.0231204844740593</v>
      </c>
      <c r="P195">
        <f t="shared" ref="P195:P240" si="41">IF(O195 &gt;= 1.015, 1, 0)</f>
        <v>1</v>
      </c>
      <c r="Q195">
        <f t="shared" ref="Q195:Q240" si="42">IF(O195&lt;=0.985,1,0)</f>
        <v>0</v>
      </c>
      <c r="R195">
        <f t="shared" ref="R195:R240" si="43">MAX(P195,Q195)</f>
        <v>1</v>
      </c>
    </row>
    <row r="196" spans="1:18" x14ac:dyDescent="0.3">
      <c r="A196" s="1">
        <v>45229</v>
      </c>
      <c r="B196">
        <v>16149.68</v>
      </c>
      <c r="C196" s="2">
        <f t="shared" ref="C196:C240" si="44">LN(B196/B195)</f>
        <v>9.3358107578339839E-4</v>
      </c>
      <c r="D196">
        <f t="shared" ref="D196:D240" si="45">DATEDIF(A195,A196,"d")</f>
        <v>3</v>
      </c>
      <c r="E196" s="2">
        <f t="shared" ref="E196:E240" si="46">C196/D196</f>
        <v>3.1119369192779948E-4</v>
      </c>
      <c r="F196" s="2">
        <f t="shared" si="39"/>
        <v>5.3900328541388548E-4</v>
      </c>
      <c r="G196" s="2">
        <f t="shared" si="36"/>
        <v>2.1537198373885551E-2</v>
      </c>
      <c r="H196">
        <f t="shared" si="37"/>
        <v>90</v>
      </c>
      <c r="I196" s="2">
        <f t="shared" si="38"/>
        <v>0.14081661020664768</v>
      </c>
      <c r="J196" s="2" cm="1">
        <f t="array" ref="J196">SQRT(SUM(IF(F137:F196&lt;AVERAGE(F137:F196),(F137:F196-AVERAGE(F137:F196))^2, 0)) / COUNT(F137:F196))*SQRT(365)</f>
        <v>0.10598289027225152</v>
      </c>
      <c r="K196" s="2">
        <f t="shared" si="33"/>
        <v>0.15237483868634535</v>
      </c>
      <c r="L196">
        <f t="shared" si="34"/>
        <v>178</v>
      </c>
      <c r="M196" s="2">
        <f t="shared" si="35"/>
        <v>0.13844048769965153</v>
      </c>
      <c r="N196" s="2" cm="1">
        <f t="array" ref="N196">SQRT(SUM(IF(F77:F196&lt;AVERAGE(F77:F196),(F77:F196-AVERAGE(F77:F196))^2, 0)) / COUNT(F77:F196))*SQRT(365)</f>
        <v>0.10089390340120219</v>
      </c>
      <c r="O196" s="2">
        <f t="shared" si="40"/>
        <v>1.0309405511440475</v>
      </c>
      <c r="P196">
        <f t="shared" si="41"/>
        <v>1</v>
      </c>
      <c r="Q196">
        <f t="shared" si="42"/>
        <v>0</v>
      </c>
      <c r="R196">
        <f t="shared" si="43"/>
        <v>1</v>
      </c>
    </row>
    <row r="197" spans="1:18" x14ac:dyDescent="0.3">
      <c r="A197" s="1">
        <v>45230</v>
      </c>
      <c r="B197">
        <v>16001.27</v>
      </c>
      <c r="C197" s="2">
        <f t="shared" si="44"/>
        <v>-9.2321411411221462E-3</v>
      </c>
      <c r="D197">
        <f t="shared" si="45"/>
        <v>1</v>
      </c>
      <c r="E197" s="2">
        <f t="shared" si="46"/>
        <v>-9.2321411411221462E-3</v>
      </c>
      <c r="F197" s="2">
        <f t="shared" si="39"/>
        <v>-9.2321411411221462E-3</v>
      </c>
      <c r="G197" s="2">
        <f t="shared" si="36"/>
        <v>2.1537198373885551E-2</v>
      </c>
      <c r="H197">
        <f t="shared" si="37"/>
        <v>90</v>
      </c>
      <c r="I197" s="2">
        <f t="shared" si="38"/>
        <v>0.13528919707990711</v>
      </c>
      <c r="J197" s="2" cm="1">
        <f t="array" ref="J197">SQRT(SUM(IF(F138:F197&lt;AVERAGE(F138:F197),(F138:F197-AVERAGE(F138:F197))^2, 0)) / COUNT(F138:F197))*SQRT(365)</f>
        <v>0.10032456999883278</v>
      </c>
      <c r="K197" s="2">
        <f t="shared" si="33"/>
        <v>0.12865526869020594</v>
      </c>
      <c r="L197">
        <f t="shared" si="34"/>
        <v>176</v>
      </c>
      <c r="M197" s="2">
        <f t="shared" si="35"/>
        <v>0.13935496174866741</v>
      </c>
      <c r="N197" s="2" cm="1">
        <f t="array" ref="N197">SQRT(SUM(IF(F78:F197&lt;AVERAGE(F78:F197),(F78:F197-AVERAGE(F78:F197))^2, 0)) / COUNT(F78:F197))*SQRT(365)</f>
        <v>0.1012273573974555</v>
      </c>
      <c r="O197" s="2">
        <f t="shared" si="40"/>
        <v>1.0427266085754443</v>
      </c>
      <c r="P197">
        <f t="shared" si="41"/>
        <v>1</v>
      </c>
      <c r="Q197">
        <f t="shared" si="42"/>
        <v>0</v>
      </c>
      <c r="R197">
        <f t="shared" si="43"/>
        <v>1</v>
      </c>
    </row>
    <row r="198" spans="1:18" x14ac:dyDescent="0.3">
      <c r="A198" s="1">
        <v>45231</v>
      </c>
      <c r="B198">
        <v>16038.56</v>
      </c>
      <c r="C198" s="2">
        <f t="shared" si="44"/>
        <v>2.3277287574516923E-3</v>
      </c>
      <c r="D198">
        <f t="shared" si="45"/>
        <v>1</v>
      </c>
      <c r="E198" s="2">
        <f t="shared" si="46"/>
        <v>2.3277287574516923E-3</v>
      </c>
      <c r="F198" s="2">
        <f t="shared" si="39"/>
        <v>2.3277287574516923E-3</v>
      </c>
      <c r="G198" s="2">
        <f t="shared" si="36"/>
        <v>7.7661606113915052E-2</v>
      </c>
      <c r="H198">
        <f t="shared" si="37"/>
        <v>89</v>
      </c>
      <c r="I198" s="2">
        <f t="shared" si="38"/>
        <v>0.1354843250194194</v>
      </c>
      <c r="J198" s="2" cm="1">
        <f t="array" ref="J198">SQRT(SUM(IF(F139:F198&lt;AVERAGE(F139:F198),(F139:F198-AVERAGE(F139:F198))^2, 0)) / COUNT(F139:F198))*SQRT(365)</f>
        <v>0.10103913866357704</v>
      </c>
      <c r="K198" s="2">
        <f t="shared" si="33"/>
        <v>0.12865526869020594</v>
      </c>
      <c r="L198">
        <f t="shared" si="34"/>
        <v>176</v>
      </c>
      <c r="M198" s="2">
        <f t="shared" si="35"/>
        <v>0.13937744052683335</v>
      </c>
      <c r="N198" s="2" cm="1">
        <f t="array" ref="N198">SQRT(SUM(IF(F79:F198&lt;AVERAGE(F79:F198),(F79:F198-AVERAGE(F79:F198))^2, 0)) / COUNT(F79:F198))*SQRT(365)</f>
        <v>0.10127288402139135</v>
      </c>
      <c r="O198" s="2">
        <f t="shared" si="40"/>
        <v>1.043786349896749</v>
      </c>
      <c r="P198">
        <f t="shared" si="41"/>
        <v>1</v>
      </c>
      <c r="Q198">
        <f t="shared" si="42"/>
        <v>0</v>
      </c>
      <c r="R198">
        <f t="shared" si="43"/>
        <v>1</v>
      </c>
    </row>
    <row r="199" spans="1:18" x14ac:dyDescent="0.3">
      <c r="A199" s="1">
        <v>45232</v>
      </c>
      <c r="B199">
        <v>16396.95</v>
      </c>
      <c r="C199" s="2">
        <f t="shared" si="44"/>
        <v>2.2099519077584274E-2</v>
      </c>
      <c r="D199">
        <f t="shared" si="45"/>
        <v>1</v>
      </c>
      <c r="E199" s="2">
        <f t="shared" si="46"/>
        <v>2.2099519077584274E-2</v>
      </c>
      <c r="F199" s="2">
        <f t="shared" si="39"/>
        <v>2.2099519077584274E-2</v>
      </c>
      <c r="G199" s="2">
        <f t="shared" si="36"/>
        <v>7.7661606113915052E-2</v>
      </c>
      <c r="H199">
        <f t="shared" si="37"/>
        <v>87</v>
      </c>
      <c r="I199" s="2">
        <f t="shared" si="38"/>
        <v>0.14611931508042553</v>
      </c>
      <c r="J199" s="2" cm="1">
        <f t="array" ref="J199">SQRT(SUM(IF(F140:F199&lt;AVERAGE(F140:F199),(F140:F199-AVERAGE(F140:F199))^2, 0)) / COUNT(F140:F199))*SQRT(365)</f>
        <v>0.10395850080166615</v>
      </c>
      <c r="K199" s="2">
        <f t="shared" si="33"/>
        <v>0.15237483868634535</v>
      </c>
      <c r="L199">
        <f t="shared" si="34"/>
        <v>176</v>
      </c>
      <c r="M199" s="2">
        <f t="shared" si="35"/>
        <v>0.14417099650920348</v>
      </c>
      <c r="N199" s="2" cm="1">
        <f t="array" ref="N199">SQRT(SUM(IF(F80:F199&lt;AVERAGE(F80:F199),(F80:F199-AVERAGE(F80:F199))^2, 0)) / COUNT(F80:F199))*SQRT(365)</f>
        <v>0.1031205094268861</v>
      </c>
      <c r="O199" s="2">
        <f t="shared" si="40"/>
        <v>1.0212661501071847</v>
      </c>
      <c r="P199">
        <f t="shared" si="41"/>
        <v>1</v>
      </c>
      <c r="Q199">
        <f t="shared" si="42"/>
        <v>0</v>
      </c>
      <c r="R199">
        <f t="shared" si="43"/>
        <v>1</v>
      </c>
    </row>
    <row r="200" spans="1:18" x14ac:dyDescent="0.3">
      <c r="A200" s="1">
        <v>45233</v>
      </c>
      <c r="B200">
        <v>16507.650000000001</v>
      </c>
      <c r="C200" s="2">
        <f t="shared" si="44"/>
        <v>6.7285678992533519E-3</v>
      </c>
      <c r="D200">
        <f t="shared" si="45"/>
        <v>1</v>
      </c>
      <c r="E200" s="2">
        <f t="shared" si="46"/>
        <v>6.7285678992533519E-3</v>
      </c>
      <c r="F200" s="2">
        <f t="shared" si="39"/>
        <v>6.7285678992533519E-3</v>
      </c>
      <c r="G200" s="2">
        <f t="shared" si="36"/>
        <v>0.15367342915029342</v>
      </c>
      <c r="H200">
        <f t="shared" si="37"/>
        <v>87</v>
      </c>
      <c r="I200" s="2">
        <f t="shared" si="38"/>
        <v>0.1462764561462617</v>
      </c>
      <c r="J200" s="2" cm="1">
        <f t="array" ref="J200">SQRT(SUM(IF(F141:F200&lt;AVERAGE(F141:F200),(F141:F200-AVERAGE(F141:F200))^2, 0)) / COUNT(F141:F200))*SQRT(365)</f>
        <v>0.10506189748208926</v>
      </c>
      <c r="K200" s="2">
        <f t="shared" si="33"/>
        <v>0.17739299914643283</v>
      </c>
      <c r="L200">
        <f t="shared" si="34"/>
        <v>176</v>
      </c>
      <c r="M200" s="2">
        <f t="shared" si="35"/>
        <v>0.14380028176753687</v>
      </c>
      <c r="N200" s="2" cm="1">
        <f t="array" ref="N200">SQRT(SUM(IF(F81:F200&lt;AVERAGE(F81:F200),(F81:F200-AVERAGE(F81:F200))^2, 0)) / COUNT(F81:F200))*SQRT(365)</f>
        <v>0.10329001829382409</v>
      </c>
      <c r="O200" s="2">
        <f t="shared" si="40"/>
        <v>1.0106023570889857</v>
      </c>
      <c r="P200">
        <f t="shared" si="41"/>
        <v>0</v>
      </c>
      <c r="Q200">
        <f t="shared" si="42"/>
        <v>0</v>
      </c>
      <c r="R200">
        <f t="shared" si="43"/>
        <v>0</v>
      </c>
    </row>
    <row r="201" spans="1:18" x14ac:dyDescent="0.3">
      <c r="A201" s="1">
        <v>45236</v>
      </c>
      <c r="B201">
        <v>16649.36</v>
      </c>
      <c r="C201" s="2">
        <f t="shared" si="44"/>
        <v>8.5478674251967968E-3</v>
      </c>
      <c r="D201">
        <f t="shared" si="45"/>
        <v>3</v>
      </c>
      <c r="E201" s="2">
        <f t="shared" si="46"/>
        <v>2.8492891417322658E-3</v>
      </c>
      <c r="F201" s="2">
        <f t="shared" si="39"/>
        <v>4.935113558934604E-3</v>
      </c>
      <c r="G201" s="2">
        <f t="shared" si="36"/>
        <v>0.19896146475163615</v>
      </c>
      <c r="H201">
        <f t="shared" si="37"/>
        <v>89</v>
      </c>
      <c r="I201" s="2">
        <f t="shared" si="38"/>
        <v>0.1468454227671587</v>
      </c>
      <c r="J201" s="2" cm="1">
        <f t="array" ref="J201">SQRT(SUM(IF(F142:F201&lt;AVERAGE(F142:F201),(F142:F201-AVERAGE(F142:F201))^2, 0)) / COUNT(F142:F201))*SQRT(365)</f>
        <v>0.10597178461129347</v>
      </c>
      <c r="K201" s="2">
        <f t="shared" si="33"/>
        <v>0.19896146475163615</v>
      </c>
      <c r="L201">
        <f t="shared" si="34"/>
        <v>178</v>
      </c>
      <c r="M201" s="2">
        <f t="shared" si="35"/>
        <v>0.14398738644942921</v>
      </c>
      <c r="N201" s="2" cm="1">
        <f t="array" ref="N201">SQRT(SUM(IF(F82:F201&lt;AVERAGE(F82:F201),(F82:F201-AVERAGE(F82:F201))^2, 0)) / COUNT(F82:F201))*SQRT(365)</f>
        <v>0.10374839451226427</v>
      </c>
      <c r="O201" s="2">
        <f t="shared" si="40"/>
        <v>1.0114076456992942</v>
      </c>
      <c r="P201">
        <f t="shared" si="41"/>
        <v>0</v>
      </c>
      <c r="Q201">
        <f t="shared" si="42"/>
        <v>0</v>
      </c>
      <c r="R201">
        <f t="shared" si="43"/>
        <v>0</v>
      </c>
    </row>
    <row r="202" spans="1:18" x14ac:dyDescent="0.3">
      <c r="A202" s="1">
        <v>45237</v>
      </c>
      <c r="B202">
        <v>16684.95</v>
      </c>
      <c r="C202" s="2">
        <f t="shared" si="44"/>
        <v>2.1353382459826003E-3</v>
      </c>
      <c r="D202">
        <f t="shared" si="45"/>
        <v>1</v>
      </c>
      <c r="E202" s="2">
        <f t="shared" si="46"/>
        <v>2.1353382459826003E-3</v>
      </c>
      <c r="F202" s="2">
        <f t="shared" si="39"/>
        <v>2.1353382459826003E-3</v>
      </c>
      <c r="G202" s="2">
        <f t="shared" si="36"/>
        <v>0.2164743050820524</v>
      </c>
      <c r="H202">
        <f t="shared" si="37"/>
        <v>89</v>
      </c>
      <c r="I202" s="2">
        <f t="shared" si="38"/>
        <v>0.14274927216141853</v>
      </c>
      <c r="J202" s="2" cm="1">
        <f t="array" ref="J202">SQRT(SUM(IF(F143:F202&lt;AVERAGE(F143:F202),(F143:F202-AVERAGE(F143:F202))^2, 0)) / COUNT(F143:F202))*SQRT(365)</f>
        <v>0.10302640036482576</v>
      </c>
      <c r="K202" s="2">
        <f t="shared" si="33"/>
        <v>0.2164743050820524</v>
      </c>
      <c r="L202">
        <f t="shared" si="34"/>
        <v>176</v>
      </c>
      <c r="M202" s="2">
        <f t="shared" si="35"/>
        <v>0.14398622636740629</v>
      </c>
      <c r="N202" s="2" cm="1">
        <f t="array" ref="N202">SQRT(SUM(IF(F83:F202&lt;AVERAGE(F83:F202),(F83:F202-AVERAGE(F83:F202))^2, 0)) / COUNT(F83:F202))*SQRT(365)</f>
        <v>0.10397760255231615</v>
      </c>
      <c r="O202" s="2">
        <f t="shared" si="40"/>
        <v>1.0138304280204615</v>
      </c>
      <c r="P202">
        <f t="shared" si="41"/>
        <v>0</v>
      </c>
      <c r="Q202">
        <f t="shared" si="42"/>
        <v>0</v>
      </c>
      <c r="R202">
        <f t="shared" si="43"/>
        <v>0</v>
      </c>
    </row>
    <row r="203" spans="1:18" x14ac:dyDescent="0.3">
      <c r="A203" s="1">
        <v>45238</v>
      </c>
      <c r="B203">
        <v>16740.830000000002</v>
      </c>
      <c r="C203" s="2">
        <f t="shared" si="44"/>
        <v>3.3435301768736663E-3</v>
      </c>
      <c r="D203">
        <f t="shared" si="45"/>
        <v>1</v>
      </c>
      <c r="E203" s="2">
        <f t="shared" si="46"/>
        <v>3.3435301768736663E-3</v>
      </c>
      <c r="F203" s="2">
        <f t="shared" si="39"/>
        <v>3.3435301768736663E-3</v>
      </c>
      <c r="G203" s="2">
        <f t="shared" si="36"/>
        <v>0.24555251971800129</v>
      </c>
      <c r="H203">
        <f t="shared" si="37"/>
        <v>89</v>
      </c>
      <c r="I203" s="2">
        <f t="shared" si="38"/>
        <v>0.14288014019116341</v>
      </c>
      <c r="J203" s="2" cm="1">
        <f t="array" ref="J203">SQRT(SUM(IF(F144:F203&lt;AVERAGE(F144:F203),(F144:F203-AVERAGE(F144:F203))^2, 0)) / COUNT(F144:F203))*SQRT(365)</f>
        <v>0.10380299657071415</v>
      </c>
      <c r="K203" s="2">
        <f t="shared" si="33"/>
        <v>0.2164743050820524</v>
      </c>
      <c r="L203">
        <f t="shared" si="34"/>
        <v>176</v>
      </c>
      <c r="M203" s="2">
        <f t="shared" si="35"/>
        <v>0.14247138299995352</v>
      </c>
      <c r="N203" s="2" cm="1">
        <f t="array" ref="N203">SQRT(SUM(IF(F84:F203&lt;AVERAGE(F84:F203),(F84:F203-AVERAGE(F84:F203))^2, 0)) / COUNT(F84:F203))*SQRT(365)</f>
        <v>0.10318458795251031</v>
      </c>
      <c r="O203" s="2">
        <f t="shared" si="40"/>
        <v>1.0231738808649271</v>
      </c>
      <c r="P203">
        <f t="shared" si="41"/>
        <v>1</v>
      </c>
      <c r="Q203">
        <f t="shared" si="42"/>
        <v>0</v>
      </c>
      <c r="R203">
        <f t="shared" si="43"/>
        <v>1</v>
      </c>
    </row>
    <row r="204" spans="1:18" x14ac:dyDescent="0.3">
      <c r="A204" s="1">
        <v>45239</v>
      </c>
      <c r="B204">
        <v>16745.650000000001</v>
      </c>
      <c r="C204" s="2">
        <f t="shared" si="44"/>
        <v>2.8787737817088113E-4</v>
      </c>
      <c r="D204">
        <f t="shared" si="45"/>
        <v>1</v>
      </c>
      <c r="E204" s="2">
        <f t="shared" si="46"/>
        <v>2.8787737817088113E-4</v>
      </c>
      <c r="F204" s="2">
        <f t="shared" si="39"/>
        <v>2.8787737817088113E-4</v>
      </c>
      <c r="G204" s="2">
        <f t="shared" si="36"/>
        <v>0.24555251971800129</v>
      </c>
      <c r="H204">
        <f t="shared" si="37"/>
        <v>87</v>
      </c>
      <c r="I204" s="2">
        <f t="shared" si="38"/>
        <v>0.14166582691779567</v>
      </c>
      <c r="J204" s="2" cm="1">
        <f t="array" ref="J204">SQRT(SUM(IF(F145:F204&lt;AVERAGE(F145:F204),(F145:F204-AVERAGE(F145:F204))^2, 0)) / COUNT(F145:F204))*SQRT(365)</f>
        <v>0.10342625453342746</v>
      </c>
      <c r="K204" s="2">
        <f t="shared" si="33"/>
        <v>0.19896146475163615</v>
      </c>
      <c r="L204">
        <f t="shared" si="34"/>
        <v>176</v>
      </c>
      <c r="M204" s="2">
        <f t="shared" si="35"/>
        <v>0.13987313441073651</v>
      </c>
      <c r="N204" s="2" cm="1">
        <f t="array" ref="N204">SQRT(SUM(IF(F85:F204&lt;AVERAGE(F85:F204),(F85:F204-AVERAGE(F85:F204))^2, 0)) / COUNT(F85:F204))*SQRT(365)</f>
        <v>0.10187967191695545</v>
      </c>
      <c r="O204" s="2">
        <f t="shared" si="40"/>
        <v>1.0254113754915455</v>
      </c>
      <c r="P204">
        <f t="shared" si="41"/>
        <v>1</v>
      </c>
      <c r="Q204">
        <f t="shared" si="42"/>
        <v>0</v>
      </c>
      <c r="R204">
        <f t="shared" si="43"/>
        <v>1</v>
      </c>
    </row>
    <row r="205" spans="1:18" x14ac:dyDescent="0.3">
      <c r="A205" s="1">
        <v>45240</v>
      </c>
      <c r="B205">
        <v>16682.669999999998</v>
      </c>
      <c r="C205" s="2">
        <f t="shared" si="44"/>
        <v>-3.7680669873657205E-3</v>
      </c>
      <c r="D205">
        <f t="shared" si="45"/>
        <v>1</v>
      </c>
      <c r="E205" s="2">
        <f t="shared" si="46"/>
        <v>-3.7680669873657205E-3</v>
      </c>
      <c r="F205" s="2">
        <f t="shared" si="39"/>
        <v>-3.7680669873657205E-3</v>
      </c>
      <c r="G205" s="2">
        <f t="shared" si="36"/>
        <v>0.2164743050820524</v>
      </c>
      <c r="H205">
        <f t="shared" si="37"/>
        <v>87</v>
      </c>
      <c r="I205" s="2">
        <f t="shared" si="38"/>
        <v>0.14174174866319386</v>
      </c>
      <c r="J205" s="2" cm="1">
        <f t="array" ref="J205">SQRT(SUM(IF(F146:F205&lt;AVERAGE(F146:F205),(F146:F205-AVERAGE(F146:F205))^2, 0)) / COUNT(F146:F205))*SQRT(365)</f>
        <v>0.1026464190594373</v>
      </c>
      <c r="K205" s="2">
        <f t="shared" si="33"/>
        <v>0.17739299914643283</v>
      </c>
      <c r="L205">
        <f t="shared" si="34"/>
        <v>176</v>
      </c>
      <c r="M205" s="2">
        <f t="shared" si="35"/>
        <v>0.13879469944510919</v>
      </c>
      <c r="N205" s="2" cm="1">
        <f t="array" ref="N205">SQRT(SUM(IF(F86:F205&lt;AVERAGE(F86:F205),(F86:F205-AVERAGE(F86:F205))^2, 0)) / COUNT(F86:F205))*SQRT(365)</f>
        <v>0.1008987970031697</v>
      </c>
      <c r="O205" s="2">
        <f t="shared" si="40"/>
        <v>1.0315465090420179</v>
      </c>
      <c r="P205">
        <f t="shared" si="41"/>
        <v>1</v>
      </c>
      <c r="Q205">
        <f t="shared" si="42"/>
        <v>0</v>
      </c>
      <c r="R205">
        <f t="shared" si="43"/>
        <v>1</v>
      </c>
    </row>
    <row r="206" spans="1:18" x14ac:dyDescent="0.3">
      <c r="A206" s="1">
        <v>45243</v>
      </c>
      <c r="B206">
        <v>16839.29</v>
      </c>
      <c r="C206" s="2">
        <f t="shared" si="44"/>
        <v>9.3443903422686398E-3</v>
      </c>
      <c r="D206">
        <f t="shared" si="45"/>
        <v>3</v>
      </c>
      <c r="E206" s="2">
        <f t="shared" si="46"/>
        <v>3.1147967807562131E-3</v>
      </c>
      <c r="F206" s="2">
        <f t="shared" si="39"/>
        <v>5.3949862795217391E-3</v>
      </c>
      <c r="G206" s="2">
        <f t="shared" si="36"/>
        <v>0.24555251971800129</v>
      </c>
      <c r="H206">
        <f t="shared" si="37"/>
        <v>89</v>
      </c>
      <c r="I206" s="2">
        <f t="shared" si="38"/>
        <v>0.14232023390862408</v>
      </c>
      <c r="J206" s="2" cm="1">
        <f t="array" ref="J206">SQRT(SUM(IF(F147:F206&lt;AVERAGE(F147:F206),(F147:F206-AVERAGE(F147:F206))^2, 0)) / COUNT(F147:F206))*SQRT(365)</f>
        <v>0.1036184316355135</v>
      </c>
      <c r="K206" s="2">
        <f t="shared" si="33"/>
        <v>0.17739299914643283</v>
      </c>
      <c r="L206">
        <f t="shared" si="34"/>
        <v>178</v>
      </c>
      <c r="M206" s="2">
        <f t="shared" si="35"/>
        <v>0.13888493757655565</v>
      </c>
      <c r="N206" s="2" cm="1">
        <f t="array" ref="N206">SQRT(SUM(IF(F87:F206&lt;AVERAGE(F87:F206),(F87:F206-AVERAGE(F87:F206))^2, 0)) / COUNT(F87:F206))*SQRT(365)</f>
        <v>0.10097118990775651</v>
      </c>
      <c r="O206" s="2">
        <f t="shared" si="40"/>
        <v>1.0220424970411461</v>
      </c>
      <c r="P206">
        <f t="shared" si="41"/>
        <v>1</v>
      </c>
      <c r="Q206">
        <f t="shared" si="42"/>
        <v>0</v>
      </c>
      <c r="R206">
        <f t="shared" si="43"/>
        <v>1</v>
      </c>
    </row>
    <row r="207" spans="1:18" x14ac:dyDescent="0.3">
      <c r="A207" s="1">
        <v>45244</v>
      </c>
      <c r="B207">
        <v>16915.71</v>
      </c>
      <c r="C207" s="2">
        <f t="shared" si="44"/>
        <v>4.5279295253711485E-3</v>
      </c>
      <c r="D207">
        <f t="shared" si="45"/>
        <v>1</v>
      </c>
      <c r="E207" s="2">
        <f t="shared" si="46"/>
        <v>4.5279295253711485E-3</v>
      </c>
      <c r="F207" s="2">
        <f t="shared" si="39"/>
        <v>4.5279295253711485E-3</v>
      </c>
      <c r="G207" s="2">
        <f t="shared" si="36"/>
        <v>0.24555251971800129</v>
      </c>
      <c r="H207">
        <f t="shared" si="37"/>
        <v>89</v>
      </c>
      <c r="I207" s="2">
        <f t="shared" si="38"/>
        <v>0.14237202195705684</v>
      </c>
      <c r="J207" s="2" cm="1">
        <f t="array" ref="J207">SQRT(SUM(IF(F148:F207&lt;AVERAGE(F148:F207),(F148:F207-AVERAGE(F148:F207))^2, 0)) / COUNT(F148:F207))*SQRT(365)</f>
        <v>0.10366673903856893</v>
      </c>
      <c r="K207" s="2">
        <f t="shared" si="33"/>
        <v>0.19896146475163615</v>
      </c>
      <c r="L207">
        <f t="shared" si="34"/>
        <v>176</v>
      </c>
      <c r="M207" s="2">
        <f t="shared" si="35"/>
        <v>0.13908378713071584</v>
      </c>
      <c r="N207" s="2" cm="1">
        <f t="array" ref="N207">SQRT(SUM(IF(F88:F207&lt;AVERAGE(F88:F207),(F88:F207-AVERAGE(F88:F207))^2, 0)) / COUNT(F88:F207))*SQRT(365)</f>
        <v>0.10133101965040865</v>
      </c>
      <c r="O207" s="2">
        <f t="shared" si="40"/>
        <v>1.0296168472975713</v>
      </c>
      <c r="P207">
        <f t="shared" si="41"/>
        <v>1</v>
      </c>
      <c r="Q207">
        <f t="shared" si="42"/>
        <v>0</v>
      </c>
      <c r="R207">
        <f t="shared" si="43"/>
        <v>1</v>
      </c>
    </row>
    <row r="208" spans="1:18" x14ac:dyDescent="0.3">
      <c r="A208" s="1">
        <v>45245</v>
      </c>
      <c r="B208">
        <v>17128.78</v>
      </c>
      <c r="C208" s="2">
        <f t="shared" si="44"/>
        <v>1.2517313787490027E-2</v>
      </c>
      <c r="D208">
        <f t="shared" si="45"/>
        <v>1</v>
      </c>
      <c r="E208" s="2">
        <f t="shared" si="46"/>
        <v>1.2517313787490027E-2</v>
      </c>
      <c r="F208" s="2">
        <f t="shared" si="39"/>
        <v>1.2517313787490027E-2</v>
      </c>
      <c r="G208" s="2">
        <f t="shared" si="36"/>
        <v>0.44194584268602899</v>
      </c>
      <c r="H208">
        <f t="shared" si="37"/>
        <v>89</v>
      </c>
      <c r="I208" s="2">
        <f t="shared" si="38"/>
        <v>0.14391569104494087</v>
      </c>
      <c r="J208" s="2" cm="1">
        <f t="array" ref="J208">SQRT(SUM(IF(F149:F208&lt;AVERAGE(F149:F208),(F149:F208-AVERAGE(F149:F208))^2, 0)) / COUNT(F149:F208))*SQRT(365)</f>
        <v>0.10494422901664137</v>
      </c>
      <c r="K208" s="2">
        <f t="shared" si="33"/>
        <v>0.2164743050820524</v>
      </c>
      <c r="L208">
        <f t="shared" si="34"/>
        <v>176</v>
      </c>
      <c r="M208" s="2">
        <f t="shared" si="35"/>
        <v>0.14070648678424358</v>
      </c>
      <c r="N208" s="2" cm="1">
        <f t="array" ref="N208">SQRT(SUM(IF(F89:F208&lt;AVERAGE(F89:F208),(F89:F208-AVERAGE(F89:F208))^2, 0)) / COUNT(F89:F208))*SQRT(365)</f>
        <v>0.1023428849524488</v>
      </c>
      <c r="O208" s="2">
        <f t="shared" si="40"/>
        <v>1.0105950336217757</v>
      </c>
      <c r="P208">
        <f t="shared" si="41"/>
        <v>0</v>
      </c>
      <c r="Q208">
        <f t="shared" si="42"/>
        <v>0</v>
      </c>
      <c r="R208">
        <f t="shared" si="43"/>
        <v>0</v>
      </c>
    </row>
    <row r="209" spans="1:18" x14ac:dyDescent="0.3">
      <c r="A209" s="1">
        <v>45246</v>
      </c>
      <c r="B209">
        <v>17171.18</v>
      </c>
      <c r="C209" s="2">
        <f t="shared" si="44"/>
        <v>2.4723073494433835E-3</v>
      </c>
      <c r="D209">
        <f t="shared" si="45"/>
        <v>1</v>
      </c>
      <c r="E209" s="2">
        <f t="shared" si="46"/>
        <v>2.4723073494433835E-3</v>
      </c>
      <c r="F209" s="2">
        <f t="shared" si="39"/>
        <v>2.4723073494433835E-3</v>
      </c>
      <c r="G209" s="2">
        <f t="shared" si="36"/>
        <v>0.6438928197066387</v>
      </c>
      <c r="H209">
        <f t="shared" si="37"/>
        <v>87</v>
      </c>
      <c r="I209" s="2">
        <f t="shared" si="38"/>
        <v>0.1439817357635281</v>
      </c>
      <c r="J209" s="2" cm="1">
        <f t="array" ref="J209">SQRT(SUM(IF(F150:F209&lt;AVERAGE(F150:F209),(F150:F209-AVERAGE(F150:F209))^2, 0)) / COUNT(F150:F209))*SQRT(365)</f>
        <v>0.105342408577702</v>
      </c>
      <c r="K209" s="2">
        <f t="shared" si="33"/>
        <v>0.24555251971800129</v>
      </c>
      <c r="L209">
        <f t="shared" si="34"/>
        <v>176</v>
      </c>
      <c r="M209" s="2">
        <f t="shared" si="35"/>
        <v>0.1407000071287568</v>
      </c>
      <c r="N209" s="2" cm="1">
        <f t="array" ref="N209">SQRT(SUM(IF(F90:F209&lt;AVERAGE(F90:F209),(F90:F209-AVERAGE(F90:F209))^2, 0)) / COUNT(F90:F209))*SQRT(365)</f>
        <v>0.10262798387834338</v>
      </c>
      <c r="O209" s="2">
        <f t="shared" si="40"/>
        <v>1.0071847129900215</v>
      </c>
      <c r="P209">
        <f t="shared" si="41"/>
        <v>0</v>
      </c>
      <c r="Q209">
        <f t="shared" si="42"/>
        <v>0</v>
      </c>
      <c r="R209">
        <f t="shared" si="43"/>
        <v>0</v>
      </c>
    </row>
    <row r="210" spans="1:18" x14ac:dyDescent="0.3">
      <c r="A210" s="1">
        <v>45247</v>
      </c>
      <c r="B210">
        <v>17208.95</v>
      </c>
      <c r="C210" s="2">
        <f t="shared" si="44"/>
        <v>2.1972002546326468E-3</v>
      </c>
      <c r="D210">
        <f t="shared" si="45"/>
        <v>1</v>
      </c>
      <c r="E210" s="2">
        <f t="shared" si="46"/>
        <v>2.1972002546326468E-3</v>
      </c>
      <c r="F210" s="2">
        <f t="shared" si="39"/>
        <v>2.1972002546326468E-3</v>
      </c>
      <c r="G210" s="2">
        <f t="shared" si="36"/>
        <v>0.6438928197066387</v>
      </c>
      <c r="H210">
        <f t="shared" si="37"/>
        <v>87</v>
      </c>
      <c r="I210" s="2">
        <f t="shared" si="38"/>
        <v>0.1438670472464546</v>
      </c>
      <c r="J210" s="2" cm="1">
        <f t="array" ref="J210">SQRT(SUM(IF(F151:F210&lt;AVERAGE(F151:F210),(F151:F210-AVERAGE(F151:F210))^2, 0)) / COUNT(F151:F210))*SQRT(365)</f>
        <v>0.10513985770123284</v>
      </c>
      <c r="K210" s="2">
        <f t="shared" si="33"/>
        <v>0.24555251971800129</v>
      </c>
      <c r="L210">
        <f t="shared" si="34"/>
        <v>176</v>
      </c>
      <c r="M210" s="2">
        <f t="shared" si="35"/>
        <v>0.14007603019284365</v>
      </c>
      <c r="N210" s="2" cm="1">
        <f t="array" ref="N210">SQRT(SUM(IF(F91:F210&lt;AVERAGE(F91:F210),(F91:F210-AVERAGE(F91:F210))^2, 0)) / COUNT(F91:F210))*SQRT(365)</f>
        <v>0.10212773338962718</v>
      </c>
      <c r="O210" s="2">
        <f t="shared" si="40"/>
        <v>1.0045598365966546</v>
      </c>
      <c r="P210">
        <f t="shared" si="41"/>
        <v>0</v>
      </c>
      <c r="Q210">
        <f t="shared" si="42"/>
        <v>0</v>
      </c>
      <c r="R210">
        <f t="shared" si="43"/>
        <v>0</v>
      </c>
    </row>
    <row r="211" spans="1:18" x14ac:dyDescent="0.3">
      <c r="A211" s="1">
        <v>45250</v>
      </c>
      <c r="B211">
        <v>17210.47</v>
      </c>
      <c r="C211" s="2">
        <f t="shared" si="44"/>
        <v>8.8322232099598573E-5</v>
      </c>
      <c r="D211">
        <f t="shared" si="45"/>
        <v>3</v>
      </c>
      <c r="E211" s="2">
        <f t="shared" si="46"/>
        <v>2.9440744033199525E-5</v>
      </c>
      <c r="F211" s="2">
        <f t="shared" si="39"/>
        <v>5.0992864478131843E-5</v>
      </c>
      <c r="G211" s="2">
        <f t="shared" si="36"/>
        <v>0.44194584268602899</v>
      </c>
      <c r="H211">
        <f t="shared" si="37"/>
        <v>89</v>
      </c>
      <c r="I211" s="2">
        <f t="shared" si="38"/>
        <v>0.14252703846805384</v>
      </c>
      <c r="J211" s="2" cm="1">
        <f t="array" ref="J211">SQRT(SUM(IF(F152:F211&lt;AVERAGE(F152:F211),(F152:F211-AVERAGE(F152:F211))^2, 0)) / COUNT(F152:F211))*SQRT(365)</f>
        <v>0.10376205615794915</v>
      </c>
      <c r="K211" s="2">
        <f t="shared" si="33"/>
        <v>0.2164743050820524</v>
      </c>
      <c r="L211">
        <f t="shared" si="34"/>
        <v>178</v>
      </c>
      <c r="M211" s="2">
        <f t="shared" si="35"/>
        <v>0.13831110048262976</v>
      </c>
      <c r="N211" s="2" cm="1">
        <f t="array" ref="N211">SQRT(SUM(IF(F92:F211&lt;AVERAGE(F92:F211),(F92:F211-AVERAGE(F92:F211))^2, 0)) / COUNT(F92:F211))*SQRT(365)</f>
        <v>0.10105158755013921</v>
      </c>
      <c r="O211" s="2">
        <f t="shared" si="40"/>
        <v>0.99575549069839442</v>
      </c>
      <c r="P211">
        <f t="shared" si="41"/>
        <v>0</v>
      </c>
      <c r="Q211">
        <f t="shared" si="42"/>
        <v>0</v>
      </c>
      <c r="R211">
        <f t="shared" si="43"/>
        <v>0</v>
      </c>
    </row>
    <row r="212" spans="1:18" x14ac:dyDescent="0.3">
      <c r="A212" s="1">
        <v>45251</v>
      </c>
      <c r="B212">
        <v>17416.7</v>
      </c>
      <c r="C212" s="2">
        <f t="shared" si="44"/>
        <v>1.1911596496371848E-2</v>
      </c>
      <c r="D212">
        <f t="shared" si="45"/>
        <v>1</v>
      </c>
      <c r="E212" s="2">
        <f t="shared" si="46"/>
        <v>1.1911596496371848E-2</v>
      </c>
      <c r="F212" s="2">
        <f t="shared" si="39"/>
        <v>1.1911596496371848E-2</v>
      </c>
      <c r="G212" s="2">
        <f t="shared" si="36"/>
        <v>0.44194584268602899</v>
      </c>
      <c r="H212">
        <f t="shared" si="37"/>
        <v>89</v>
      </c>
      <c r="I212" s="2">
        <f t="shared" si="38"/>
        <v>0.14266339854955321</v>
      </c>
      <c r="J212" s="2" cm="1">
        <f t="array" ref="J212">SQRT(SUM(IF(F153:F212&lt;AVERAGE(F153:F212),(F153:F212-AVERAGE(F153:F212))^2, 0)) / COUNT(F153:F212))*SQRT(365)</f>
        <v>0.10380790643114897</v>
      </c>
      <c r="K212" s="2">
        <f t="shared" si="33"/>
        <v>0.2164743050820524</v>
      </c>
      <c r="L212">
        <f t="shared" si="34"/>
        <v>176</v>
      </c>
      <c r="M212" s="2">
        <f t="shared" si="35"/>
        <v>0.13959618899794396</v>
      </c>
      <c r="N212" s="2" cm="1">
        <f t="array" ref="N212">SQRT(SUM(IF(F93:F212&lt;AVERAGE(F93:F212),(F93:F212-AVERAGE(F93:F212))^2, 0)) / COUNT(F93:F212))*SQRT(365)</f>
        <v>0.10166180144344455</v>
      </c>
      <c r="O212" s="2">
        <f t="shared" si="40"/>
        <v>0.99566795087473514</v>
      </c>
      <c r="P212">
        <f t="shared" si="41"/>
        <v>0</v>
      </c>
      <c r="Q212">
        <f t="shared" si="42"/>
        <v>0</v>
      </c>
      <c r="R212">
        <f t="shared" si="43"/>
        <v>0</v>
      </c>
    </row>
    <row r="213" spans="1:18" x14ac:dyDescent="0.3">
      <c r="A213" s="1">
        <v>45252</v>
      </c>
      <c r="B213">
        <v>17310.259999999998</v>
      </c>
      <c r="C213" s="2">
        <f t="shared" si="44"/>
        <v>-6.1301267557356516E-3</v>
      </c>
      <c r="D213">
        <f t="shared" si="45"/>
        <v>1</v>
      </c>
      <c r="E213" s="2">
        <f t="shared" si="46"/>
        <v>-6.1301267557356516E-3</v>
      </c>
      <c r="F213" s="2">
        <f t="shared" si="39"/>
        <v>-6.1301267557356516E-3</v>
      </c>
      <c r="G213" s="2">
        <f t="shared" si="36"/>
        <v>0.44194584268602899</v>
      </c>
      <c r="H213">
        <f t="shared" si="37"/>
        <v>89</v>
      </c>
      <c r="I213" s="2">
        <f t="shared" si="38"/>
        <v>0.13649949807133074</v>
      </c>
      <c r="J213" s="2" cm="1">
        <f t="array" ref="J213">SQRT(SUM(IF(F154:F213&lt;AVERAGE(F154:F213),(F154:F213-AVERAGE(F154:F213))^2, 0)) / COUNT(F154:F213))*SQRT(365)</f>
        <v>9.7274229872238077E-2</v>
      </c>
      <c r="K213" s="2">
        <f t="shared" si="33"/>
        <v>0.2164743050820524</v>
      </c>
      <c r="L213">
        <f t="shared" si="34"/>
        <v>176</v>
      </c>
      <c r="M213" s="2">
        <f t="shared" si="35"/>
        <v>0.14003811372332214</v>
      </c>
      <c r="N213" s="2" cm="1">
        <f t="array" ref="N213">SQRT(SUM(IF(F94:F213&lt;AVERAGE(F94:F213),(F94:F213-AVERAGE(F94:F213))^2, 0)) / COUNT(F94:F213))*SQRT(365)</f>
        <v>0.10181965579249931</v>
      </c>
      <c r="O213" s="2">
        <f t="shared" si="40"/>
        <v>1.0034834832059139</v>
      </c>
      <c r="P213">
        <f t="shared" si="41"/>
        <v>0</v>
      </c>
      <c r="Q213">
        <f t="shared" si="42"/>
        <v>0</v>
      </c>
      <c r="R213">
        <f t="shared" si="43"/>
        <v>0</v>
      </c>
    </row>
    <row r="214" spans="1:18" x14ac:dyDescent="0.3">
      <c r="A214" s="1">
        <v>45253</v>
      </c>
      <c r="B214">
        <v>17294.55</v>
      </c>
      <c r="C214" s="2">
        <f t="shared" si="44"/>
        <v>-9.0796632487098413E-4</v>
      </c>
      <c r="D214">
        <f t="shared" si="45"/>
        <v>1</v>
      </c>
      <c r="E214" s="2">
        <f t="shared" si="46"/>
        <v>-9.0796632487098413E-4</v>
      </c>
      <c r="F214" s="2">
        <f t="shared" si="39"/>
        <v>-9.0796632487098413E-4</v>
      </c>
      <c r="G214" s="2">
        <f t="shared" si="36"/>
        <v>0.44194584268602899</v>
      </c>
      <c r="H214">
        <f t="shared" si="37"/>
        <v>87</v>
      </c>
      <c r="I214" s="2">
        <f t="shared" si="38"/>
        <v>0.13655247387846858</v>
      </c>
      <c r="J214" s="2" cm="1">
        <f t="array" ref="J214">SQRT(SUM(IF(F155:F214&lt;AVERAGE(F155:F214),(F155:F214-AVERAGE(F155:F214))^2, 0)) / COUNT(F155:F214))*SQRT(365)</f>
        <v>9.7031735723191265E-2</v>
      </c>
      <c r="K214" s="2">
        <f t="shared" si="33"/>
        <v>0.2164743050820524</v>
      </c>
      <c r="L214">
        <f t="shared" si="34"/>
        <v>176</v>
      </c>
      <c r="M214" s="2">
        <f t="shared" si="35"/>
        <v>0.13995949015560241</v>
      </c>
      <c r="N214" s="2" cm="1">
        <f t="array" ref="N214">SQRT(SUM(IF(F95:F214&lt;AVERAGE(F95:F214),(F95:F214-AVERAGE(F95:F214))^2, 0)) / COUNT(F95:F214))*SQRT(365)</f>
        <v>0.10185733878767179</v>
      </c>
      <c r="O214" s="2">
        <f t="shared" si="40"/>
        <v>1.0080545605407483</v>
      </c>
      <c r="P214">
        <f t="shared" si="41"/>
        <v>0</v>
      </c>
      <c r="Q214">
        <f t="shared" si="42"/>
        <v>0</v>
      </c>
      <c r="R214">
        <f t="shared" si="43"/>
        <v>0</v>
      </c>
    </row>
    <row r="215" spans="1:18" x14ac:dyDescent="0.3">
      <c r="A215" s="1">
        <v>45254</v>
      </c>
      <c r="B215">
        <v>17287.419999999998</v>
      </c>
      <c r="C215" s="2">
        <f t="shared" si="44"/>
        <v>-4.1235361091518261E-4</v>
      </c>
      <c r="D215">
        <f t="shared" si="45"/>
        <v>1</v>
      </c>
      <c r="E215" s="2">
        <f t="shared" si="46"/>
        <v>-4.1235361091518261E-4</v>
      </c>
      <c r="F215" s="2">
        <f t="shared" si="39"/>
        <v>-4.1235361091518261E-4</v>
      </c>
      <c r="G215" s="2">
        <f t="shared" si="36"/>
        <v>0.24555251971800129</v>
      </c>
      <c r="H215">
        <f t="shared" si="37"/>
        <v>87</v>
      </c>
      <c r="I215" s="2">
        <f t="shared" si="38"/>
        <v>0.13566461121344101</v>
      </c>
      <c r="J215" s="2" cm="1">
        <f t="array" ref="J215">SQRT(SUM(IF(F156:F215&lt;AVERAGE(F156:F215),(F156:F215-AVERAGE(F156:F215))^2, 0)) / COUNT(F156:F215))*SQRT(365)</f>
        <v>9.5817153188150775E-2</v>
      </c>
      <c r="K215" s="2">
        <f t="shared" si="33"/>
        <v>0.2164743050820524</v>
      </c>
      <c r="L215">
        <f t="shared" si="34"/>
        <v>176</v>
      </c>
      <c r="M215" s="2">
        <f t="shared" si="35"/>
        <v>0.13975962077181717</v>
      </c>
      <c r="N215" s="2" cm="1">
        <f t="array" ref="N215">SQRT(SUM(IF(F96:F215&lt;AVERAGE(F96:F215),(F96:F215-AVERAGE(F96:F215))^2, 0)) / COUNT(F96:F215))*SQRT(365)</f>
        <v>0.10188505279289051</v>
      </c>
      <c r="O215" s="2">
        <f t="shared" si="40"/>
        <v>1.0087306260853268</v>
      </c>
      <c r="P215">
        <f t="shared" si="41"/>
        <v>0</v>
      </c>
      <c r="Q215">
        <f t="shared" si="42"/>
        <v>0</v>
      </c>
      <c r="R215">
        <f t="shared" si="43"/>
        <v>0</v>
      </c>
    </row>
    <row r="216" spans="1:18" x14ac:dyDescent="0.3">
      <c r="A216" s="1">
        <v>45257</v>
      </c>
      <c r="B216">
        <v>17137.419999999998</v>
      </c>
      <c r="C216" s="2">
        <f t="shared" si="44"/>
        <v>-8.7146926069744061E-3</v>
      </c>
      <c r="D216">
        <f t="shared" si="45"/>
        <v>3</v>
      </c>
      <c r="E216" s="2">
        <f t="shared" si="46"/>
        <v>-2.9048975356581355E-3</v>
      </c>
      <c r="F216" s="2">
        <f t="shared" si="39"/>
        <v>-5.0314301225415151E-3</v>
      </c>
      <c r="G216" s="2">
        <f t="shared" si="36"/>
        <v>0.21127400107735628</v>
      </c>
      <c r="H216">
        <f t="shared" si="37"/>
        <v>89</v>
      </c>
      <c r="I216" s="2">
        <f t="shared" si="38"/>
        <v>0.13569280004473086</v>
      </c>
      <c r="J216" s="2" cm="1">
        <f t="array" ref="J216">SQRT(SUM(IF(F157:F216&lt;AVERAGE(F157:F216),(F157:F216-AVERAGE(F157:F216))^2, 0)) / COUNT(F157:F216))*SQRT(365)</f>
        <v>9.4919308582533432E-2</v>
      </c>
      <c r="K216" s="2">
        <f t="shared" si="33"/>
        <v>0.19896146475163615</v>
      </c>
      <c r="L216">
        <f t="shared" si="34"/>
        <v>178</v>
      </c>
      <c r="M216" s="2">
        <f t="shared" si="35"/>
        <v>0.13863101550216289</v>
      </c>
      <c r="N216" s="2" cm="1">
        <f t="array" ref="N216">SQRT(SUM(IF(F97:F216&lt;AVERAGE(F97:F216),(F97:F216-AVERAGE(F97:F216))^2, 0)) / COUNT(F97:F216))*SQRT(365)</f>
        <v>0.10091432625273833</v>
      </c>
      <c r="O216" s="2">
        <f t="shared" si="40"/>
        <v>1.0165754238385942</v>
      </c>
      <c r="P216">
        <f t="shared" si="41"/>
        <v>1</v>
      </c>
      <c r="Q216">
        <f t="shared" si="42"/>
        <v>0</v>
      </c>
      <c r="R216">
        <f t="shared" si="43"/>
        <v>1</v>
      </c>
    </row>
    <row r="217" spans="1:18" x14ac:dyDescent="0.3">
      <c r="A217" s="1">
        <v>45258</v>
      </c>
      <c r="B217">
        <v>17341.25</v>
      </c>
      <c r="C217" s="2">
        <f t="shared" si="44"/>
        <v>1.1823679660717101E-2</v>
      </c>
      <c r="D217">
        <f t="shared" si="45"/>
        <v>1</v>
      </c>
      <c r="E217" s="2">
        <f t="shared" si="46"/>
        <v>1.1823679660717101E-2</v>
      </c>
      <c r="F217" s="2">
        <f t="shared" si="39"/>
        <v>1.1823679660717101E-2</v>
      </c>
      <c r="G217" s="2">
        <f t="shared" si="36"/>
        <v>0.24555251971800129</v>
      </c>
      <c r="H217">
        <f t="shared" si="37"/>
        <v>89</v>
      </c>
      <c r="I217" s="2">
        <f t="shared" si="38"/>
        <v>0.13789691664495013</v>
      </c>
      <c r="J217" s="2" cm="1">
        <f t="array" ref="J217">SQRT(SUM(IF(F158:F217&lt;AVERAGE(F158:F217),(F158:F217-AVERAGE(F158:F217))^2, 0)) / COUNT(F158:F217))*SQRT(365)</f>
        <v>9.6834420584232236E-2</v>
      </c>
      <c r="K217" s="2">
        <f t="shared" si="33"/>
        <v>0.2164743050820524</v>
      </c>
      <c r="L217">
        <f t="shared" si="34"/>
        <v>176</v>
      </c>
      <c r="M217" s="2">
        <f t="shared" si="35"/>
        <v>0.14010535524795784</v>
      </c>
      <c r="N217" s="2" cm="1">
        <f t="array" ref="N217">SQRT(SUM(IF(F98:F217&lt;AVERAGE(F98:F217),(F98:F217-AVERAGE(F98:F217))^2, 0)) / COUNT(F98:F217))*SQRT(365)</f>
        <v>0.1018810651153662</v>
      </c>
      <c r="O217" s="2">
        <f t="shared" si="40"/>
        <v>0.99923650255892738</v>
      </c>
      <c r="P217">
        <f t="shared" si="41"/>
        <v>0</v>
      </c>
      <c r="Q217">
        <f t="shared" si="42"/>
        <v>0</v>
      </c>
      <c r="R217">
        <f t="shared" si="43"/>
        <v>0</v>
      </c>
    </row>
    <row r="218" spans="1:18" x14ac:dyDescent="0.3">
      <c r="A218" s="1">
        <v>45259</v>
      </c>
      <c r="B218">
        <v>17370.560000000001</v>
      </c>
      <c r="C218" s="2">
        <f t="shared" si="44"/>
        <v>1.6887628139134118E-3</v>
      </c>
      <c r="D218">
        <f t="shared" si="45"/>
        <v>1</v>
      </c>
      <c r="E218" s="2">
        <f t="shared" si="46"/>
        <v>1.6887628139134118E-3</v>
      </c>
      <c r="F218" s="2">
        <f t="shared" si="39"/>
        <v>1.6887628139134118E-3</v>
      </c>
      <c r="G218" s="2">
        <f t="shared" si="36"/>
        <v>0.43935831255331265</v>
      </c>
      <c r="H218">
        <f t="shared" si="37"/>
        <v>89</v>
      </c>
      <c r="I218" s="2">
        <f t="shared" si="38"/>
        <v>0.13792220557438847</v>
      </c>
      <c r="J218" s="2" cm="1">
        <f t="array" ref="J218">SQRT(SUM(IF(F159:F218&lt;AVERAGE(F159:F218),(F159:F218-AVERAGE(F159:F218))^2, 0)) / COUNT(F159:F218))*SQRT(365)</f>
        <v>9.7016321732883118E-2</v>
      </c>
      <c r="K218" s="2">
        <f t="shared" si="33"/>
        <v>0.2164743050820524</v>
      </c>
      <c r="L218">
        <f t="shared" si="34"/>
        <v>176</v>
      </c>
      <c r="M218" s="2">
        <f t="shared" si="35"/>
        <v>0.14005665489339419</v>
      </c>
      <c r="N218" s="2" cm="1">
        <f t="array" ref="N218">SQRT(SUM(IF(F99:F218&lt;AVERAGE(F99:F218),(F99:F218-AVERAGE(F99:F218))^2, 0)) / COUNT(F99:F218))*SQRT(365)</f>
        <v>0.10178608037536532</v>
      </c>
      <c r="O218" s="2">
        <f t="shared" si="40"/>
        <v>0.99943352430779431</v>
      </c>
      <c r="P218">
        <f t="shared" si="41"/>
        <v>0</v>
      </c>
      <c r="Q218">
        <f t="shared" si="42"/>
        <v>0</v>
      </c>
      <c r="R218">
        <f t="shared" si="43"/>
        <v>0</v>
      </c>
    </row>
    <row r="219" spans="1:18" x14ac:dyDescent="0.3">
      <c r="A219" s="1">
        <v>45260</v>
      </c>
      <c r="B219">
        <v>17433.849999999999</v>
      </c>
      <c r="C219" s="2">
        <f t="shared" si="44"/>
        <v>3.6368994481780657E-3</v>
      </c>
      <c r="D219">
        <f t="shared" si="45"/>
        <v>1</v>
      </c>
      <c r="E219" s="2">
        <f t="shared" si="46"/>
        <v>3.6368994481780657E-3</v>
      </c>
      <c r="F219" s="2">
        <f t="shared" si="39"/>
        <v>3.6368994481780657E-3</v>
      </c>
      <c r="G219" s="2">
        <f t="shared" si="36"/>
        <v>0.43935831255331265</v>
      </c>
      <c r="H219">
        <f t="shared" si="37"/>
        <v>87</v>
      </c>
      <c r="I219" s="2">
        <f t="shared" si="38"/>
        <v>0.13769633465424158</v>
      </c>
      <c r="J219" s="2" cm="1">
        <f t="array" ref="J219">SQRT(SUM(IF(F160:F219&lt;AVERAGE(F160:F219),(F160:F219-AVERAGE(F160:F219))^2, 0)) / COUNT(F160:F219))*SQRT(365)</f>
        <v>9.6783027647609279E-2</v>
      </c>
      <c r="K219" s="2">
        <f t="shared" si="33"/>
        <v>0.2164743050820524</v>
      </c>
      <c r="L219">
        <f t="shared" si="34"/>
        <v>176</v>
      </c>
      <c r="M219" s="2">
        <f t="shared" si="35"/>
        <v>0.13923468725778307</v>
      </c>
      <c r="N219" s="2" cm="1">
        <f t="array" ref="N219">SQRT(SUM(IF(F100:F219&lt;AVERAGE(F100:F219),(F100:F219-AVERAGE(F100:F219))^2, 0)) / COUNT(F100:F219))*SQRT(365)</f>
        <v>0.10129138922705742</v>
      </c>
      <c r="O219" s="2">
        <f t="shared" si="40"/>
        <v>0.9911029405438273</v>
      </c>
      <c r="P219">
        <f t="shared" si="41"/>
        <v>0</v>
      </c>
      <c r="Q219">
        <f t="shared" si="42"/>
        <v>0</v>
      </c>
      <c r="R219">
        <f t="shared" si="43"/>
        <v>0</v>
      </c>
    </row>
    <row r="220" spans="1:18" x14ac:dyDescent="0.3">
      <c r="A220" s="1">
        <v>45261</v>
      </c>
      <c r="B220">
        <v>17438.349999999999</v>
      </c>
      <c r="C220" s="2">
        <f t="shared" si="44"/>
        <v>2.5808523838352453E-4</v>
      </c>
      <c r="D220">
        <f t="shared" si="45"/>
        <v>1</v>
      </c>
      <c r="E220" s="2">
        <f t="shared" si="46"/>
        <v>2.5808523838352453E-4</v>
      </c>
      <c r="F220" s="2">
        <f t="shared" si="39"/>
        <v>2.5808523838352453E-4</v>
      </c>
      <c r="G220" s="2">
        <f t="shared" si="36"/>
        <v>0.43935831255331265</v>
      </c>
      <c r="H220">
        <f t="shared" si="37"/>
        <v>87</v>
      </c>
      <c r="I220" s="2">
        <f t="shared" si="38"/>
        <v>0.13769357034367208</v>
      </c>
      <c r="J220" s="2" cm="1">
        <f t="array" ref="J220">SQRT(SUM(IF(F161:F220&lt;AVERAGE(F161:F220),(F161:F220-AVERAGE(F161:F220))^2, 0)) / COUNT(F161:F220))*SQRT(365)</f>
        <v>9.680374875818476E-2</v>
      </c>
      <c r="K220" s="2">
        <f t="shared" si="33"/>
        <v>0.2164743050820524</v>
      </c>
      <c r="L220">
        <f t="shared" si="34"/>
        <v>176</v>
      </c>
      <c r="M220" s="2">
        <f t="shared" si="35"/>
        <v>0.13776908870371252</v>
      </c>
      <c r="N220" s="2" cm="1">
        <f t="array" ref="N220">SQRT(SUM(IF(F101:F220&lt;AVERAGE(F101:F220),(F101:F220-AVERAGE(F101:F220))^2, 0)) / COUNT(F101:F220))*SQRT(365)</f>
        <v>0.10024864016861937</v>
      </c>
      <c r="O220" s="2">
        <f t="shared" si="40"/>
        <v>0.9968827325979811</v>
      </c>
      <c r="P220">
        <f t="shared" si="41"/>
        <v>0</v>
      </c>
      <c r="Q220">
        <f t="shared" si="42"/>
        <v>0</v>
      </c>
      <c r="R220">
        <f t="shared" si="43"/>
        <v>0</v>
      </c>
    </row>
    <row r="221" spans="1:18" x14ac:dyDescent="0.3">
      <c r="A221" s="1">
        <v>45264</v>
      </c>
      <c r="B221">
        <v>17421.48</v>
      </c>
      <c r="C221" s="2">
        <f t="shared" si="44"/>
        <v>-9.6787628149436168E-4</v>
      </c>
      <c r="D221">
        <f t="shared" si="45"/>
        <v>3</v>
      </c>
      <c r="E221" s="2">
        <f t="shared" si="46"/>
        <v>-3.2262542716478721E-4</v>
      </c>
      <c r="F221" s="2">
        <f t="shared" si="39"/>
        <v>-5.5880363166302372E-4</v>
      </c>
      <c r="G221" s="2">
        <f t="shared" si="36"/>
        <v>0.43935831255331265</v>
      </c>
      <c r="H221">
        <f t="shared" si="37"/>
        <v>89</v>
      </c>
      <c r="I221" s="2">
        <f t="shared" si="38"/>
        <v>0.13739662135721303</v>
      </c>
      <c r="J221" s="2" cm="1">
        <f t="array" ref="J221">SQRT(SUM(IF(F162:F221&lt;AVERAGE(F162:F221),(F162:F221-AVERAGE(F162:F221))^2, 0)) / COUNT(F162:F221))*SQRT(365)</f>
        <v>9.6836626210503193E-2</v>
      </c>
      <c r="K221" s="2">
        <f t="shared" si="33"/>
        <v>0.19896146475163615</v>
      </c>
      <c r="L221">
        <f t="shared" si="34"/>
        <v>178</v>
      </c>
      <c r="M221" s="2">
        <f t="shared" si="35"/>
        <v>0.13691425333512272</v>
      </c>
      <c r="N221" s="2" cm="1">
        <f t="array" ref="N221">SQRT(SUM(IF(F102:F221&lt;AVERAGE(F102:F221),(F102:F221-AVERAGE(F102:F221))^2, 0)) / COUNT(F102:F221))*SQRT(365)</f>
        <v>9.9462066514675554E-2</v>
      </c>
      <c r="O221" s="2">
        <f t="shared" si="40"/>
        <v>0.99981976272968776</v>
      </c>
      <c r="P221">
        <f t="shared" si="41"/>
        <v>0</v>
      </c>
      <c r="Q221">
        <f t="shared" si="42"/>
        <v>0</v>
      </c>
      <c r="R221">
        <f t="shared" si="43"/>
        <v>0</v>
      </c>
    </row>
    <row r="222" spans="1:18" x14ac:dyDescent="0.3">
      <c r="A222" s="1">
        <v>45265</v>
      </c>
      <c r="B222">
        <v>17328.009999999998</v>
      </c>
      <c r="C222" s="2">
        <f t="shared" si="44"/>
        <v>-5.3796602726645113E-3</v>
      </c>
      <c r="D222">
        <f t="shared" si="45"/>
        <v>1</v>
      </c>
      <c r="E222" s="2">
        <f t="shared" si="46"/>
        <v>-5.3796602726645113E-3</v>
      </c>
      <c r="F222" s="2">
        <f t="shared" si="39"/>
        <v>-5.3796602726645113E-3</v>
      </c>
      <c r="G222" s="2">
        <f t="shared" si="36"/>
        <v>0.43935831255331265</v>
      </c>
      <c r="H222">
        <f t="shared" si="37"/>
        <v>89</v>
      </c>
      <c r="I222" s="2">
        <f t="shared" si="38"/>
        <v>0.13684731634855901</v>
      </c>
      <c r="J222" s="2" cm="1">
        <f t="array" ref="J222">SQRT(SUM(IF(F163:F222&lt;AVERAGE(F163:F222),(F163:F222-AVERAGE(F163:F222))^2, 0)) / COUNT(F163:F222))*SQRT(365)</f>
        <v>9.6367558217602151E-2</v>
      </c>
      <c r="K222" s="2">
        <f t="shared" si="33"/>
        <v>0.16874300028685252</v>
      </c>
      <c r="L222">
        <f t="shared" si="34"/>
        <v>176</v>
      </c>
      <c r="M222" s="2">
        <f t="shared" si="35"/>
        <v>0.13721437890931604</v>
      </c>
      <c r="N222" s="2" cm="1">
        <f t="array" ref="N222">SQRT(SUM(IF(F103:F222&lt;AVERAGE(F103:F222),(F103:F222-AVERAGE(F103:F222))^2, 0)) / COUNT(F103:F222))*SQRT(365)</f>
        <v>9.9301016550532792E-2</v>
      </c>
      <c r="O222" s="2">
        <f t="shared" si="40"/>
        <v>1.0070764040417799</v>
      </c>
      <c r="P222">
        <f t="shared" si="41"/>
        <v>0</v>
      </c>
      <c r="Q222">
        <f t="shared" si="42"/>
        <v>0</v>
      </c>
      <c r="R222">
        <f t="shared" si="43"/>
        <v>0</v>
      </c>
    </row>
    <row r="223" spans="1:18" x14ac:dyDescent="0.3">
      <c r="A223" s="1">
        <v>45266</v>
      </c>
      <c r="B223">
        <v>17360.72</v>
      </c>
      <c r="C223" s="2">
        <f t="shared" si="44"/>
        <v>1.8859156674178739E-3</v>
      </c>
      <c r="D223">
        <f t="shared" si="45"/>
        <v>1</v>
      </c>
      <c r="E223" s="2">
        <f t="shared" si="46"/>
        <v>1.8859156674178739E-3</v>
      </c>
      <c r="F223" s="2">
        <f t="shared" si="39"/>
        <v>1.8859156674178739E-3</v>
      </c>
      <c r="G223" s="2">
        <f t="shared" si="36"/>
        <v>0.6189859572111116</v>
      </c>
      <c r="H223">
        <f t="shared" si="37"/>
        <v>89</v>
      </c>
      <c r="I223" s="2">
        <f t="shared" si="38"/>
        <v>0.13662782430478565</v>
      </c>
      <c r="J223" s="2" cm="1">
        <f t="array" ref="J223">SQRT(SUM(IF(F164:F223&lt;AVERAGE(F164:F223),(F164:F223-AVERAGE(F164:F223))^2, 0)) / COUNT(F164:F223))*SQRT(365)</f>
        <v>9.6774821636462394E-2</v>
      </c>
      <c r="K223" s="2">
        <f t="shared" si="33"/>
        <v>0.16874300028685252</v>
      </c>
      <c r="L223">
        <f t="shared" si="34"/>
        <v>176</v>
      </c>
      <c r="M223" s="2">
        <f t="shared" si="35"/>
        <v>0.1346574265309583</v>
      </c>
      <c r="N223" s="2" cm="1">
        <f t="array" ref="N223">SQRT(SUM(IF(F104:F223&lt;AVERAGE(F104:F223),(F104:F223-AVERAGE(F104:F223))^2, 0)) / COUNT(F104:F223))*SQRT(365)</f>
        <v>9.818993136531258E-2</v>
      </c>
      <c r="O223" s="2">
        <f t="shared" si="40"/>
        <v>1.0062330364178445</v>
      </c>
      <c r="P223">
        <f t="shared" si="41"/>
        <v>0</v>
      </c>
      <c r="Q223">
        <f t="shared" si="42"/>
        <v>0</v>
      </c>
      <c r="R223">
        <f t="shared" si="43"/>
        <v>0</v>
      </c>
    </row>
    <row r="224" spans="1:18" x14ac:dyDescent="0.3">
      <c r="A224" s="1">
        <v>45267</v>
      </c>
      <c r="B224">
        <v>17278.740000000002</v>
      </c>
      <c r="C224" s="2">
        <f t="shared" si="44"/>
        <v>-4.7333389758387832E-3</v>
      </c>
      <c r="D224">
        <f t="shared" si="45"/>
        <v>1</v>
      </c>
      <c r="E224" s="2">
        <f t="shared" si="46"/>
        <v>-4.7333389758387832E-3</v>
      </c>
      <c r="F224" s="2">
        <f t="shared" si="39"/>
        <v>-4.7333389758387832E-3</v>
      </c>
      <c r="G224" s="2">
        <f t="shared" si="36"/>
        <v>0.6189859572111116</v>
      </c>
      <c r="H224">
        <f t="shared" si="37"/>
        <v>87</v>
      </c>
      <c r="I224" s="2">
        <f t="shared" si="38"/>
        <v>0.1365585420805856</v>
      </c>
      <c r="J224" s="2" cm="1">
        <f t="array" ref="J224">SQRT(SUM(IF(F165:F224&lt;AVERAGE(F165:F224),(F165:F224-AVERAGE(F165:F224))^2, 0)) / COUNT(F165:F224))*SQRT(365)</f>
        <v>9.6724097434588041E-2</v>
      </c>
      <c r="K224" s="2">
        <f t="shared" si="33"/>
        <v>0.12865526869020594</v>
      </c>
      <c r="L224">
        <f t="shared" si="34"/>
        <v>176</v>
      </c>
      <c r="M224" s="2">
        <f t="shared" si="35"/>
        <v>0.13490169551378647</v>
      </c>
      <c r="N224" s="2" cm="1">
        <f t="array" ref="N224">SQRT(SUM(IF(F105:F224&lt;AVERAGE(F105:F224),(F105:F224-AVERAGE(F105:F224))^2, 0)) / COUNT(F105:F224))*SQRT(365)</f>
        <v>9.8048874253507959E-2</v>
      </c>
      <c r="O224" s="2">
        <f t="shared" si="40"/>
        <v>1.0216665104052725</v>
      </c>
      <c r="P224">
        <f t="shared" si="41"/>
        <v>1</v>
      </c>
      <c r="Q224">
        <f t="shared" si="42"/>
        <v>0</v>
      </c>
      <c r="R224">
        <f t="shared" si="43"/>
        <v>1</v>
      </c>
    </row>
    <row r="225" spans="1:18" x14ac:dyDescent="0.3">
      <c r="A225" s="1">
        <v>45268</v>
      </c>
      <c r="B225">
        <v>17383.990000000002</v>
      </c>
      <c r="C225" s="2">
        <f t="shared" si="44"/>
        <v>6.0728236616680257E-3</v>
      </c>
      <c r="D225">
        <f t="shared" si="45"/>
        <v>1</v>
      </c>
      <c r="E225" s="2">
        <f t="shared" si="46"/>
        <v>6.0728236616680257E-3</v>
      </c>
      <c r="F225" s="2">
        <f t="shared" si="39"/>
        <v>6.0728236616680257E-3</v>
      </c>
      <c r="G225" s="2">
        <f t="shared" si="36"/>
        <v>0.6189859572111116</v>
      </c>
      <c r="H225">
        <f t="shared" si="37"/>
        <v>87</v>
      </c>
      <c r="I225" s="2">
        <f t="shared" si="38"/>
        <v>0.1358486358659135</v>
      </c>
      <c r="J225" s="2" cm="1">
        <f t="array" ref="J225">SQRT(SUM(IF(F166:F225&lt;AVERAGE(F166:F225),(F166:F225-AVERAGE(F166:F225))^2, 0)) / COUNT(F166:F225))*SQRT(365)</f>
        <v>9.6323571115969314E-2</v>
      </c>
      <c r="K225" s="2">
        <f t="shared" si="33"/>
        <v>0.12865526869020594</v>
      </c>
      <c r="L225">
        <f t="shared" si="34"/>
        <v>176</v>
      </c>
      <c r="M225" s="2">
        <f t="shared" si="35"/>
        <v>0.1349638496300391</v>
      </c>
      <c r="N225" s="2" cm="1">
        <f t="array" ref="N225">SQRT(SUM(IF(F106:F225&lt;AVERAGE(F106:F225),(F106:F225-AVERAGE(F106:F225))^2, 0)) / COUNT(F106:F225))*SQRT(365)</f>
        <v>9.8088061037510318E-2</v>
      </c>
      <c r="O225" s="2">
        <f t="shared" si="40"/>
        <v>1.0166751131357068</v>
      </c>
      <c r="P225">
        <f t="shared" si="41"/>
        <v>1</v>
      </c>
      <c r="Q225">
        <f t="shared" si="42"/>
        <v>0</v>
      </c>
      <c r="R225">
        <f t="shared" si="43"/>
        <v>1</v>
      </c>
    </row>
    <row r="226" spans="1:18" x14ac:dyDescent="0.3">
      <c r="A226" s="1">
        <v>45271</v>
      </c>
      <c r="B226">
        <v>17418.34</v>
      </c>
      <c r="C226" s="2">
        <f t="shared" si="44"/>
        <v>1.9740064044162431E-3</v>
      </c>
      <c r="D226">
        <f t="shared" si="45"/>
        <v>3</v>
      </c>
      <c r="E226" s="2">
        <f t="shared" si="46"/>
        <v>6.5800213480541431E-4</v>
      </c>
      <c r="F226" s="2">
        <f t="shared" si="39"/>
        <v>1.1396931289717632E-3</v>
      </c>
      <c r="G226" s="2">
        <f t="shared" si="36"/>
        <v>0.6189859572111116</v>
      </c>
      <c r="H226">
        <f t="shared" si="37"/>
        <v>89</v>
      </c>
      <c r="I226" s="2">
        <f t="shared" si="38"/>
        <v>0.13585147251763821</v>
      </c>
      <c r="J226" s="2" cm="1">
        <f t="array" ref="J226">SQRT(SUM(IF(F167:F226&lt;AVERAGE(F167:F226),(F167:F226-AVERAGE(F167:F226))^2, 0)) / COUNT(F167:F226))*SQRT(365)</f>
        <v>9.6423871523040564E-2</v>
      </c>
      <c r="K226" s="2">
        <f t="shared" si="33"/>
        <v>0.16874300028685252</v>
      </c>
      <c r="L226">
        <f t="shared" si="34"/>
        <v>178</v>
      </c>
      <c r="M226" s="2">
        <f t="shared" si="35"/>
        <v>0.13489404702638191</v>
      </c>
      <c r="N226" s="2" cm="1">
        <f t="array" ref="N226">SQRT(SUM(IF(F107:F226&lt;AVERAGE(F107:F226),(F107:F226-AVERAGE(F107:F226))^2, 0)) / COUNT(F107:F226))*SQRT(365)</f>
        <v>9.8290058684742485E-2</v>
      </c>
      <c r="O226" s="2">
        <f t="shared" si="40"/>
        <v>1.0134163186618241</v>
      </c>
      <c r="P226">
        <f t="shared" si="41"/>
        <v>0</v>
      </c>
      <c r="Q226">
        <f t="shared" si="42"/>
        <v>0</v>
      </c>
      <c r="R226">
        <f t="shared" si="43"/>
        <v>0</v>
      </c>
    </row>
    <row r="227" spans="1:18" x14ac:dyDescent="0.3">
      <c r="A227" s="1">
        <v>45272</v>
      </c>
      <c r="B227">
        <v>17450.63</v>
      </c>
      <c r="C227" s="2">
        <f t="shared" si="44"/>
        <v>1.8520770318176639E-3</v>
      </c>
      <c r="D227">
        <f t="shared" si="45"/>
        <v>1</v>
      </c>
      <c r="E227" s="2">
        <f t="shared" si="46"/>
        <v>1.8520770318176639E-3</v>
      </c>
      <c r="F227" s="2">
        <f t="shared" si="39"/>
        <v>1.8520770318176639E-3</v>
      </c>
      <c r="G227" s="2">
        <f t="shared" si="36"/>
        <v>0.6189859572111116</v>
      </c>
      <c r="H227">
        <f t="shared" si="37"/>
        <v>89</v>
      </c>
      <c r="I227" s="2">
        <f t="shared" si="38"/>
        <v>0.13204251845963846</v>
      </c>
      <c r="J227" s="2" cm="1">
        <f t="array" ref="J227">SQRT(SUM(IF(F168:F227&lt;AVERAGE(F168:F227),(F168:F227-AVERAGE(F168:F227))^2, 0)) / COUNT(F168:F227))*SQRT(365)</f>
        <v>9.4487152865847537E-2</v>
      </c>
      <c r="K227" s="2">
        <f t="shared" si="33"/>
        <v>0.19896146475163615</v>
      </c>
      <c r="L227">
        <f t="shared" si="34"/>
        <v>176</v>
      </c>
      <c r="M227" s="2">
        <f t="shared" si="35"/>
        <v>0.13492657417506962</v>
      </c>
      <c r="N227" s="2" cm="1">
        <f t="array" ref="N227">SQRT(SUM(IF(F108:F227&lt;AVERAGE(F108:F227),(F108:F227-AVERAGE(F108:F227))^2, 0)) / COUNT(F108:F227))*SQRT(365)</f>
        <v>9.8478406159394072E-2</v>
      </c>
      <c r="O227" s="2">
        <f t="shared" si="40"/>
        <v>1.0072157853326784</v>
      </c>
      <c r="P227">
        <f t="shared" si="41"/>
        <v>0</v>
      </c>
      <c r="Q227">
        <f t="shared" si="42"/>
        <v>0</v>
      </c>
      <c r="R227">
        <f t="shared" si="43"/>
        <v>0</v>
      </c>
    </row>
    <row r="228" spans="1:18" x14ac:dyDescent="0.3">
      <c r="A228" s="1">
        <v>45273</v>
      </c>
      <c r="B228">
        <v>17468.93</v>
      </c>
      <c r="C228" s="2">
        <f t="shared" si="44"/>
        <v>1.0481232681801708E-3</v>
      </c>
      <c r="D228">
        <f t="shared" si="45"/>
        <v>1</v>
      </c>
      <c r="E228" s="2">
        <f t="shared" si="46"/>
        <v>1.0481232681801708E-3</v>
      </c>
      <c r="F228" s="2">
        <f t="shared" si="39"/>
        <v>1.0481232681801708E-3</v>
      </c>
      <c r="G228" s="2">
        <f t="shared" si="36"/>
        <v>0.49948170998207886</v>
      </c>
      <c r="H228">
        <f t="shared" si="37"/>
        <v>89</v>
      </c>
      <c r="I228" s="2">
        <f t="shared" si="38"/>
        <v>0.13113850624502463</v>
      </c>
      <c r="J228" s="2" cm="1">
        <f t="array" ref="J228">SQRT(SUM(IF(F169:F228&lt;AVERAGE(F169:F228),(F169:F228-AVERAGE(F169:F228))^2, 0)) / COUNT(F169:F228))*SQRT(365)</f>
        <v>9.355633961931456E-2</v>
      </c>
      <c r="K228" s="2">
        <f t="shared" si="33"/>
        <v>0.2164743050820524</v>
      </c>
      <c r="L228">
        <f t="shared" si="34"/>
        <v>176</v>
      </c>
      <c r="M228" s="2">
        <f t="shared" si="35"/>
        <v>0.1346155637003931</v>
      </c>
      <c r="N228" s="2" cm="1">
        <f t="array" ref="N228">SQRT(SUM(IF(F109:F228&lt;AVERAGE(F109:F228),(F109:F228-AVERAGE(F109:F228))^2, 0)) / COUNT(F109:F228))*SQRT(365)</f>
        <v>9.8558158379718014E-2</v>
      </c>
      <c r="O228" s="2">
        <f t="shared" si="40"/>
        <v>1.0095180414598948</v>
      </c>
      <c r="P228">
        <f t="shared" si="41"/>
        <v>0</v>
      </c>
      <c r="Q228">
        <f t="shared" si="42"/>
        <v>0</v>
      </c>
      <c r="R228">
        <f t="shared" si="43"/>
        <v>0</v>
      </c>
    </row>
    <row r="229" spans="1:18" x14ac:dyDescent="0.3">
      <c r="A229" s="1">
        <v>45274</v>
      </c>
      <c r="B229">
        <v>17653.11</v>
      </c>
      <c r="C229" s="2">
        <f t="shared" si="44"/>
        <v>1.0488097406440241E-2</v>
      </c>
      <c r="D229">
        <f t="shared" si="45"/>
        <v>1</v>
      </c>
      <c r="E229" s="2">
        <f t="shared" si="46"/>
        <v>1.0488097406440241E-2</v>
      </c>
      <c r="F229" s="2">
        <f t="shared" si="39"/>
        <v>1.0488097406440241E-2</v>
      </c>
      <c r="G229" s="2">
        <f t="shared" si="36"/>
        <v>0.6189859572111116</v>
      </c>
      <c r="H229">
        <f t="shared" si="37"/>
        <v>87</v>
      </c>
      <c r="I229" s="2">
        <f t="shared" si="38"/>
        <v>0.13183826447778946</v>
      </c>
      <c r="J229" s="2" cm="1">
        <f t="array" ref="J229">SQRT(SUM(IF(F170:F229&lt;AVERAGE(F170:F229),(F170:F229-AVERAGE(F170:F229))^2, 0)) / COUNT(F170:F229))*SQRT(365)</f>
        <v>9.4304428492718029E-2</v>
      </c>
      <c r="K229" s="2">
        <f t="shared" si="33"/>
        <v>0.2164743050820524</v>
      </c>
      <c r="L229">
        <f t="shared" si="34"/>
        <v>176</v>
      </c>
      <c r="M229" s="2">
        <f t="shared" si="35"/>
        <v>0.13581408026416208</v>
      </c>
      <c r="N229" s="2" cm="1">
        <f t="array" ref="N229">SQRT(SUM(IF(F110:F229&lt;AVERAGE(F110:F229),(F110:F229-AVERAGE(F110:F229))^2, 0)) / COUNT(F110:F229))*SQRT(365)</f>
        <v>9.9337569127293399E-2</v>
      </c>
      <c r="O229" s="2">
        <f t="shared" si="40"/>
        <v>0.99380449110666624</v>
      </c>
      <c r="P229">
        <f t="shared" si="41"/>
        <v>0</v>
      </c>
      <c r="Q229">
        <f t="shared" si="42"/>
        <v>0</v>
      </c>
      <c r="R229">
        <f t="shared" si="43"/>
        <v>0</v>
      </c>
    </row>
    <row r="230" spans="1:18" x14ac:dyDescent="0.3">
      <c r="A230" s="1">
        <v>45275</v>
      </c>
      <c r="B230">
        <v>17673.87</v>
      </c>
      <c r="C230" s="2">
        <f t="shared" si="44"/>
        <v>1.1753058081796668E-3</v>
      </c>
      <c r="D230">
        <f t="shared" si="45"/>
        <v>1</v>
      </c>
      <c r="E230" s="2">
        <f t="shared" si="46"/>
        <v>1.1753058081796668E-3</v>
      </c>
      <c r="F230" s="2">
        <f t="shared" si="39"/>
        <v>1.1753058081796668E-3</v>
      </c>
      <c r="G230" s="2">
        <f t="shared" si="36"/>
        <v>0.6189859572111116</v>
      </c>
      <c r="H230">
        <f t="shared" si="37"/>
        <v>87</v>
      </c>
      <c r="I230" s="2">
        <f t="shared" si="38"/>
        <v>0.13136432665884731</v>
      </c>
      <c r="J230" s="2" cm="1">
        <f t="array" ref="J230">SQRT(SUM(IF(F171:F230&lt;AVERAGE(F171:F230),(F171:F230-AVERAGE(F171:F230))^2, 0)) / COUNT(F171:F230))*SQRT(365)</f>
        <v>9.4434981922928082E-2</v>
      </c>
      <c r="K230" s="2">
        <f t="shared" si="33"/>
        <v>0.23447881030587439</v>
      </c>
      <c r="L230">
        <f t="shared" si="34"/>
        <v>172</v>
      </c>
      <c r="M230" s="2">
        <f t="shared" si="35"/>
        <v>0.13564590159246379</v>
      </c>
      <c r="N230" s="2" cm="1">
        <f t="array" ref="N230">SQRT(SUM(IF(F111:F230&lt;AVERAGE(F111:F230),(F111:F230-AVERAGE(F111:F230))^2, 0)) / COUNT(F111:F230))*SQRT(365)</f>
        <v>9.9500255099332136E-2</v>
      </c>
      <c r="O230" s="2">
        <f t="shared" si="40"/>
        <v>0.99562970645365179</v>
      </c>
      <c r="P230">
        <f t="shared" si="41"/>
        <v>0</v>
      </c>
      <c r="Q230">
        <f t="shared" si="42"/>
        <v>0</v>
      </c>
      <c r="R230">
        <f t="shared" si="43"/>
        <v>0</v>
      </c>
    </row>
    <row r="231" spans="1:18" x14ac:dyDescent="0.3">
      <c r="A231" s="1">
        <v>45278</v>
      </c>
      <c r="B231">
        <v>17652.03</v>
      </c>
      <c r="C231" s="2">
        <f t="shared" si="44"/>
        <v>-1.2364867014059175E-3</v>
      </c>
      <c r="D231">
        <f t="shared" si="45"/>
        <v>3</v>
      </c>
      <c r="E231" s="2">
        <f t="shared" si="46"/>
        <v>-4.1216223380197251E-4</v>
      </c>
      <c r="F231" s="2">
        <f t="shared" si="39"/>
        <v>-7.1388592990609889E-4</v>
      </c>
      <c r="G231" s="2">
        <f t="shared" si="36"/>
        <v>0.6189859572111116</v>
      </c>
      <c r="H231">
        <f t="shared" si="37"/>
        <v>89</v>
      </c>
      <c r="I231" s="2">
        <f t="shared" si="38"/>
        <v>0.13026505065468072</v>
      </c>
      <c r="J231" s="2" cm="1">
        <f t="array" ref="J231">SQRT(SUM(IF(F172:F231&lt;AVERAGE(F172:F231),(F172:F231-AVERAGE(F172:F231))^2, 0)) / COUNT(F172:F231))*SQRT(365)</f>
        <v>9.3787663301117583E-2</v>
      </c>
      <c r="K231" s="2">
        <f t="shared" si="33"/>
        <v>0.23447881030587439</v>
      </c>
      <c r="L231">
        <f t="shared" si="34"/>
        <v>174</v>
      </c>
      <c r="M231" s="2">
        <f t="shared" si="35"/>
        <v>0.13443189076179232</v>
      </c>
      <c r="N231" s="2" cm="1">
        <f t="array" ref="N231">SQRT(SUM(IF(F112:F231&lt;AVERAGE(F112:F231),(F112:F231-AVERAGE(F112:F231))^2, 0)) / COUNT(F112:F231))*SQRT(365)</f>
        <v>9.8624913989364113E-2</v>
      </c>
      <c r="O231" s="2">
        <f t="shared" si="40"/>
        <v>0.99732665308182689</v>
      </c>
      <c r="P231">
        <f t="shared" si="41"/>
        <v>0</v>
      </c>
      <c r="Q231">
        <f t="shared" si="42"/>
        <v>0</v>
      </c>
      <c r="R231">
        <f t="shared" si="43"/>
        <v>0</v>
      </c>
    </row>
    <row r="232" spans="1:18" x14ac:dyDescent="0.3">
      <c r="A232" s="1">
        <v>45279</v>
      </c>
      <c r="B232">
        <v>17576.55</v>
      </c>
      <c r="C232" s="2">
        <f t="shared" si="44"/>
        <v>-4.2851636654609483E-3</v>
      </c>
      <c r="D232">
        <f t="shared" si="45"/>
        <v>1</v>
      </c>
      <c r="E232" s="2">
        <f t="shared" si="46"/>
        <v>-4.2851636654609483E-3</v>
      </c>
      <c r="F232" s="2">
        <f t="shared" si="39"/>
        <v>-4.2851636654609483E-3</v>
      </c>
      <c r="G232" s="2">
        <f t="shared" si="36"/>
        <v>0.6189859572111116</v>
      </c>
      <c r="H232">
        <f t="shared" si="37"/>
        <v>89</v>
      </c>
      <c r="I232" s="2">
        <f t="shared" si="38"/>
        <v>0.12602013002823984</v>
      </c>
      <c r="J232" s="2" cm="1">
        <f t="array" ref="J232">SQRT(SUM(IF(F173:F232&lt;AVERAGE(F173:F232),(F173:F232-AVERAGE(F173:F232))^2, 0)) / COUNT(F173:F232))*SQRT(365)</f>
        <v>8.9366915700392777E-2</v>
      </c>
      <c r="K232" s="2">
        <f t="shared" si="33"/>
        <v>0.2164743050820524</v>
      </c>
      <c r="L232">
        <f t="shared" si="34"/>
        <v>174</v>
      </c>
      <c r="M232" s="2">
        <f t="shared" si="35"/>
        <v>0.13459952347966977</v>
      </c>
      <c r="N232" s="2" cm="1">
        <f t="array" ref="N232">SQRT(SUM(IF(F113:F232&lt;AVERAGE(F113:F232),(F113:F232-AVERAGE(F113:F232))^2, 0)) / COUNT(F113:F232))*SQRT(365)</f>
        <v>9.8369868956299816E-2</v>
      </c>
      <c r="O232" s="2">
        <f t="shared" si="40"/>
        <v>1.0099666885708516</v>
      </c>
      <c r="P232">
        <f t="shared" si="41"/>
        <v>0</v>
      </c>
      <c r="Q232">
        <f t="shared" si="42"/>
        <v>0</v>
      </c>
      <c r="R232">
        <f t="shared" si="43"/>
        <v>0</v>
      </c>
    </row>
    <row r="233" spans="1:18" x14ac:dyDescent="0.3">
      <c r="A233" s="1">
        <v>45280</v>
      </c>
      <c r="B233">
        <v>17635.2</v>
      </c>
      <c r="C233" s="2">
        <f t="shared" si="44"/>
        <v>3.331277442250456E-3</v>
      </c>
      <c r="D233">
        <f t="shared" si="45"/>
        <v>1</v>
      </c>
      <c r="E233" s="2">
        <f t="shared" si="46"/>
        <v>3.331277442250456E-3</v>
      </c>
      <c r="F233" s="2">
        <f t="shared" si="39"/>
        <v>3.331277442250456E-3</v>
      </c>
      <c r="G233" s="2">
        <f t="shared" si="36"/>
        <v>0.64130528957392241</v>
      </c>
      <c r="H233">
        <f t="shared" si="37"/>
        <v>89</v>
      </c>
      <c r="I233" s="2">
        <f t="shared" si="38"/>
        <v>0.12613447228491942</v>
      </c>
      <c r="J233" s="2" cm="1">
        <f t="array" ref="J233">SQRT(SUM(IF(F174:F233&lt;AVERAGE(F174:F233),(F174:F233-AVERAGE(F174:F233))^2, 0)) / COUNT(F174:F233))*SQRT(365)</f>
        <v>8.9626081014360495E-2</v>
      </c>
      <c r="K233" s="2">
        <f t="shared" si="33"/>
        <v>0.23447881030587439</v>
      </c>
      <c r="L233">
        <f t="shared" si="34"/>
        <v>174</v>
      </c>
      <c r="M233" s="2">
        <f t="shared" si="35"/>
        <v>0.13470504360049038</v>
      </c>
      <c r="N233" s="2" cm="1">
        <f t="array" ref="N233">SQRT(SUM(IF(F114:F233&lt;AVERAGE(F114:F233),(F114:F233-AVERAGE(F114:F233))^2, 0)) / COUNT(F114:F233))*SQRT(365)</f>
        <v>9.861063648424738E-2</v>
      </c>
      <c r="O233" s="2">
        <f t="shared" si="40"/>
        <v>1.0145334331337326</v>
      </c>
      <c r="P233">
        <f t="shared" si="41"/>
        <v>0</v>
      </c>
      <c r="Q233">
        <f t="shared" si="42"/>
        <v>0</v>
      </c>
      <c r="R233">
        <f t="shared" si="43"/>
        <v>0</v>
      </c>
    </row>
    <row r="234" spans="1:18" x14ac:dyDescent="0.3">
      <c r="A234" s="1">
        <v>45281</v>
      </c>
      <c r="B234">
        <v>17543.740000000002</v>
      </c>
      <c r="C234" s="2">
        <f t="shared" si="44"/>
        <v>-5.1997135824485624E-3</v>
      </c>
      <c r="D234">
        <f t="shared" si="45"/>
        <v>1</v>
      </c>
      <c r="E234" s="2">
        <f t="shared" si="46"/>
        <v>-5.1997135824485624E-3</v>
      </c>
      <c r="F234" s="2">
        <f t="shared" si="39"/>
        <v>-5.1997135824485624E-3</v>
      </c>
      <c r="G234" s="2">
        <f t="shared" si="36"/>
        <v>0.52269252353198681</v>
      </c>
      <c r="H234">
        <f t="shared" si="37"/>
        <v>87</v>
      </c>
      <c r="I234" s="2">
        <f t="shared" si="38"/>
        <v>0.12689425917465061</v>
      </c>
      <c r="J234" s="2" cm="1">
        <f t="array" ref="J234">SQRT(SUM(IF(F175:F234&lt;AVERAGE(F175:F234),(F175:F234-AVERAGE(F175:F234))^2, 0)) / COUNT(F175:F234))*SQRT(365)</f>
        <v>8.9496566300608982E-2</v>
      </c>
      <c r="K234" s="2">
        <f t="shared" si="33"/>
        <v>0.23447881030587439</v>
      </c>
      <c r="L234">
        <f t="shared" si="34"/>
        <v>174</v>
      </c>
      <c r="M234" s="2">
        <f t="shared" si="35"/>
        <v>0.13500736913209047</v>
      </c>
      <c r="N234" s="2" cm="1">
        <f t="array" ref="N234">SQRT(SUM(IF(F115:F234&lt;AVERAGE(F115:F234),(F115:F234-AVERAGE(F115:F234))^2, 0)) / COUNT(F115:F234))*SQRT(365)</f>
        <v>9.8722777467144876E-2</v>
      </c>
      <c r="O234" s="2">
        <f t="shared" si="40"/>
        <v>1.020898052524718</v>
      </c>
      <c r="P234">
        <f t="shared" si="41"/>
        <v>1</v>
      </c>
      <c r="Q234">
        <f t="shared" si="42"/>
        <v>0</v>
      </c>
      <c r="R234">
        <f t="shared" si="43"/>
        <v>1</v>
      </c>
    </row>
    <row r="235" spans="1:18" x14ac:dyDescent="0.3">
      <c r="A235" s="1">
        <v>45282</v>
      </c>
      <c r="B235">
        <v>17596.63</v>
      </c>
      <c r="C235" s="2">
        <f t="shared" si="44"/>
        <v>3.0102153129348622E-3</v>
      </c>
      <c r="D235">
        <f t="shared" si="45"/>
        <v>1</v>
      </c>
      <c r="E235" s="2">
        <f t="shared" si="46"/>
        <v>3.0102153129348622E-3</v>
      </c>
      <c r="F235" s="2">
        <f t="shared" si="39"/>
        <v>3.0102153129348622E-3</v>
      </c>
      <c r="G235" s="2">
        <f t="shared" si="36"/>
        <v>0.64130528957392241</v>
      </c>
      <c r="H235">
        <f t="shared" si="37"/>
        <v>87</v>
      </c>
      <c r="I235" s="2">
        <f t="shared" si="38"/>
        <v>0.12353073795931764</v>
      </c>
      <c r="J235" s="2" cm="1">
        <f t="array" ref="J235">SQRT(SUM(IF(F176:F235&lt;AVERAGE(F176:F235),(F176:F235-AVERAGE(F176:F235))^2, 0)) / COUNT(F176:F235))*SQRT(365)</f>
        <v>8.689138363877251E-2</v>
      </c>
      <c r="K235" s="2">
        <f t="shared" si="33"/>
        <v>0.23447881030587439</v>
      </c>
      <c r="L235">
        <f t="shared" si="34"/>
        <v>172</v>
      </c>
      <c r="M235" s="2">
        <f t="shared" si="35"/>
        <v>0.1347531735198986</v>
      </c>
      <c r="N235" s="2" cm="1">
        <f t="array" ref="N235">SQRT(SUM(IF(F116:F235&lt;AVERAGE(F116:F235),(F116:F235-AVERAGE(F116:F235))^2, 0)) / COUNT(F116:F235))*SQRT(365)</f>
        <v>9.8498878932440581E-2</v>
      </c>
      <c r="O235" s="2">
        <f t="shared" si="40"/>
        <v>1.0189911363709983</v>
      </c>
      <c r="P235">
        <f t="shared" si="41"/>
        <v>1</v>
      </c>
      <c r="Q235">
        <f t="shared" si="42"/>
        <v>0</v>
      </c>
      <c r="R235">
        <f t="shared" si="43"/>
        <v>1</v>
      </c>
    </row>
    <row r="236" spans="1:18" x14ac:dyDescent="0.3">
      <c r="A236" s="1">
        <v>45285</v>
      </c>
      <c r="B236">
        <v>17604.84</v>
      </c>
      <c r="C236" s="2">
        <f t="shared" si="44"/>
        <v>4.6645780127137611E-4</v>
      </c>
      <c r="D236">
        <f t="shared" si="45"/>
        <v>3</v>
      </c>
      <c r="E236" s="2">
        <f t="shared" si="46"/>
        <v>1.5548593375712538E-4</v>
      </c>
      <c r="F236" s="2">
        <f t="shared" si="39"/>
        <v>2.6930953712962996E-4</v>
      </c>
      <c r="G236" s="2">
        <f t="shared" si="36"/>
        <v>0.52269252353198681</v>
      </c>
      <c r="H236">
        <f t="shared" si="37"/>
        <v>89</v>
      </c>
      <c r="I236" s="2">
        <f t="shared" si="38"/>
        <v>0.12352863207628371</v>
      </c>
      <c r="J236" s="2" cm="1">
        <f t="array" ref="J236">SQRT(SUM(IF(F177:F236&lt;AVERAGE(F177:F236),(F177:F236-AVERAGE(F177:F236))^2, 0)) / COUNT(F177:F236))*SQRT(365)</f>
        <v>8.6624548392285727E-2</v>
      </c>
      <c r="K236" s="2">
        <f t="shared" si="33"/>
        <v>0.2164743050820524</v>
      </c>
      <c r="L236">
        <f t="shared" si="34"/>
        <v>174</v>
      </c>
      <c r="M236" s="2">
        <f t="shared" si="35"/>
        <v>0.13464564141463256</v>
      </c>
      <c r="N236" s="2" cm="1">
        <f t="array" ref="N236">SQRT(SUM(IF(F117:F236&lt;AVERAGE(F117:F236),(F117:F236-AVERAGE(F117:F236))^2, 0)) / COUNT(F117:F236))*SQRT(365)</f>
        <v>9.8249146643455937E-2</v>
      </c>
      <c r="O236" s="2">
        <f t="shared" si="40"/>
        <v>0</v>
      </c>
      <c r="P236">
        <f t="shared" si="41"/>
        <v>0</v>
      </c>
      <c r="Q236">
        <f t="shared" si="42"/>
        <v>1</v>
      </c>
      <c r="R236">
        <f t="shared" si="43"/>
        <v>1</v>
      </c>
    </row>
    <row r="237" spans="1:18" x14ac:dyDescent="0.3">
      <c r="A237" s="1">
        <v>45286</v>
      </c>
      <c r="B237">
        <v>17751.73</v>
      </c>
      <c r="C237" s="2">
        <f t="shared" si="44"/>
        <v>8.3091117222362596E-3</v>
      </c>
      <c r="D237">
        <f t="shared" si="45"/>
        <v>1</v>
      </c>
      <c r="E237" s="2">
        <f t="shared" si="46"/>
        <v>8.3091117222362596E-3</v>
      </c>
      <c r="F237" s="2">
        <f t="shared" si="39"/>
        <v>8.3091117222362596E-3</v>
      </c>
      <c r="G237" s="2">
        <f t="shared" si="36"/>
        <v>0.52269252353198681</v>
      </c>
      <c r="H237">
        <f t="shared" si="37"/>
        <v>89</v>
      </c>
      <c r="I237" s="2">
        <f t="shared" si="38"/>
        <v>0.12473634778702686</v>
      </c>
      <c r="J237" s="2" cm="1">
        <f t="array" ref="J237">SQRT(SUM(IF(F178:F237&lt;AVERAGE(F178:F237),(F178:F237-AVERAGE(F178:F237))^2, 0)) / COUNT(F178:F237))*SQRT(365)</f>
        <v>8.7538732863119181E-2</v>
      </c>
      <c r="K237" s="2">
        <f t="shared" si="33"/>
        <v>0.23447881030587439</v>
      </c>
      <c r="L237">
        <f t="shared" si="34"/>
        <v>174</v>
      </c>
      <c r="M237" s="2">
        <f t="shared" si="35"/>
        <v>0.13507131847869108</v>
      </c>
      <c r="N237" s="2" cm="1">
        <f t="array" ref="N237">SQRT(SUM(IF(F118:F237&lt;AVERAGE(F118:F237),(F118:F237-AVERAGE(F118:F237))^2, 0)) / COUNT(F118:F237))*SQRT(365)</f>
        <v>9.8916625705466943E-2</v>
      </c>
      <c r="O237" s="2">
        <f t="shared" si="40"/>
        <v>0</v>
      </c>
      <c r="P237">
        <f t="shared" si="41"/>
        <v>0</v>
      </c>
      <c r="Q237">
        <f t="shared" si="42"/>
        <v>1</v>
      </c>
      <c r="R237">
        <f t="shared" si="43"/>
        <v>1</v>
      </c>
    </row>
    <row r="238" spans="1:18" x14ac:dyDescent="0.3">
      <c r="A238" s="1">
        <v>45287</v>
      </c>
      <c r="B238">
        <v>17891.5</v>
      </c>
      <c r="C238" s="2">
        <f t="shared" si="44"/>
        <v>7.8427637688663916E-3</v>
      </c>
      <c r="D238">
        <f t="shared" si="45"/>
        <v>1</v>
      </c>
      <c r="E238" s="2">
        <f t="shared" si="46"/>
        <v>7.8427637688663916E-3</v>
      </c>
      <c r="F238" s="2">
        <f t="shared" si="39"/>
        <v>7.8427637688663916E-3</v>
      </c>
      <c r="G238" s="2">
        <f t="shared" si="36"/>
        <v>0.52269252353198681</v>
      </c>
      <c r="H238">
        <f t="shared" si="37"/>
        <v>86</v>
      </c>
      <c r="I238" s="2">
        <f t="shared" si="38"/>
        <v>0.12520866513199883</v>
      </c>
      <c r="J238" s="2" cm="1">
        <f t="array" ref="J238">SQRT(SUM(IF(F179:F238&lt;AVERAGE(F179:F238),(F179:F238-AVERAGE(F179:F238))^2, 0)) / COUNT(F179:F238))*SQRT(365)</f>
        <v>8.7808420345787813E-2</v>
      </c>
      <c r="K238" s="2">
        <f t="shared" si="33"/>
        <v>0.25124448861610316</v>
      </c>
      <c r="L238">
        <f t="shared" si="34"/>
        <v>174</v>
      </c>
      <c r="M238" s="2">
        <f t="shared" si="35"/>
        <v>0.13204772119214386</v>
      </c>
      <c r="N238" s="2" cm="1">
        <f t="array" ref="N238">SQRT(SUM(IF(F119:F238&lt;AVERAGE(F119:F238),(F119:F238-AVERAGE(F119:F238))^2, 0)) / COUNT(F119:F238))*SQRT(365)</f>
        <v>9.6028672202607676E-2</v>
      </c>
      <c r="O238" s="2">
        <f t="shared" si="40"/>
        <v>0</v>
      </c>
      <c r="P238">
        <f t="shared" si="41"/>
        <v>0</v>
      </c>
      <c r="Q238">
        <f t="shared" si="42"/>
        <v>1</v>
      </c>
      <c r="R238">
        <f t="shared" si="43"/>
        <v>1</v>
      </c>
    </row>
    <row r="239" spans="1:18" x14ac:dyDescent="0.3">
      <c r="A239" s="1">
        <v>45288</v>
      </c>
      <c r="B239">
        <v>17910.37</v>
      </c>
      <c r="C239" s="2">
        <f t="shared" si="44"/>
        <v>1.0541349793941612E-3</v>
      </c>
      <c r="D239">
        <f t="shared" si="45"/>
        <v>1</v>
      </c>
      <c r="E239" s="2">
        <f t="shared" si="46"/>
        <v>1.0541349793941612E-3</v>
      </c>
      <c r="F239" s="2">
        <f t="shared" si="39"/>
        <v>1.0541349793941612E-3</v>
      </c>
      <c r="G239" s="2">
        <f t="shared" si="36"/>
        <v>0.52269252353198681</v>
      </c>
      <c r="H239">
        <f t="shared" si="37"/>
        <v>86</v>
      </c>
      <c r="I239" s="2">
        <f t="shared" si="38"/>
        <v>0.12378689082704444</v>
      </c>
      <c r="J239" s="2" cm="1">
        <f t="array" ref="J239">SQRT(SUM(IF(F180:F239&lt;AVERAGE(F180:F239),(F180:F239-AVERAGE(F180:F239))^2, 0)) / COUNT(F180:F239))*SQRT(365)</f>
        <v>8.6995479427693465E-2</v>
      </c>
      <c r="K239" s="2">
        <f t="shared" si="33"/>
        <v>0.30892512764331903</v>
      </c>
      <c r="L239">
        <f t="shared" si="34"/>
        <v>174</v>
      </c>
      <c r="M239" s="2">
        <f t="shared" si="35"/>
        <v>0.13156933130492338</v>
      </c>
      <c r="N239" s="2" cm="1">
        <f t="array" ref="N239">SQRT(SUM(IF(F120:F239&lt;AVERAGE(F120:F239),(F120:F239-AVERAGE(F120:F239))^2, 0)) / COUNT(F120:F239))*SQRT(365)</f>
        <v>9.5942619489510203E-2</v>
      </c>
      <c r="O239" s="2">
        <f t="shared" si="40"/>
        <v>0</v>
      </c>
      <c r="P239">
        <f t="shared" si="41"/>
        <v>0</v>
      </c>
      <c r="Q239">
        <f t="shared" si="42"/>
        <v>1</v>
      </c>
      <c r="R239">
        <f t="shared" si="43"/>
        <v>1</v>
      </c>
    </row>
    <row r="240" spans="1:18" x14ac:dyDescent="0.3">
      <c r="A240" s="1">
        <v>45289</v>
      </c>
      <c r="B240">
        <v>17930.810000000001</v>
      </c>
      <c r="C240" s="2">
        <f t="shared" si="44"/>
        <v>1.1405875708297665E-3</v>
      </c>
      <c r="D240">
        <f t="shared" si="45"/>
        <v>1</v>
      </c>
      <c r="E240" s="2">
        <f t="shared" si="46"/>
        <v>1.1405875708297665E-3</v>
      </c>
      <c r="F240" s="2">
        <f t="shared" si="39"/>
        <v>1.1405875708297665E-3</v>
      </c>
      <c r="G240" s="2">
        <f t="shared" si="36"/>
        <v>0.52269252353198681</v>
      </c>
      <c r="H240">
        <f t="shared" si="37"/>
        <v>86</v>
      </c>
      <c r="I240" s="2">
        <f t="shared" si="38"/>
        <v>0.11978820539017346</v>
      </c>
      <c r="J240" s="2" cm="1">
        <f t="array" ref="J240">SQRT(SUM(IF(F181:F240&lt;AVERAGE(F181:F240),(F181:F240-AVERAGE(F181:F240))^2, 0)) / COUNT(F181:F240))*SQRT(365)</f>
        <v>8.3324856512259293E-2</v>
      </c>
      <c r="K240" s="2">
        <f t="shared" si="33"/>
        <v>0.36904852507208524</v>
      </c>
      <c r="L240">
        <f t="shared" si="34"/>
        <v>172</v>
      </c>
      <c r="M240" s="2">
        <f t="shared" si="35"/>
        <v>0.13156102819808521</v>
      </c>
      <c r="N240" s="2" cm="1">
        <f t="array" ref="N240">SQRT(SUM(IF(F121:F240&lt;AVERAGE(F121:F240),(F121:F240-AVERAGE(F121:F240))^2, 0)) / COUNT(F121:F240))*SQRT(365)</f>
        <v>9.6052474348007857E-2</v>
      </c>
      <c r="O240" s="2">
        <f t="shared" si="40"/>
        <v>0</v>
      </c>
      <c r="P240">
        <f t="shared" si="41"/>
        <v>0</v>
      </c>
      <c r="Q240">
        <f t="shared" si="42"/>
        <v>1</v>
      </c>
      <c r="R240">
        <f t="shared" si="43"/>
        <v>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F702F-852F-438E-829D-C25015C6FA33}">
  <dimension ref="A1:AH244"/>
  <sheetViews>
    <sheetView workbookViewId="0"/>
  </sheetViews>
  <sheetFormatPr defaultRowHeight="16.2" x14ac:dyDescent="0.3"/>
  <cols>
    <col min="1" max="1" width="10.6640625" bestFit="1" customWidth="1"/>
    <col min="2" max="5" width="9.6640625" style="3" bestFit="1" customWidth="1"/>
    <col min="8" max="8" width="9.6640625" bestFit="1" customWidth="1"/>
    <col min="22" max="23" width="9.6640625" style="3" bestFit="1" customWidth="1"/>
    <col min="24" max="24" width="15.77734375" style="3" customWidth="1"/>
    <col min="25" max="26" width="9.6640625" style="3" bestFit="1" customWidth="1"/>
    <col min="27" max="27" width="15.88671875" style="3" customWidth="1"/>
    <col min="28" max="28" width="15.5546875" customWidth="1"/>
    <col min="29" max="29" width="15.44140625" customWidth="1"/>
    <col min="30" max="30" width="26.33203125" customWidth="1"/>
    <col min="31" max="31" width="10.5546875" customWidth="1"/>
    <col min="32" max="32" width="15.33203125" customWidth="1"/>
    <col min="33" max="33" width="15" customWidth="1"/>
    <col min="34" max="34" width="27" customWidth="1"/>
  </cols>
  <sheetData>
    <row r="1" spans="1:34" x14ac:dyDescent="0.3">
      <c r="A1" t="s">
        <v>0</v>
      </c>
      <c r="B1" s="3" t="s">
        <v>267</v>
      </c>
      <c r="C1" s="3" t="s">
        <v>268</v>
      </c>
      <c r="D1" s="3" t="s">
        <v>269</v>
      </c>
      <c r="E1" s="3" t="s">
        <v>270</v>
      </c>
      <c r="F1" t="s">
        <v>271</v>
      </c>
      <c r="G1" t="s">
        <v>272</v>
      </c>
      <c r="H1" t="s">
        <v>273</v>
      </c>
      <c r="I1" t="s">
        <v>274</v>
      </c>
      <c r="J1" t="s">
        <v>275</v>
      </c>
      <c r="K1" t="s">
        <v>276</v>
      </c>
      <c r="L1" t="s">
        <v>277</v>
      </c>
      <c r="M1" t="s">
        <v>278</v>
      </c>
      <c r="N1" t="s">
        <v>279</v>
      </c>
      <c r="O1" t="s">
        <v>280</v>
      </c>
      <c r="P1" t="s">
        <v>281</v>
      </c>
      <c r="Q1" t="s">
        <v>282</v>
      </c>
      <c r="R1" t="s">
        <v>283</v>
      </c>
      <c r="S1" t="s">
        <v>284</v>
      </c>
      <c r="T1" t="s">
        <v>285</v>
      </c>
      <c r="U1" t="s">
        <v>286</v>
      </c>
      <c r="V1" s="3" t="s">
        <v>287</v>
      </c>
      <c r="W1" s="3" t="s">
        <v>288</v>
      </c>
      <c r="X1" s="3" t="s">
        <v>289</v>
      </c>
      <c r="Y1" s="3" t="s">
        <v>290</v>
      </c>
      <c r="Z1" s="3" t="s">
        <v>291</v>
      </c>
      <c r="AA1" s="3" t="s">
        <v>292</v>
      </c>
      <c r="AB1" t="s">
        <v>295</v>
      </c>
      <c r="AC1" t="s">
        <v>260</v>
      </c>
      <c r="AD1" t="s">
        <v>296</v>
      </c>
    </row>
    <row r="2" spans="1:34" x14ac:dyDescent="0.3">
      <c r="A2" s="1">
        <v>44929</v>
      </c>
      <c r="B2" s="3">
        <v>3.1143362000000001E-2</v>
      </c>
      <c r="C2" s="3">
        <v>3.2400788E-2</v>
      </c>
      <c r="D2" s="3">
        <v>7.2489070000000003E-2</v>
      </c>
      <c r="E2" s="3">
        <v>4.1180415999999997E-2</v>
      </c>
      <c r="AB2">
        <v>1</v>
      </c>
      <c r="AC2">
        <v>0</v>
      </c>
      <c r="AD2">
        <v>1</v>
      </c>
      <c r="AF2" t="s">
        <v>293</v>
      </c>
      <c r="AG2" t="s">
        <v>294</v>
      </c>
      <c r="AH2" t="s">
        <v>297</v>
      </c>
    </row>
    <row r="3" spans="1:34" x14ac:dyDescent="0.3">
      <c r="A3" s="1">
        <v>44930</v>
      </c>
      <c r="B3" s="3">
        <v>4.1435021000000002E-2</v>
      </c>
      <c r="C3" s="3">
        <v>3.3284415999999997E-2</v>
      </c>
      <c r="D3" s="3">
        <v>3.1029600000000001E-2</v>
      </c>
      <c r="E3" s="3">
        <v>3.5172347E-2</v>
      </c>
      <c r="F3" s="3">
        <v>3.1143362000000001E-2</v>
      </c>
      <c r="G3" s="3">
        <v>3.2400788E-2</v>
      </c>
      <c r="H3" s="3">
        <v>7.2489070000000003E-2</v>
      </c>
      <c r="I3" s="3">
        <v>4.1180415999999997E-2</v>
      </c>
      <c r="AB3">
        <v>1</v>
      </c>
      <c r="AC3">
        <v>0</v>
      </c>
      <c r="AD3">
        <v>1</v>
      </c>
      <c r="AE3" t="s">
        <v>298</v>
      </c>
      <c r="AF3">
        <v>58</v>
      </c>
      <c r="AG3">
        <v>40</v>
      </c>
      <c r="AH3">
        <v>98</v>
      </c>
    </row>
    <row r="4" spans="1:34" x14ac:dyDescent="0.3">
      <c r="A4" s="1">
        <v>44931</v>
      </c>
      <c r="B4" s="3">
        <v>8.4548582999999997E-2</v>
      </c>
      <c r="C4" s="3">
        <v>2.9341509000000002E-2</v>
      </c>
      <c r="D4" s="3">
        <v>0.11461055000000001</v>
      </c>
      <c r="E4" s="3">
        <v>4.0500750000000002E-2</v>
      </c>
      <c r="F4" s="3">
        <v>4.1435021000000002E-2</v>
      </c>
      <c r="G4" s="3">
        <v>3.3284415999999997E-2</v>
      </c>
      <c r="H4" s="3">
        <v>3.1029600000000001E-2</v>
      </c>
      <c r="I4" s="3">
        <v>3.5172347E-2</v>
      </c>
      <c r="J4" s="3">
        <v>3.1143362000000001E-2</v>
      </c>
      <c r="K4" s="3">
        <v>3.2400788E-2</v>
      </c>
      <c r="L4" s="3">
        <v>7.2489070000000003E-2</v>
      </c>
      <c r="M4" s="3">
        <v>4.1180415999999997E-2</v>
      </c>
      <c r="AB4">
        <v>1</v>
      </c>
      <c r="AC4">
        <v>0</v>
      </c>
      <c r="AD4">
        <v>1</v>
      </c>
      <c r="AE4" t="s">
        <v>299</v>
      </c>
      <c r="AF4">
        <v>181</v>
      </c>
      <c r="AG4">
        <v>199</v>
      </c>
      <c r="AH4">
        <v>141</v>
      </c>
    </row>
    <row r="5" spans="1:34" x14ac:dyDescent="0.3">
      <c r="A5" s="1">
        <v>44932</v>
      </c>
      <c r="B5" s="3">
        <v>7.0204411999999994E-2</v>
      </c>
      <c r="C5" s="3">
        <v>3.0731448000000001E-2</v>
      </c>
      <c r="D5" s="3">
        <v>0.11181990999999999</v>
      </c>
      <c r="E5" s="3">
        <v>4.3927602000000003E-2</v>
      </c>
      <c r="F5" s="3">
        <v>8.4548582999999997E-2</v>
      </c>
      <c r="G5" s="3">
        <v>2.9341509000000002E-2</v>
      </c>
      <c r="H5" s="3">
        <v>0.11461055000000001</v>
      </c>
      <c r="I5" s="3">
        <v>4.0500750000000002E-2</v>
      </c>
      <c r="J5" s="3">
        <v>4.1435021000000002E-2</v>
      </c>
      <c r="K5" s="3">
        <v>3.3284415999999997E-2</v>
      </c>
      <c r="L5" s="3">
        <v>3.1029600000000001E-2</v>
      </c>
      <c r="M5" s="3">
        <v>3.5172347E-2</v>
      </c>
      <c r="N5" s="3">
        <v>3.1143362000000001E-2</v>
      </c>
      <c r="O5" s="3">
        <v>3.2400788E-2</v>
      </c>
      <c r="P5" s="3">
        <v>7.2489070000000003E-2</v>
      </c>
      <c r="Q5" s="3">
        <v>4.1180415999999997E-2</v>
      </c>
      <c r="AB5">
        <v>1</v>
      </c>
      <c r="AC5">
        <v>0</v>
      </c>
      <c r="AD5">
        <v>1</v>
      </c>
      <c r="AF5">
        <v>239</v>
      </c>
      <c r="AG5">
        <v>239</v>
      </c>
      <c r="AH5">
        <v>239</v>
      </c>
    </row>
    <row r="6" spans="1:34" x14ac:dyDescent="0.3">
      <c r="A6" s="1">
        <v>44935</v>
      </c>
      <c r="B6" s="3">
        <v>4.5637469E-2</v>
      </c>
      <c r="C6" s="3">
        <v>6.0862096999999997E-2</v>
      </c>
      <c r="D6" s="3">
        <v>0.125481973</v>
      </c>
      <c r="E6" s="3">
        <v>5.5941824000000001E-2</v>
      </c>
      <c r="F6" s="3">
        <v>7.0204411999999994E-2</v>
      </c>
      <c r="G6" s="3">
        <v>3.0731448000000001E-2</v>
      </c>
      <c r="H6" s="3">
        <v>0.11181990999999999</v>
      </c>
      <c r="I6" s="3">
        <v>4.3927602000000003E-2</v>
      </c>
      <c r="J6" s="3">
        <v>8.4548582999999997E-2</v>
      </c>
      <c r="K6" s="3">
        <v>2.9341509000000002E-2</v>
      </c>
      <c r="L6" s="3">
        <v>0.11461055000000001</v>
      </c>
      <c r="M6" s="3">
        <v>4.0500750000000002E-2</v>
      </c>
      <c r="N6" s="3">
        <v>4.1435021000000002E-2</v>
      </c>
      <c r="O6" s="3">
        <v>3.3284415999999997E-2</v>
      </c>
      <c r="P6" s="3">
        <v>3.1029600000000001E-2</v>
      </c>
      <c r="Q6" s="3">
        <v>3.5172347E-2</v>
      </c>
      <c r="R6" s="3">
        <v>3.1143362000000001E-2</v>
      </c>
      <c r="S6" s="3">
        <v>3.2400788E-2</v>
      </c>
      <c r="T6" s="3">
        <v>7.2489070000000003E-2</v>
      </c>
      <c r="U6" s="3">
        <v>4.1180415999999997E-2</v>
      </c>
      <c r="AB6">
        <v>0</v>
      </c>
      <c r="AC6">
        <v>0</v>
      </c>
      <c r="AD6">
        <v>0</v>
      </c>
    </row>
    <row r="7" spans="1:34" x14ac:dyDescent="0.3">
      <c r="A7" s="1">
        <v>44936</v>
      </c>
      <c r="B7" s="3">
        <v>6.0239756999999998E-2</v>
      </c>
      <c r="C7" s="3">
        <v>4.3288383E-2</v>
      </c>
      <c r="D7" s="3">
        <v>7.8056635999999999E-2</v>
      </c>
      <c r="E7" s="3">
        <v>5.8307044000000002E-2</v>
      </c>
      <c r="F7" s="3">
        <v>4.5637469E-2</v>
      </c>
      <c r="G7" s="3">
        <v>6.0862096999999997E-2</v>
      </c>
      <c r="H7" s="3">
        <v>0.125481973</v>
      </c>
      <c r="I7" s="3">
        <v>5.5941824000000001E-2</v>
      </c>
      <c r="J7" s="3">
        <v>7.0204411999999994E-2</v>
      </c>
      <c r="K7" s="3">
        <v>3.0731448000000001E-2</v>
      </c>
      <c r="L7" s="3">
        <v>0.11181990999999999</v>
      </c>
      <c r="M7" s="3">
        <v>4.3927602000000003E-2</v>
      </c>
      <c r="N7" s="3">
        <v>8.4548582999999997E-2</v>
      </c>
      <c r="O7" s="3">
        <v>2.9341509000000002E-2</v>
      </c>
      <c r="P7" s="3">
        <v>0.11461055000000001</v>
      </c>
      <c r="Q7" s="3">
        <v>4.0500750000000002E-2</v>
      </c>
      <c r="R7" s="3">
        <v>4.1435021000000002E-2</v>
      </c>
      <c r="S7" s="3">
        <v>3.3284415999999997E-2</v>
      </c>
      <c r="T7" s="3">
        <v>3.1029600000000001E-2</v>
      </c>
      <c r="U7" s="3">
        <v>3.5172347E-2</v>
      </c>
      <c r="AB7">
        <v>0</v>
      </c>
      <c r="AC7">
        <v>0</v>
      </c>
      <c r="AD7">
        <v>0</v>
      </c>
    </row>
    <row r="8" spans="1:34" x14ac:dyDescent="0.3">
      <c r="A8" s="1">
        <v>44937</v>
      </c>
      <c r="B8" s="3">
        <v>5.1866872000000001E-2</v>
      </c>
      <c r="C8" s="3">
        <v>4.7944904000000003E-2</v>
      </c>
      <c r="D8" s="3">
        <v>4.0830742000000003E-2</v>
      </c>
      <c r="E8" s="3">
        <v>5.8949440999999998E-2</v>
      </c>
      <c r="F8" s="3">
        <v>6.0239756999999998E-2</v>
      </c>
      <c r="G8" s="3">
        <v>4.3288383E-2</v>
      </c>
      <c r="H8" s="3">
        <v>7.8056635999999999E-2</v>
      </c>
      <c r="I8" s="3">
        <v>5.8307044000000002E-2</v>
      </c>
      <c r="J8" s="3">
        <v>4.5637469E-2</v>
      </c>
      <c r="K8" s="3">
        <v>6.0862096999999997E-2</v>
      </c>
      <c r="L8" s="3">
        <v>0.125481973</v>
      </c>
      <c r="M8" s="3">
        <v>5.5941824000000001E-2</v>
      </c>
      <c r="N8" s="3">
        <v>7.0204411999999994E-2</v>
      </c>
      <c r="O8" s="3">
        <v>3.0731448000000001E-2</v>
      </c>
      <c r="P8" s="3">
        <v>0.11181990999999999</v>
      </c>
      <c r="Q8" s="3">
        <v>4.3927602000000003E-2</v>
      </c>
      <c r="R8" s="3">
        <v>8.4548582999999997E-2</v>
      </c>
      <c r="S8" s="3">
        <v>2.9341509000000002E-2</v>
      </c>
      <c r="T8" s="3">
        <v>0.11461055000000001</v>
      </c>
      <c r="U8" s="3">
        <v>4.0500750000000002E-2</v>
      </c>
      <c r="AB8">
        <v>1</v>
      </c>
      <c r="AC8">
        <v>0</v>
      </c>
      <c r="AD8">
        <v>1</v>
      </c>
    </row>
    <row r="9" spans="1:34" x14ac:dyDescent="0.3">
      <c r="A9" s="1">
        <v>44938</v>
      </c>
      <c r="B9" s="3">
        <v>0.16105109300000001</v>
      </c>
      <c r="C9" s="3">
        <v>2.5058767999999999E-2</v>
      </c>
      <c r="D9" s="3">
        <v>0.175947139</v>
      </c>
      <c r="E9" s="3">
        <v>4.7976978000000003E-2</v>
      </c>
      <c r="F9" s="3">
        <v>5.1866872000000001E-2</v>
      </c>
      <c r="G9" s="3">
        <v>4.7944904000000003E-2</v>
      </c>
      <c r="H9" s="3">
        <v>4.0830742000000003E-2</v>
      </c>
      <c r="I9" s="3">
        <v>5.8949440999999998E-2</v>
      </c>
      <c r="J9" s="3">
        <v>6.0239756999999998E-2</v>
      </c>
      <c r="K9" s="3">
        <v>4.3288383E-2</v>
      </c>
      <c r="L9" s="3">
        <v>7.8056635999999999E-2</v>
      </c>
      <c r="M9" s="3">
        <v>5.8307044000000002E-2</v>
      </c>
      <c r="N9" s="3">
        <v>4.5637469E-2</v>
      </c>
      <c r="O9" s="3">
        <v>6.0862096999999997E-2</v>
      </c>
      <c r="P9" s="3">
        <v>0.125481973</v>
      </c>
      <c r="Q9" s="3">
        <v>5.5941824000000001E-2</v>
      </c>
      <c r="R9" s="3">
        <v>7.0204411999999994E-2</v>
      </c>
      <c r="S9" s="3">
        <v>3.0731448000000001E-2</v>
      </c>
      <c r="T9" s="3">
        <v>0.11181990999999999</v>
      </c>
      <c r="U9" s="3">
        <v>4.3927602000000003E-2</v>
      </c>
      <c r="AB9">
        <v>1</v>
      </c>
      <c r="AC9">
        <v>0</v>
      </c>
      <c r="AD9">
        <v>1</v>
      </c>
    </row>
    <row r="10" spans="1:34" x14ac:dyDescent="0.3">
      <c r="A10" s="1">
        <v>44939</v>
      </c>
      <c r="B10" s="3">
        <v>0.15683986599999999</v>
      </c>
      <c r="C10" s="3">
        <v>3.8900315999999997E-2</v>
      </c>
      <c r="D10" s="3">
        <v>0.151513234</v>
      </c>
      <c r="E10" s="3">
        <v>5.4795815999999997E-2</v>
      </c>
      <c r="F10" s="3">
        <v>0.16105109300000001</v>
      </c>
      <c r="G10" s="3">
        <v>2.5058767999999999E-2</v>
      </c>
      <c r="H10" s="3">
        <v>0.175947139</v>
      </c>
      <c r="I10" s="3">
        <v>4.7976978000000003E-2</v>
      </c>
      <c r="J10" s="3">
        <v>5.1866872000000001E-2</v>
      </c>
      <c r="K10" s="3">
        <v>4.7944904000000003E-2</v>
      </c>
      <c r="L10" s="3">
        <v>4.0830742000000003E-2</v>
      </c>
      <c r="M10" s="3">
        <v>5.8949440999999998E-2</v>
      </c>
      <c r="N10" s="3">
        <v>6.0239756999999998E-2</v>
      </c>
      <c r="O10" s="3">
        <v>4.3288383E-2</v>
      </c>
      <c r="P10" s="3">
        <v>7.8056635999999999E-2</v>
      </c>
      <c r="Q10" s="3">
        <v>5.8307044000000002E-2</v>
      </c>
      <c r="R10" s="3">
        <v>4.5637469E-2</v>
      </c>
      <c r="S10" s="3">
        <v>6.0862096999999997E-2</v>
      </c>
      <c r="T10" s="3">
        <v>0.125481973</v>
      </c>
      <c r="U10" s="3">
        <v>5.5941824000000001E-2</v>
      </c>
      <c r="AB10">
        <v>1</v>
      </c>
      <c r="AC10">
        <v>0</v>
      </c>
      <c r="AD10">
        <v>1</v>
      </c>
    </row>
    <row r="11" spans="1:34" x14ac:dyDescent="0.3">
      <c r="A11" s="1">
        <v>44942</v>
      </c>
      <c r="B11" s="3">
        <v>0.12769074399999999</v>
      </c>
      <c r="C11" s="3">
        <v>3.1201652E-2</v>
      </c>
      <c r="D11" s="3">
        <v>0.165816773</v>
      </c>
      <c r="E11" s="3">
        <v>6.9269819999999996E-2</v>
      </c>
      <c r="F11" s="3">
        <v>0.15683986599999999</v>
      </c>
      <c r="G11" s="3">
        <v>3.8900315999999997E-2</v>
      </c>
      <c r="H11" s="3">
        <v>0.151513234</v>
      </c>
      <c r="I11" s="3">
        <v>5.4795815999999997E-2</v>
      </c>
      <c r="J11" s="3">
        <v>0.16105109300000001</v>
      </c>
      <c r="K11" s="3">
        <v>2.5058767999999999E-2</v>
      </c>
      <c r="L11" s="3">
        <v>0.175947139</v>
      </c>
      <c r="M11" s="3">
        <v>4.7976978000000003E-2</v>
      </c>
      <c r="N11" s="3">
        <v>5.1866872000000001E-2</v>
      </c>
      <c r="O11" s="3">
        <v>4.7944904000000003E-2</v>
      </c>
      <c r="P11" s="3">
        <v>4.0830742000000003E-2</v>
      </c>
      <c r="Q11" s="3">
        <v>5.8949440999999998E-2</v>
      </c>
      <c r="R11" s="3">
        <v>6.0239756999999998E-2</v>
      </c>
      <c r="S11" s="3">
        <v>4.3288383E-2</v>
      </c>
      <c r="T11" s="3">
        <v>7.8056635999999999E-2</v>
      </c>
      <c r="U11" s="3">
        <v>5.8307044000000002E-2</v>
      </c>
      <c r="AB11">
        <v>1</v>
      </c>
      <c r="AC11">
        <v>0</v>
      </c>
      <c r="AD11">
        <v>1</v>
      </c>
    </row>
    <row r="12" spans="1:34" x14ac:dyDescent="0.3">
      <c r="A12" s="1">
        <v>44943</v>
      </c>
      <c r="B12" s="3">
        <v>0.13956343800000001</v>
      </c>
      <c r="C12" s="3">
        <v>7.2661320000000001E-2</v>
      </c>
      <c r="D12" s="3">
        <v>0.16253078700000001</v>
      </c>
      <c r="E12" s="3">
        <v>9.1773915999999997E-2</v>
      </c>
      <c r="F12" s="3">
        <v>0.12769074399999999</v>
      </c>
      <c r="G12" s="3">
        <v>3.1201652E-2</v>
      </c>
      <c r="H12" s="3">
        <v>0.165816773</v>
      </c>
      <c r="I12" s="3">
        <v>6.9269819999999996E-2</v>
      </c>
      <c r="J12" s="3">
        <v>0.15683986599999999</v>
      </c>
      <c r="K12" s="3">
        <v>3.8900315999999997E-2</v>
      </c>
      <c r="L12" s="3">
        <v>0.151513234</v>
      </c>
      <c r="M12" s="3">
        <v>5.4795815999999997E-2</v>
      </c>
      <c r="N12" s="3">
        <v>0.16105109300000001</v>
      </c>
      <c r="O12" s="3">
        <v>2.5058767999999999E-2</v>
      </c>
      <c r="P12" s="3">
        <v>0.175947139</v>
      </c>
      <c r="Q12" s="3">
        <v>4.7976978000000003E-2</v>
      </c>
      <c r="R12" s="3">
        <v>5.1866872000000001E-2</v>
      </c>
      <c r="S12" s="3">
        <v>4.7944904000000003E-2</v>
      </c>
      <c r="T12" s="3">
        <v>4.0830742000000003E-2</v>
      </c>
      <c r="U12" s="3">
        <v>5.8949440999999998E-2</v>
      </c>
      <c r="AB12">
        <v>1</v>
      </c>
      <c r="AC12">
        <v>0</v>
      </c>
      <c r="AD12">
        <v>1</v>
      </c>
    </row>
    <row r="13" spans="1:34" x14ac:dyDescent="0.3">
      <c r="A13" s="1">
        <v>44956</v>
      </c>
      <c r="B13" s="3">
        <v>3.1215250999999999E-2</v>
      </c>
      <c r="C13" s="3">
        <v>5.3758988000000001E-2</v>
      </c>
      <c r="D13" s="3">
        <v>9.9967262000000001E-2</v>
      </c>
      <c r="E13" s="3">
        <v>9.0267764E-2</v>
      </c>
      <c r="F13" s="3">
        <v>0.13956343800000001</v>
      </c>
      <c r="G13" s="3">
        <v>7.2661320000000001E-2</v>
      </c>
      <c r="H13" s="3">
        <v>0.16253078700000001</v>
      </c>
      <c r="I13" s="3">
        <v>9.1773915999999997E-2</v>
      </c>
      <c r="J13" s="3">
        <v>0.12769074399999999</v>
      </c>
      <c r="K13" s="3">
        <v>3.1201652E-2</v>
      </c>
      <c r="L13" s="3">
        <v>0.165816773</v>
      </c>
      <c r="M13" s="3">
        <v>6.9269819999999996E-2</v>
      </c>
      <c r="N13" s="3">
        <v>0.15683986599999999</v>
      </c>
      <c r="O13" s="3">
        <v>3.8900315999999997E-2</v>
      </c>
      <c r="P13" s="3">
        <v>0.151513234</v>
      </c>
      <c r="Q13" s="3">
        <v>5.4795815999999997E-2</v>
      </c>
      <c r="R13" s="3">
        <v>0.16105109300000001</v>
      </c>
      <c r="S13" s="3">
        <v>2.5058767999999999E-2</v>
      </c>
      <c r="T13" s="3">
        <v>0.175947139</v>
      </c>
      <c r="U13" s="3">
        <v>4.7976978000000003E-2</v>
      </c>
      <c r="AB13">
        <v>0</v>
      </c>
      <c r="AC13">
        <v>0</v>
      </c>
      <c r="AD13">
        <v>0</v>
      </c>
    </row>
    <row r="14" spans="1:34" x14ac:dyDescent="0.3">
      <c r="A14" s="1">
        <v>44957</v>
      </c>
      <c r="B14" s="3">
        <v>9.1341821000000004E-2</v>
      </c>
      <c r="C14" s="3">
        <v>5.6918045E-2</v>
      </c>
      <c r="D14" s="3">
        <v>4.3536534000000002E-2</v>
      </c>
      <c r="E14" s="3">
        <v>6.2425135999999999E-2</v>
      </c>
      <c r="F14" s="3">
        <v>3.1215250999999999E-2</v>
      </c>
      <c r="G14" s="3">
        <v>5.3758988000000001E-2</v>
      </c>
      <c r="H14" s="3">
        <v>9.9967262000000001E-2</v>
      </c>
      <c r="I14" s="3">
        <v>9.0267764E-2</v>
      </c>
      <c r="J14" s="3">
        <v>0.13956343800000001</v>
      </c>
      <c r="K14" s="3">
        <v>7.2661320000000001E-2</v>
      </c>
      <c r="L14" s="3">
        <v>0.16253078700000001</v>
      </c>
      <c r="M14" s="3">
        <v>9.1773915999999997E-2</v>
      </c>
      <c r="N14" s="3">
        <v>0.12769074399999999</v>
      </c>
      <c r="O14" s="3">
        <v>3.1201652E-2</v>
      </c>
      <c r="P14" s="3">
        <v>0.165816773</v>
      </c>
      <c r="Q14" s="3">
        <v>6.9269819999999996E-2</v>
      </c>
      <c r="R14" s="3">
        <v>0.15683986599999999</v>
      </c>
      <c r="S14" s="3">
        <v>3.8900315999999997E-2</v>
      </c>
      <c r="T14" s="3">
        <v>0.151513234</v>
      </c>
      <c r="U14" s="3">
        <v>5.4795815999999997E-2</v>
      </c>
      <c r="AB14">
        <v>0</v>
      </c>
      <c r="AC14">
        <v>0</v>
      </c>
      <c r="AD14">
        <v>0</v>
      </c>
    </row>
    <row r="15" spans="1:34" x14ac:dyDescent="0.3">
      <c r="A15" s="1">
        <v>44958</v>
      </c>
      <c r="B15" s="3">
        <v>4.2206779999999999E-2</v>
      </c>
      <c r="C15" s="3">
        <v>7.3365130000000001E-2</v>
      </c>
      <c r="D15" s="3">
        <v>6.9480912000000006E-2</v>
      </c>
      <c r="E15" s="3">
        <v>5.327399E-2</v>
      </c>
      <c r="F15" s="3">
        <v>9.1341821000000004E-2</v>
      </c>
      <c r="G15" s="3">
        <v>5.6918045E-2</v>
      </c>
      <c r="H15" s="3">
        <v>4.3536534000000002E-2</v>
      </c>
      <c r="I15" s="3">
        <v>6.2425135999999999E-2</v>
      </c>
      <c r="J15" s="3">
        <v>3.1215250999999999E-2</v>
      </c>
      <c r="K15" s="3">
        <v>5.3758988000000001E-2</v>
      </c>
      <c r="L15" s="3">
        <v>9.9967262000000001E-2</v>
      </c>
      <c r="M15" s="3">
        <v>9.0267764E-2</v>
      </c>
      <c r="N15" s="3">
        <v>0.13956343800000001</v>
      </c>
      <c r="O15" s="3">
        <v>7.2661320000000001E-2</v>
      </c>
      <c r="P15" s="3">
        <v>0.16253078700000001</v>
      </c>
      <c r="Q15" s="3">
        <v>9.1773915999999997E-2</v>
      </c>
      <c r="R15" s="3">
        <v>0.12769074399999999</v>
      </c>
      <c r="S15" s="3">
        <v>3.1201652E-2</v>
      </c>
      <c r="T15" s="3">
        <v>0.165816773</v>
      </c>
      <c r="U15" s="3">
        <v>6.9269819999999996E-2</v>
      </c>
      <c r="AB15">
        <v>0</v>
      </c>
      <c r="AC15">
        <v>0</v>
      </c>
      <c r="AD15">
        <v>0</v>
      </c>
    </row>
    <row r="16" spans="1:34" x14ac:dyDescent="0.3">
      <c r="A16" s="1">
        <v>44959</v>
      </c>
      <c r="B16" s="3">
        <v>9.3579409000000002E-2</v>
      </c>
      <c r="C16" s="3">
        <v>4.8916690999999998E-2</v>
      </c>
      <c r="D16" s="3">
        <v>0.15806144</v>
      </c>
      <c r="E16" s="3">
        <v>7.5242093999999995E-2</v>
      </c>
      <c r="F16" s="3">
        <v>4.2206779999999999E-2</v>
      </c>
      <c r="G16" s="3">
        <v>7.3365130000000001E-2</v>
      </c>
      <c r="H16" s="3">
        <v>6.9480912000000006E-2</v>
      </c>
      <c r="I16" s="3">
        <v>5.327399E-2</v>
      </c>
      <c r="J16" s="3">
        <v>9.1341821000000004E-2</v>
      </c>
      <c r="K16" s="3">
        <v>5.6918045E-2</v>
      </c>
      <c r="L16" s="3">
        <v>4.3536534000000002E-2</v>
      </c>
      <c r="M16" s="3">
        <v>6.2425135999999999E-2</v>
      </c>
      <c r="N16" s="3">
        <v>3.1215250999999999E-2</v>
      </c>
      <c r="O16" s="3">
        <v>5.3758988000000001E-2</v>
      </c>
      <c r="P16" s="3">
        <v>9.9967262000000001E-2</v>
      </c>
      <c r="Q16" s="3">
        <v>9.0267764E-2</v>
      </c>
      <c r="R16" s="3">
        <v>0.13956343800000001</v>
      </c>
      <c r="S16" s="3">
        <v>7.2661320000000001E-2</v>
      </c>
      <c r="T16" s="3">
        <v>0.16253078700000001</v>
      </c>
      <c r="U16" s="3">
        <v>9.1773915999999997E-2</v>
      </c>
      <c r="AB16">
        <v>0</v>
      </c>
      <c r="AC16">
        <v>0</v>
      </c>
      <c r="AD16">
        <v>0</v>
      </c>
    </row>
    <row r="17" spans="1:30" x14ac:dyDescent="0.3">
      <c r="A17" s="1">
        <v>44960</v>
      </c>
      <c r="B17" s="3">
        <v>9.6970803999999994E-2</v>
      </c>
      <c r="C17" s="3">
        <v>3.3718452000000003E-2</v>
      </c>
      <c r="D17" s="3">
        <v>0.162967477</v>
      </c>
      <c r="E17" s="3">
        <v>0.15641875399999999</v>
      </c>
      <c r="F17" s="3">
        <v>9.3579409000000002E-2</v>
      </c>
      <c r="G17" s="3">
        <v>4.8916690999999998E-2</v>
      </c>
      <c r="H17" s="3">
        <v>0.15806144</v>
      </c>
      <c r="I17" s="3">
        <v>7.5242093999999995E-2</v>
      </c>
      <c r="J17" s="3">
        <v>4.2206779999999999E-2</v>
      </c>
      <c r="K17" s="3">
        <v>7.3365130000000001E-2</v>
      </c>
      <c r="L17" s="3">
        <v>6.9480912000000006E-2</v>
      </c>
      <c r="M17" s="3">
        <v>5.327399E-2</v>
      </c>
      <c r="N17" s="3">
        <v>9.1341821000000004E-2</v>
      </c>
      <c r="O17" s="3">
        <v>5.6918045E-2</v>
      </c>
      <c r="P17" s="3">
        <v>4.3536534000000002E-2</v>
      </c>
      <c r="Q17" s="3">
        <v>6.2425135999999999E-2</v>
      </c>
      <c r="R17" s="3">
        <v>3.1215250999999999E-2</v>
      </c>
      <c r="S17" s="3">
        <v>5.3758988000000001E-2</v>
      </c>
      <c r="T17" s="3">
        <v>9.9967262000000001E-2</v>
      </c>
      <c r="U17" s="3">
        <v>9.0267764E-2</v>
      </c>
      <c r="AB17">
        <v>0</v>
      </c>
      <c r="AC17">
        <v>0</v>
      </c>
      <c r="AD17">
        <v>0</v>
      </c>
    </row>
    <row r="18" spans="1:30" x14ac:dyDescent="0.3">
      <c r="A18" s="1">
        <v>44963</v>
      </c>
      <c r="B18" s="3">
        <v>0.12720546699999999</v>
      </c>
      <c r="C18" s="3">
        <v>4.7530010999999997E-2</v>
      </c>
      <c r="D18" s="3">
        <v>0.102354801</v>
      </c>
      <c r="E18" s="3">
        <v>0.14580699599999999</v>
      </c>
      <c r="F18" s="3">
        <v>9.6970803999999994E-2</v>
      </c>
      <c r="G18" s="3">
        <v>3.3718452000000003E-2</v>
      </c>
      <c r="H18" s="3">
        <v>0.162967477</v>
      </c>
      <c r="I18" s="3">
        <v>0.15641875399999999</v>
      </c>
      <c r="J18" s="3">
        <v>9.3579409000000002E-2</v>
      </c>
      <c r="K18" s="3">
        <v>4.8916690999999998E-2</v>
      </c>
      <c r="L18" s="3">
        <v>0.15806144</v>
      </c>
      <c r="M18" s="3">
        <v>7.5242093999999995E-2</v>
      </c>
      <c r="N18" s="3">
        <v>4.2206779999999999E-2</v>
      </c>
      <c r="O18" s="3">
        <v>7.3365130000000001E-2</v>
      </c>
      <c r="P18" s="3">
        <v>6.9480912000000006E-2</v>
      </c>
      <c r="Q18" s="3">
        <v>5.327399E-2</v>
      </c>
      <c r="R18" s="3">
        <v>9.1341821000000004E-2</v>
      </c>
      <c r="S18" s="3">
        <v>5.6918045E-2</v>
      </c>
      <c r="T18" s="3">
        <v>4.3536534000000002E-2</v>
      </c>
      <c r="U18" s="3">
        <v>6.2425135999999999E-2</v>
      </c>
      <c r="AB18">
        <v>0</v>
      </c>
      <c r="AC18">
        <v>0</v>
      </c>
      <c r="AD18">
        <v>0</v>
      </c>
    </row>
    <row r="19" spans="1:30" x14ac:dyDescent="0.3">
      <c r="A19" s="1">
        <v>44964</v>
      </c>
      <c r="B19" s="3">
        <v>8.4468565999999995E-2</v>
      </c>
      <c r="C19" s="3">
        <v>4.3364097999999997E-2</v>
      </c>
      <c r="D19" s="3">
        <v>0.10192789300000001</v>
      </c>
      <c r="E19" s="3">
        <v>0.112353447</v>
      </c>
      <c r="F19" s="3">
        <v>0.12720546699999999</v>
      </c>
      <c r="G19" s="3">
        <v>4.7530010999999997E-2</v>
      </c>
      <c r="H19" s="3">
        <v>0.102354801</v>
      </c>
      <c r="I19" s="3">
        <v>0.14580699599999999</v>
      </c>
      <c r="J19" s="3">
        <v>9.6970803999999994E-2</v>
      </c>
      <c r="K19" s="3">
        <v>3.3718452000000003E-2</v>
      </c>
      <c r="L19" s="3">
        <v>0.162967477</v>
      </c>
      <c r="M19" s="3">
        <v>0.15641875399999999</v>
      </c>
      <c r="N19" s="3">
        <v>9.3579409000000002E-2</v>
      </c>
      <c r="O19" s="3">
        <v>4.8916690999999998E-2</v>
      </c>
      <c r="P19" s="3">
        <v>0.15806144</v>
      </c>
      <c r="Q19" s="3">
        <v>7.5242093999999995E-2</v>
      </c>
      <c r="R19" s="3">
        <v>4.2206779999999999E-2</v>
      </c>
      <c r="S19" s="3">
        <v>7.3365130000000001E-2</v>
      </c>
      <c r="T19" s="3">
        <v>6.9480912000000006E-2</v>
      </c>
      <c r="U19" s="3">
        <v>5.327399E-2</v>
      </c>
      <c r="AB19">
        <v>1</v>
      </c>
      <c r="AC19">
        <v>0</v>
      </c>
      <c r="AD19">
        <v>1</v>
      </c>
    </row>
    <row r="20" spans="1:30" x14ac:dyDescent="0.3">
      <c r="A20" s="1">
        <v>44965</v>
      </c>
      <c r="B20" s="3">
        <v>5.3275432999999997E-2</v>
      </c>
      <c r="C20" s="3">
        <v>7.6127655000000002E-2</v>
      </c>
      <c r="D20" s="3">
        <v>0.11372945600000001</v>
      </c>
      <c r="E20" s="3">
        <v>0.142491601</v>
      </c>
      <c r="F20" s="3">
        <v>8.4468565999999995E-2</v>
      </c>
      <c r="G20" s="3">
        <v>4.3364097999999997E-2</v>
      </c>
      <c r="H20" s="3">
        <v>0.10192789300000001</v>
      </c>
      <c r="I20" s="3">
        <v>0.112353447</v>
      </c>
      <c r="J20" s="3">
        <v>0.12720546699999999</v>
      </c>
      <c r="K20" s="3">
        <v>4.7530010999999997E-2</v>
      </c>
      <c r="L20" s="3">
        <v>0.102354801</v>
      </c>
      <c r="M20" s="3">
        <v>0.14580699599999999</v>
      </c>
      <c r="N20" s="3">
        <v>9.6970803999999994E-2</v>
      </c>
      <c r="O20" s="3">
        <v>3.3718452000000003E-2</v>
      </c>
      <c r="P20" s="3">
        <v>0.162967477</v>
      </c>
      <c r="Q20" s="3">
        <v>0.15641875399999999</v>
      </c>
      <c r="R20" s="3">
        <v>9.3579409000000002E-2</v>
      </c>
      <c r="S20" s="3">
        <v>4.8916690999999998E-2</v>
      </c>
      <c r="T20" s="3">
        <v>0.15806144</v>
      </c>
      <c r="U20" s="3">
        <v>7.5242093999999995E-2</v>
      </c>
      <c r="AB20">
        <v>0</v>
      </c>
      <c r="AC20">
        <v>0</v>
      </c>
      <c r="AD20">
        <v>0</v>
      </c>
    </row>
    <row r="21" spans="1:30" x14ac:dyDescent="0.3">
      <c r="A21" s="1">
        <v>44966</v>
      </c>
      <c r="B21" s="3">
        <v>0.178672732</v>
      </c>
      <c r="C21" s="3">
        <v>7.1662667999999999E-2</v>
      </c>
      <c r="D21" s="3">
        <v>0.21806429199999999</v>
      </c>
      <c r="E21" s="3">
        <v>0.12760614300000001</v>
      </c>
      <c r="F21" s="3">
        <v>5.3275432999999997E-2</v>
      </c>
      <c r="G21" s="3">
        <v>7.6127655000000002E-2</v>
      </c>
      <c r="H21" s="3">
        <v>0.11372945600000001</v>
      </c>
      <c r="I21" s="3">
        <v>0.142491601</v>
      </c>
      <c r="J21" s="3">
        <v>8.4468565999999995E-2</v>
      </c>
      <c r="K21" s="3">
        <v>4.3364097999999997E-2</v>
      </c>
      <c r="L21" s="3">
        <v>0.10192789300000001</v>
      </c>
      <c r="M21" s="3">
        <v>0.112353447</v>
      </c>
      <c r="N21" s="3">
        <v>0.12720546699999999</v>
      </c>
      <c r="O21" s="3">
        <v>4.7530010999999997E-2</v>
      </c>
      <c r="P21" s="3">
        <v>0.102354801</v>
      </c>
      <c r="Q21" s="3">
        <v>0.14580699599999999</v>
      </c>
      <c r="R21" s="3">
        <v>9.6970803999999994E-2</v>
      </c>
      <c r="S21" s="3">
        <v>3.3718452000000003E-2</v>
      </c>
      <c r="T21" s="3">
        <v>0.162967477</v>
      </c>
      <c r="U21" s="3">
        <v>0.15641875399999999</v>
      </c>
      <c r="AB21">
        <v>0</v>
      </c>
      <c r="AC21">
        <v>0</v>
      </c>
      <c r="AD21">
        <v>0</v>
      </c>
    </row>
    <row r="22" spans="1:30" x14ac:dyDescent="0.3">
      <c r="A22" s="1">
        <v>44967</v>
      </c>
      <c r="B22" s="3">
        <v>0.195059332</v>
      </c>
      <c r="C22" s="3">
        <v>7.4779459000000006E-2</v>
      </c>
      <c r="D22" s="3">
        <v>0.22197277700000001</v>
      </c>
      <c r="E22" s="3">
        <v>0.197798893</v>
      </c>
      <c r="F22" s="3">
        <v>0.178672732</v>
      </c>
      <c r="G22" s="3">
        <v>7.1662667999999999E-2</v>
      </c>
      <c r="H22" s="3">
        <v>0.21806429199999999</v>
      </c>
      <c r="I22" s="3">
        <v>0.12760614300000001</v>
      </c>
      <c r="J22" s="3">
        <v>5.3275432999999997E-2</v>
      </c>
      <c r="K22" s="3">
        <v>7.6127655000000002E-2</v>
      </c>
      <c r="L22" s="3">
        <v>0.11372945600000001</v>
      </c>
      <c r="M22" s="3">
        <v>0.142491601</v>
      </c>
      <c r="N22" s="3">
        <v>8.4468565999999995E-2</v>
      </c>
      <c r="O22" s="3">
        <v>4.3364097999999997E-2</v>
      </c>
      <c r="P22" s="3">
        <v>0.10192789300000001</v>
      </c>
      <c r="Q22" s="3">
        <v>0.112353447</v>
      </c>
      <c r="R22" s="3">
        <v>0.12720546699999999</v>
      </c>
      <c r="S22" s="3">
        <v>4.7530010999999997E-2</v>
      </c>
      <c r="T22" s="3">
        <v>0.102354801</v>
      </c>
      <c r="U22" s="3">
        <v>0.14580699599999999</v>
      </c>
      <c r="AB22">
        <v>0</v>
      </c>
      <c r="AC22">
        <v>0</v>
      </c>
      <c r="AD22">
        <v>0</v>
      </c>
    </row>
    <row r="23" spans="1:30" x14ac:dyDescent="0.3">
      <c r="A23" s="1">
        <v>44970</v>
      </c>
      <c r="B23" s="3">
        <v>0.25137200799999998</v>
      </c>
      <c r="C23" s="3">
        <v>9.7240665000000004E-2</v>
      </c>
      <c r="D23" s="3">
        <v>0.32445908600000001</v>
      </c>
      <c r="E23" s="3">
        <v>0.23031790999999999</v>
      </c>
      <c r="F23" s="3">
        <v>0.195059332</v>
      </c>
      <c r="G23" s="3">
        <v>7.4779459000000006E-2</v>
      </c>
      <c r="H23" s="3">
        <v>0.22197277700000001</v>
      </c>
      <c r="I23" s="3">
        <v>0.197798893</v>
      </c>
      <c r="J23" s="3">
        <v>0.178672732</v>
      </c>
      <c r="K23" s="3">
        <v>7.1662667999999999E-2</v>
      </c>
      <c r="L23" s="3">
        <v>0.21806429199999999</v>
      </c>
      <c r="M23" s="3">
        <v>0.12760614300000001</v>
      </c>
      <c r="N23" s="3">
        <v>5.3275432999999997E-2</v>
      </c>
      <c r="O23" s="3">
        <v>7.6127655000000002E-2</v>
      </c>
      <c r="P23" s="3">
        <v>0.11372945600000001</v>
      </c>
      <c r="Q23" s="3">
        <v>0.142491601</v>
      </c>
      <c r="R23" s="3">
        <v>8.4468565999999995E-2</v>
      </c>
      <c r="S23" s="3">
        <v>4.3364097999999997E-2</v>
      </c>
      <c r="T23" s="3">
        <v>0.10192789300000001</v>
      </c>
      <c r="U23" s="3">
        <v>0.112353447</v>
      </c>
      <c r="AB23">
        <v>0</v>
      </c>
      <c r="AC23">
        <v>0</v>
      </c>
      <c r="AD23">
        <v>0</v>
      </c>
    </row>
    <row r="24" spans="1:30" x14ac:dyDescent="0.3">
      <c r="A24" s="1">
        <v>44971</v>
      </c>
      <c r="B24" s="3">
        <v>0.32493302299999999</v>
      </c>
      <c r="C24" s="3">
        <v>0.26941551400000002</v>
      </c>
      <c r="D24" s="3">
        <v>0.38429681599999999</v>
      </c>
      <c r="E24" s="3">
        <v>0.26215977600000001</v>
      </c>
      <c r="F24" s="3">
        <v>0.25137200799999998</v>
      </c>
      <c r="G24" s="3">
        <v>9.7240665000000004E-2</v>
      </c>
      <c r="H24" s="3">
        <v>0.32445908600000001</v>
      </c>
      <c r="I24" s="3">
        <v>0.23031790999999999</v>
      </c>
      <c r="J24" s="3">
        <v>0.195059332</v>
      </c>
      <c r="K24" s="3">
        <v>7.4779459000000006E-2</v>
      </c>
      <c r="L24" s="3">
        <v>0.22197277700000001</v>
      </c>
      <c r="M24" s="3">
        <v>0.197798893</v>
      </c>
      <c r="N24" s="3">
        <v>0.178672732</v>
      </c>
      <c r="O24" s="3">
        <v>7.1662667999999999E-2</v>
      </c>
      <c r="P24" s="3">
        <v>0.21806429199999999</v>
      </c>
      <c r="Q24" s="3">
        <v>0.12760614300000001</v>
      </c>
      <c r="R24" s="3">
        <v>5.3275432999999997E-2</v>
      </c>
      <c r="S24" s="3">
        <v>7.6127655000000002E-2</v>
      </c>
      <c r="T24" s="3">
        <v>0.11372945600000001</v>
      </c>
      <c r="U24" s="3">
        <v>0.142491601</v>
      </c>
      <c r="AB24">
        <v>0</v>
      </c>
      <c r="AC24">
        <v>0</v>
      </c>
      <c r="AD24">
        <v>0</v>
      </c>
    </row>
    <row r="25" spans="1:30" x14ac:dyDescent="0.3">
      <c r="A25" s="1">
        <v>44972</v>
      </c>
      <c r="B25" s="3">
        <v>5.2986601000000001E-2</v>
      </c>
      <c r="C25" s="3">
        <v>4.9755602000000003E-2</v>
      </c>
      <c r="D25" s="3">
        <v>3.4174216E-2</v>
      </c>
      <c r="E25" s="3">
        <v>6.2713151999999994E-2</v>
      </c>
      <c r="F25" s="3">
        <v>0.32493302299999999</v>
      </c>
      <c r="G25" s="3">
        <v>0.26941551400000002</v>
      </c>
      <c r="H25" s="3">
        <v>0.38429681599999999</v>
      </c>
      <c r="I25" s="3">
        <v>0.26215977600000001</v>
      </c>
      <c r="J25" s="3">
        <v>0.25137200799999998</v>
      </c>
      <c r="K25" s="3">
        <v>9.7240665000000004E-2</v>
      </c>
      <c r="L25" s="3">
        <v>0.32445908600000001</v>
      </c>
      <c r="M25" s="3">
        <v>0.23031790999999999</v>
      </c>
      <c r="N25" s="3">
        <v>0.195059332</v>
      </c>
      <c r="O25" s="3">
        <v>7.4779459000000006E-2</v>
      </c>
      <c r="P25" s="3">
        <v>0.22197277700000001</v>
      </c>
      <c r="Q25" s="3">
        <v>0.197798893</v>
      </c>
      <c r="R25" s="3">
        <v>0.178672732</v>
      </c>
      <c r="S25" s="3">
        <v>7.1662667999999999E-2</v>
      </c>
      <c r="T25" s="3">
        <v>0.21806429199999999</v>
      </c>
      <c r="U25" s="3">
        <v>0.12760614300000001</v>
      </c>
      <c r="AB25">
        <v>0</v>
      </c>
      <c r="AC25">
        <v>0</v>
      </c>
      <c r="AD25">
        <v>0</v>
      </c>
    </row>
    <row r="26" spans="1:30" x14ac:dyDescent="0.3">
      <c r="A26" s="1">
        <v>44973</v>
      </c>
      <c r="B26" s="3">
        <v>7.6574518999999994E-2</v>
      </c>
      <c r="C26" s="3">
        <v>4.2467339E-2</v>
      </c>
      <c r="D26" s="3">
        <v>0.108811325</v>
      </c>
      <c r="E26" s="3">
        <v>4.7109197999999998E-2</v>
      </c>
      <c r="F26" s="3">
        <v>5.2986601000000001E-2</v>
      </c>
      <c r="G26" s="3">
        <v>4.9755602000000003E-2</v>
      </c>
      <c r="H26" s="3">
        <v>3.4174216E-2</v>
      </c>
      <c r="I26" s="3">
        <v>6.2713151999999994E-2</v>
      </c>
      <c r="J26" s="3">
        <v>0.32493302299999999</v>
      </c>
      <c r="K26" s="3">
        <v>0.26941551400000002</v>
      </c>
      <c r="L26" s="3">
        <v>0.38429681599999999</v>
      </c>
      <c r="M26" s="3">
        <v>0.26215977600000001</v>
      </c>
      <c r="N26" s="3">
        <v>0.25137200799999998</v>
      </c>
      <c r="O26" s="3">
        <v>9.7240665000000004E-2</v>
      </c>
      <c r="P26" s="3">
        <v>0.32445908600000001</v>
      </c>
      <c r="Q26" s="3">
        <v>0.23031790999999999</v>
      </c>
      <c r="R26" s="3">
        <v>0.195059332</v>
      </c>
      <c r="S26" s="3">
        <v>7.4779459000000006E-2</v>
      </c>
      <c r="T26" s="3">
        <v>0.22197277700000001</v>
      </c>
      <c r="U26" s="3">
        <v>0.197798893</v>
      </c>
      <c r="AB26">
        <v>0</v>
      </c>
      <c r="AC26">
        <v>0</v>
      </c>
      <c r="AD26">
        <v>0</v>
      </c>
    </row>
    <row r="27" spans="1:30" x14ac:dyDescent="0.3">
      <c r="A27" s="1">
        <v>44974</v>
      </c>
      <c r="B27" s="3">
        <v>6.3574512999999999E-2</v>
      </c>
      <c r="C27" s="3">
        <v>3.0481670999999998E-2</v>
      </c>
      <c r="D27" s="3">
        <v>9.1943311999999999E-2</v>
      </c>
      <c r="E27" s="3">
        <v>6.1824523999999999E-2</v>
      </c>
      <c r="F27" s="3">
        <v>7.6574518999999994E-2</v>
      </c>
      <c r="G27" s="3">
        <v>4.2467339E-2</v>
      </c>
      <c r="H27" s="3">
        <v>0.108811325</v>
      </c>
      <c r="I27" s="3">
        <v>4.7109197999999998E-2</v>
      </c>
      <c r="J27" s="3">
        <v>5.2986601000000001E-2</v>
      </c>
      <c r="K27" s="3">
        <v>4.9755602000000003E-2</v>
      </c>
      <c r="L27" s="3">
        <v>3.4174216E-2</v>
      </c>
      <c r="M27" s="3">
        <v>6.2713151999999994E-2</v>
      </c>
      <c r="N27" s="3">
        <v>0.32493302299999999</v>
      </c>
      <c r="O27" s="3">
        <v>0.26941551400000002</v>
      </c>
      <c r="P27" s="3">
        <v>0.38429681599999999</v>
      </c>
      <c r="Q27" s="3">
        <v>0.26215977600000001</v>
      </c>
      <c r="R27" s="3">
        <v>0.25137200799999998</v>
      </c>
      <c r="S27" s="3">
        <v>9.7240665000000004E-2</v>
      </c>
      <c r="T27" s="3">
        <v>0.32445908600000001</v>
      </c>
      <c r="U27" s="3">
        <v>0.23031790999999999</v>
      </c>
      <c r="AB27">
        <v>0</v>
      </c>
      <c r="AC27">
        <v>0</v>
      </c>
      <c r="AD27">
        <v>0</v>
      </c>
    </row>
    <row r="28" spans="1:30" x14ac:dyDescent="0.3">
      <c r="A28" s="1">
        <v>44977</v>
      </c>
      <c r="B28" s="3">
        <v>4.4778363000000002E-2</v>
      </c>
      <c r="C28" s="3">
        <v>3.9983031000000002E-2</v>
      </c>
      <c r="D28" s="3">
        <v>8.5068119999999997E-2</v>
      </c>
      <c r="E28" s="3">
        <v>4.8031169999999998E-2</v>
      </c>
      <c r="F28" s="3">
        <v>6.3574512999999999E-2</v>
      </c>
      <c r="G28" s="3">
        <v>3.0481670999999998E-2</v>
      </c>
      <c r="H28" s="3">
        <v>9.1943311999999999E-2</v>
      </c>
      <c r="I28" s="3">
        <v>6.1824523999999999E-2</v>
      </c>
      <c r="J28" s="3">
        <v>7.6574518999999994E-2</v>
      </c>
      <c r="K28" s="3">
        <v>4.2467339E-2</v>
      </c>
      <c r="L28" s="3">
        <v>0.108811325</v>
      </c>
      <c r="M28" s="3">
        <v>4.7109197999999998E-2</v>
      </c>
      <c r="N28" s="3">
        <v>5.2986601000000001E-2</v>
      </c>
      <c r="O28" s="3">
        <v>4.9755602000000003E-2</v>
      </c>
      <c r="P28" s="3">
        <v>3.4174216E-2</v>
      </c>
      <c r="Q28" s="3">
        <v>6.2713151999999994E-2</v>
      </c>
      <c r="R28" s="3">
        <v>0.32493302299999999</v>
      </c>
      <c r="S28" s="3">
        <v>0.26941551400000002</v>
      </c>
      <c r="T28" s="3">
        <v>0.38429681599999999</v>
      </c>
      <c r="U28" s="3">
        <v>0.26215977600000001</v>
      </c>
      <c r="AB28">
        <v>0</v>
      </c>
      <c r="AC28">
        <v>0</v>
      </c>
      <c r="AD28">
        <v>0</v>
      </c>
    </row>
    <row r="29" spans="1:30" x14ac:dyDescent="0.3">
      <c r="A29" s="1">
        <v>44978</v>
      </c>
      <c r="B29" s="3">
        <v>3.5723273E-2</v>
      </c>
      <c r="C29" s="3">
        <v>3.5979838E-2</v>
      </c>
      <c r="D29" s="3">
        <v>8.0303048000000002E-2</v>
      </c>
      <c r="E29" s="3">
        <v>8.5255987000000005E-2</v>
      </c>
      <c r="F29" s="3">
        <v>4.4778363000000002E-2</v>
      </c>
      <c r="G29" s="3">
        <v>3.9983031000000002E-2</v>
      </c>
      <c r="H29" s="3">
        <v>8.5068119999999997E-2</v>
      </c>
      <c r="I29" s="3">
        <v>4.8031169999999998E-2</v>
      </c>
      <c r="J29" s="3">
        <v>6.3574512999999999E-2</v>
      </c>
      <c r="K29" s="3">
        <v>3.0481670999999998E-2</v>
      </c>
      <c r="L29" s="3">
        <v>9.1943311999999999E-2</v>
      </c>
      <c r="M29" s="3">
        <v>6.1824523999999999E-2</v>
      </c>
      <c r="N29" s="3">
        <v>7.6574518999999994E-2</v>
      </c>
      <c r="O29" s="3">
        <v>4.2467339E-2</v>
      </c>
      <c r="P29" s="3">
        <v>0.108811325</v>
      </c>
      <c r="Q29" s="3">
        <v>4.7109197999999998E-2</v>
      </c>
      <c r="R29" s="3">
        <v>5.2986601000000001E-2</v>
      </c>
      <c r="S29" s="3">
        <v>4.9755602000000003E-2</v>
      </c>
      <c r="T29" s="3">
        <v>3.4174216E-2</v>
      </c>
      <c r="U29" s="3">
        <v>6.2713151999999994E-2</v>
      </c>
      <c r="AB29">
        <v>0</v>
      </c>
      <c r="AC29">
        <v>0</v>
      </c>
      <c r="AD29">
        <v>0</v>
      </c>
    </row>
    <row r="30" spans="1:30" x14ac:dyDescent="0.3">
      <c r="A30" s="1">
        <v>44979</v>
      </c>
      <c r="B30" s="3">
        <v>4.5216122999999997E-2</v>
      </c>
      <c r="C30" s="3">
        <v>5.936027E-2</v>
      </c>
      <c r="D30" s="3">
        <v>4.6451566E-2</v>
      </c>
      <c r="E30" s="3">
        <v>4.9964074999999997E-2</v>
      </c>
      <c r="F30" s="3">
        <v>3.5723273E-2</v>
      </c>
      <c r="G30" s="3">
        <v>3.5979838E-2</v>
      </c>
      <c r="H30" s="3">
        <v>8.0303048000000002E-2</v>
      </c>
      <c r="I30" s="3">
        <v>8.5255987000000005E-2</v>
      </c>
      <c r="J30" s="3">
        <v>4.4778363000000002E-2</v>
      </c>
      <c r="K30" s="3">
        <v>3.9983031000000002E-2</v>
      </c>
      <c r="L30" s="3">
        <v>8.5068119999999997E-2</v>
      </c>
      <c r="M30" s="3">
        <v>4.8031169999999998E-2</v>
      </c>
      <c r="N30" s="3">
        <v>6.3574512999999999E-2</v>
      </c>
      <c r="O30" s="3">
        <v>3.0481670999999998E-2</v>
      </c>
      <c r="P30" s="3">
        <v>9.1943311999999999E-2</v>
      </c>
      <c r="Q30" s="3">
        <v>6.1824523999999999E-2</v>
      </c>
      <c r="R30" s="3">
        <v>7.6574518999999994E-2</v>
      </c>
      <c r="S30" s="3">
        <v>4.2467339E-2</v>
      </c>
      <c r="T30" s="3">
        <v>0.108811325</v>
      </c>
      <c r="U30" s="3">
        <v>4.7109197999999998E-2</v>
      </c>
      <c r="AB30">
        <v>0</v>
      </c>
      <c r="AC30">
        <v>0</v>
      </c>
      <c r="AD30">
        <v>0</v>
      </c>
    </row>
    <row r="31" spans="1:30" x14ac:dyDescent="0.3">
      <c r="A31" s="1">
        <v>44980</v>
      </c>
      <c r="B31" s="3">
        <v>6.6795550999999995E-2</v>
      </c>
      <c r="C31" s="3">
        <v>4.5347111000000002E-2</v>
      </c>
      <c r="D31" s="3">
        <v>0.11516003299999999</v>
      </c>
      <c r="E31" s="3">
        <v>4.5006334000000002E-2</v>
      </c>
      <c r="F31" s="3">
        <v>4.5216122999999997E-2</v>
      </c>
      <c r="G31" s="3">
        <v>5.936027E-2</v>
      </c>
      <c r="H31" s="3">
        <v>4.6451566E-2</v>
      </c>
      <c r="I31" s="3">
        <v>4.9964074999999997E-2</v>
      </c>
      <c r="J31" s="3">
        <v>3.5723273E-2</v>
      </c>
      <c r="K31" s="3">
        <v>3.5979838E-2</v>
      </c>
      <c r="L31" s="3">
        <v>8.0303048000000002E-2</v>
      </c>
      <c r="M31" s="3">
        <v>8.5255987000000005E-2</v>
      </c>
      <c r="N31" s="3">
        <v>4.4778363000000002E-2</v>
      </c>
      <c r="O31" s="3">
        <v>3.9983031000000002E-2</v>
      </c>
      <c r="P31" s="3">
        <v>8.5068119999999997E-2</v>
      </c>
      <c r="Q31" s="3">
        <v>4.8031169999999998E-2</v>
      </c>
      <c r="R31" s="3">
        <v>6.3574512999999999E-2</v>
      </c>
      <c r="S31" s="3">
        <v>3.0481670999999998E-2</v>
      </c>
      <c r="T31" s="3">
        <v>9.1943311999999999E-2</v>
      </c>
      <c r="U31" s="3">
        <v>6.1824523999999999E-2</v>
      </c>
      <c r="AB31">
        <v>0</v>
      </c>
      <c r="AC31">
        <v>0</v>
      </c>
      <c r="AD31">
        <v>0</v>
      </c>
    </row>
    <row r="32" spans="1:30" x14ac:dyDescent="0.3">
      <c r="A32" s="1">
        <v>44981</v>
      </c>
      <c r="B32" s="3">
        <v>0.105235405</v>
      </c>
      <c r="C32" s="3">
        <v>4.4124917E-2</v>
      </c>
      <c r="D32" s="3">
        <v>6.7310556999999993E-2</v>
      </c>
      <c r="E32" s="3">
        <v>4.7269074000000001E-2</v>
      </c>
      <c r="F32" s="3">
        <v>6.6795550999999995E-2</v>
      </c>
      <c r="G32" s="3">
        <v>4.5347111000000002E-2</v>
      </c>
      <c r="H32" s="3">
        <v>0.11516003299999999</v>
      </c>
      <c r="I32" s="3">
        <v>4.5006334000000002E-2</v>
      </c>
      <c r="J32" s="3">
        <v>4.5216122999999997E-2</v>
      </c>
      <c r="K32" s="3">
        <v>5.936027E-2</v>
      </c>
      <c r="L32" s="3">
        <v>4.6451566E-2</v>
      </c>
      <c r="M32" s="3">
        <v>4.9964074999999997E-2</v>
      </c>
      <c r="N32" s="3">
        <v>3.5723273E-2</v>
      </c>
      <c r="O32" s="3">
        <v>3.5979838E-2</v>
      </c>
      <c r="P32" s="3">
        <v>8.0303048000000002E-2</v>
      </c>
      <c r="Q32" s="3">
        <v>8.5255987000000005E-2</v>
      </c>
      <c r="R32" s="3">
        <v>4.4778363000000002E-2</v>
      </c>
      <c r="S32" s="3">
        <v>3.9983031000000002E-2</v>
      </c>
      <c r="T32" s="3">
        <v>8.5068119999999997E-2</v>
      </c>
      <c r="U32" s="3">
        <v>4.8031169999999998E-2</v>
      </c>
      <c r="AB32">
        <v>1</v>
      </c>
      <c r="AC32">
        <v>0</v>
      </c>
      <c r="AD32">
        <v>1</v>
      </c>
    </row>
    <row r="33" spans="1:30" x14ac:dyDescent="0.3">
      <c r="A33" s="1">
        <v>44986</v>
      </c>
      <c r="B33" s="3">
        <v>2.6843170999999999E-2</v>
      </c>
      <c r="C33" s="3">
        <v>4.0596733000000003E-2</v>
      </c>
      <c r="D33" s="3">
        <v>9.2547003000000003E-2</v>
      </c>
      <c r="E33" s="3">
        <v>7.6301115000000003E-2</v>
      </c>
      <c r="F33" s="3">
        <v>0.105235405</v>
      </c>
      <c r="G33" s="3">
        <v>4.4124917E-2</v>
      </c>
      <c r="H33" s="3">
        <v>6.7310556999999993E-2</v>
      </c>
      <c r="I33" s="3">
        <v>4.7269074000000001E-2</v>
      </c>
      <c r="J33" s="3">
        <v>6.6795550999999995E-2</v>
      </c>
      <c r="K33" s="3">
        <v>4.5347111000000002E-2</v>
      </c>
      <c r="L33" s="3">
        <v>0.11516003299999999</v>
      </c>
      <c r="M33" s="3">
        <v>4.5006334000000002E-2</v>
      </c>
      <c r="N33" s="3">
        <v>4.5216122999999997E-2</v>
      </c>
      <c r="O33" s="3">
        <v>5.936027E-2</v>
      </c>
      <c r="P33" s="3">
        <v>4.6451566E-2</v>
      </c>
      <c r="Q33" s="3">
        <v>4.9964074999999997E-2</v>
      </c>
      <c r="R33" s="3">
        <v>3.5723273E-2</v>
      </c>
      <c r="S33" s="3">
        <v>3.5979838E-2</v>
      </c>
      <c r="T33" s="3">
        <v>8.0303048000000002E-2</v>
      </c>
      <c r="U33" s="3">
        <v>8.5255987000000005E-2</v>
      </c>
      <c r="AB33">
        <v>0</v>
      </c>
      <c r="AC33">
        <v>0</v>
      </c>
      <c r="AD33">
        <v>0</v>
      </c>
    </row>
    <row r="34" spans="1:30" x14ac:dyDescent="0.3">
      <c r="A34" s="1">
        <v>44987</v>
      </c>
      <c r="B34" s="3">
        <v>9.1624229000000001E-2</v>
      </c>
      <c r="C34" s="3">
        <v>2.5176819999999999E-2</v>
      </c>
      <c r="D34" s="3">
        <v>0.14777664500000001</v>
      </c>
      <c r="E34" s="3">
        <v>4.8875776000000003E-2</v>
      </c>
      <c r="F34" s="3">
        <v>2.6843170999999999E-2</v>
      </c>
      <c r="G34" s="3">
        <v>4.0596733000000003E-2</v>
      </c>
      <c r="H34" s="3">
        <v>9.2547003000000003E-2</v>
      </c>
      <c r="I34" s="3">
        <v>7.6301115000000003E-2</v>
      </c>
      <c r="J34" s="3">
        <v>0.105235405</v>
      </c>
      <c r="K34" s="3">
        <v>4.4124917E-2</v>
      </c>
      <c r="L34" s="3">
        <v>6.7310556999999993E-2</v>
      </c>
      <c r="M34" s="3">
        <v>4.7269074000000001E-2</v>
      </c>
      <c r="N34" s="3">
        <v>6.6795550999999995E-2</v>
      </c>
      <c r="O34" s="3">
        <v>4.5347111000000002E-2</v>
      </c>
      <c r="P34" s="3">
        <v>0.11516003299999999</v>
      </c>
      <c r="Q34" s="3">
        <v>4.5006334000000002E-2</v>
      </c>
      <c r="R34" s="3">
        <v>4.5216122999999997E-2</v>
      </c>
      <c r="S34" s="3">
        <v>5.936027E-2</v>
      </c>
      <c r="T34" s="3">
        <v>4.6451566E-2</v>
      </c>
      <c r="U34" s="3">
        <v>4.9964074999999997E-2</v>
      </c>
      <c r="AB34">
        <v>0</v>
      </c>
      <c r="AC34">
        <v>0</v>
      </c>
      <c r="AD34">
        <v>0</v>
      </c>
    </row>
    <row r="35" spans="1:30" x14ac:dyDescent="0.3">
      <c r="A35" s="1">
        <v>44988</v>
      </c>
      <c r="B35" s="3">
        <v>0.105111723</v>
      </c>
      <c r="C35" s="3">
        <v>5.5640727000000001E-2</v>
      </c>
      <c r="D35" s="3">
        <v>0.116252064</v>
      </c>
      <c r="E35" s="3">
        <v>4.6030006999999998E-2</v>
      </c>
      <c r="F35" s="3">
        <v>9.1624229000000001E-2</v>
      </c>
      <c r="G35" s="3">
        <v>2.5176819999999999E-2</v>
      </c>
      <c r="H35" s="3">
        <v>0.14777664500000001</v>
      </c>
      <c r="I35" s="3">
        <v>4.8875776000000003E-2</v>
      </c>
      <c r="J35" s="3">
        <v>2.6843170999999999E-2</v>
      </c>
      <c r="K35" s="3">
        <v>4.0596733000000003E-2</v>
      </c>
      <c r="L35" s="3">
        <v>9.2547003000000003E-2</v>
      </c>
      <c r="M35" s="3">
        <v>7.6301115000000003E-2</v>
      </c>
      <c r="N35" s="3">
        <v>0.105235405</v>
      </c>
      <c r="O35" s="3">
        <v>4.4124917E-2</v>
      </c>
      <c r="P35" s="3">
        <v>6.7310556999999993E-2</v>
      </c>
      <c r="Q35" s="3">
        <v>4.7269074000000001E-2</v>
      </c>
      <c r="R35" s="3">
        <v>6.6795550999999995E-2</v>
      </c>
      <c r="S35" s="3">
        <v>4.5347111000000002E-2</v>
      </c>
      <c r="T35" s="3">
        <v>0.11516003299999999</v>
      </c>
      <c r="U35" s="3">
        <v>4.5006334000000002E-2</v>
      </c>
      <c r="AB35">
        <v>0</v>
      </c>
      <c r="AC35">
        <v>0</v>
      </c>
      <c r="AD35">
        <v>0</v>
      </c>
    </row>
    <row r="36" spans="1:30" x14ac:dyDescent="0.3">
      <c r="A36" s="1">
        <v>44991</v>
      </c>
      <c r="B36" s="3">
        <v>0.10200514199999999</v>
      </c>
      <c r="C36" s="3">
        <v>8.0985250999999994E-2</v>
      </c>
      <c r="D36" s="3">
        <v>0.120703344</v>
      </c>
      <c r="E36" s="3">
        <v>5.5949543999999997E-2</v>
      </c>
      <c r="F36" s="3">
        <v>0.105111723</v>
      </c>
      <c r="G36" s="3">
        <v>5.5640727000000001E-2</v>
      </c>
      <c r="H36" s="3">
        <v>0.116252064</v>
      </c>
      <c r="I36" s="3">
        <v>4.6030006999999998E-2</v>
      </c>
      <c r="J36" s="3">
        <v>9.1624229000000001E-2</v>
      </c>
      <c r="K36" s="3">
        <v>2.5176819999999999E-2</v>
      </c>
      <c r="L36" s="3">
        <v>0.14777664500000001</v>
      </c>
      <c r="M36" s="3">
        <v>4.8875776000000003E-2</v>
      </c>
      <c r="N36" s="3">
        <v>2.6843170999999999E-2</v>
      </c>
      <c r="O36" s="3">
        <v>4.0596733000000003E-2</v>
      </c>
      <c r="P36" s="3">
        <v>9.2547003000000003E-2</v>
      </c>
      <c r="Q36" s="3">
        <v>7.6301115000000003E-2</v>
      </c>
      <c r="R36" s="3">
        <v>0.105235405</v>
      </c>
      <c r="S36" s="3">
        <v>4.4124917E-2</v>
      </c>
      <c r="T36" s="3">
        <v>6.7310556999999993E-2</v>
      </c>
      <c r="U36" s="3">
        <v>4.7269074000000001E-2</v>
      </c>
      <c r="AB36">
        <v>0</v>
      </c>
      <c r="AC36">
        <v>0</v>
      </c>
      <c r="AD36">
        <v>0</v>
      </c>
    </row>
    <row r="37" spans="1:30" x14ac:dyDescent="0.3">
      <c r="A37" s="1">
        <v>44992</v>
      </c>
      <c r="B37" s="3">
        <v>6.9390453000000005E-2</v>
      </c>
      <c r="C37" s="3">
        <v>6.1661571999999998E-2</v>
      </c>
      <c r="D37" s="3">
        <v>0.111231286</v>
      </c>
      <c r="E37" s="3">
        <v>6.1000541999999998E-2</v>
      </c>
      <c r="F37" s="3">
        <v>0.10200514199999999</v>
      </c>
      <c r="G37" s="3">
        <v>8.0985250999999994E-2</v>
      </c>
      <c r="H37" s="3">
        <v>0.120703344</v>
      </c>
      <c r="I37" s="3">
        <v>5.5949543999999997E-2</v>
      </c>
      <c r="J37" s="3">
        <v>0.105111723</v>
      </c>
      <c r="K37" s="3">
        <v>5.5640727000000001E-2</v>
      </c>
      <c r="L37" s="3">
        <v>0.116252064</v>
      </c>
      <c r="M37" s="3">
        <v>4.6030006999999998E-2</v>
      </c>
      <c r="N37" s="3">
        <v>9.1624229000000001E-2</v>
      </c>
      <c r="O37" s="3">
        <v>2.5176819999999999E-2</v>
      </c>
      <c r="P37" s="3">
        <v>0.14777664500000001</v>
      </c>
      <c r="Q37" s="3">
        <v>4.8875776000000003E-2</v>
      </c>
      <c r="R37" s="3">
        <v>2.6843170999999999E-2</v>
      </c>
      <c r="S37" s="3">
        <v>4.0596733000000003E-2</v>
      </c>
      <c r="T37" s="3">
        <v>9.2547003000000003E-2</v>
      </c>
      <c r="U37" s="3">
        <v>7.6301115000000003E-2</v>
      </c>
      <c r="AB37">
        <v>0</v>
      </c>
      <c r="AC37">
        <v>1</v>
      </c>
      <c r="AD37">
        <v>1</v>
      </c>
    </row>
    <row r="38" spans="1:30" x14ac:dyDescent="0.3">
      <c r="A38" s="1">
        <v>44993</v>
      </c>
      <c r="B38" s="3">
        <v>4.7691905E-2</v>
      </c>
      <c r="C38" s="3">
        <v>5.6511801E-2</v>
      </c>
      <c r="D38" s="3">
        <v>9.5181696999999996E-2</v>
      </c>
      <c r="E38" s="3">
        <v>7.7510843999999995E-2</v>
      </c>
      <c r="F38" s="3">
        <v>6.9390453000000005E-2</v>
      </c>
      <c r="G38" s="3">
        <v>6.1661571999999998E-2</v>
      </c>
      <c r="H38" s="3">
        <v>0.111231286</v>
      </c>
      <c r="I38" s="3">
        <v>6.1000541999999998E-2</v>
      </c>
      <c r="J38" s="3">
        <v>0.10200514199999999</v>
      </c>
      <c r="K38" s="3">
        <v>8.0985250999999994E-2</v>
      </c>
      <c r="L38" s="3">
        <v>0.120703344</v>
      </c>
      <c r="M38" s="3">
        <v>5.5949543999999997E-2</v>
      </c>
      <c r="N38" s="3">
        <v>0.105111723</v>
      </c>
      <c r="O38" s="3">
        <v>5.5640727000000001E-2</v>
      </c>
      <c r="P38" s="3">
        <v>0.116252064</v>
      </c>
      <c r="Q38" s="3">
        <v>4.6030006999999998E-2</v>
      </c>
      <c r="R38" s="3">
        <v>9.1624229000000001E-2</v>
      </c>
      <c r="S38" s="3">
        <v>2.5176819999999999E-2</v>
      </c>
      <c r="T38" s="3">
        <v>0.14777664500000001</v>
      </c>
      <c r="U38" s="3">
        <v>4.8875776000000003E-2</v>
      </c>
      <c r="AB38">
        <v>0</v>
      </c>
      <c r="AC38">
        <v>1</v>
      </c>
      <c r="AD38">
        <v>1</v>
      </c>
    </row>
    <row r="39" spans="1:30" x14ac:dyDescent="0.3">
      <c r="A39" s="1">
        <v>44994</v>
      </c>
      <c r="B39" s="3">
        <v>0.17213117</v>
      </c>
      <c r="C39" s="3">
        <v>6.4133186999999994E-2</v>
      </c>
      <c r="D39" s="3">
        <v>0.171590468</v>
      </c>
      <c r="E39" s="3">
        <v>5.5659050000000002E-2</v>
      </c>
      <c r="F39" s="3">
        <v>4.7691905E-2</v>
      </c>
      <c r="G39" s="3">
        <v>5.6511801E-2</v>
      </c>
      <c r="H39" s="3">
        <v>9.5181696999999996E-2</v>
      </c>
      <c r="I39" s="3">
        <v>7.7510843999999995E-2</v>
      </c>
      <c r="J39" s="3">
        <v>6.9390453000000005E-2</v>
      </c>
      <c r="K39" s="3">
        <v>6.1661571999999998E-2</v>
      </c>
      <c r="L39" s="3">
        <v>0.111231286</v>
      </c>
      <c r="M39" s="3">
        <v>6.1000541999999998E-2</v>
      </c>
      <c r="N39" s="3">
        <v>0.10200514199999999</v>
      </c>
      <c r="O39" s="3">
        <v>8.0985250999999994E-2</v>
      </c>
      <c r="P39" s="3">
        <v>0.120703344</v>
      </c>
      <c r="Q39" s="3">
        <v>5.5949543999999997E-2</v>
      </c>
      <c r="R39" s="3">
        <v>0.105111723</v>
      </c>
      <c r="S39" s="3">
        <v>5.5640727000000001E-2</v>
      </c>
      <c r="T39" s="3">
        <v>0.116252064</v>
      </c>
      <c r="U39" s="3">
        <v>4.6030006999999998E-2</v>
      </c>
      <c r="AB39">
        <v>0</v>
      </c>
      <c r="AC39">
        <v>1</v>
      </c>
      <c r="AD39">
        <v>1</v>
      </c>
    </row>
    <row r="40" spans="1:30" x14ac:dyDescent="0.3">
      <c r="A40" s="1">
        <v>44995</v>
      </c>
      <c r="B40" s="3">
        <v>0.188898965</v>
      </c>
      <c r="C40" s="3">
        <v>6.7044199999999998E-2</v>
      </c>
      <c r="D40" s="3">
        <v>0.17776655799999999</v>
      </c>
      <c r="E40" s="3">
        <v>0.10539905500000001</v>
      </c>
      <c r="F40" s="3">
        <v>0.17213117</v>
      </c>
      <c r="G40" s="3">
        <v>6.4133186999999994E-2</v>
      </c>
      <c r="H40" s="3">
        <v>0.171590468</v>
      </c>
      <c r="I40" s="3">
        <v>5.5659050000000002E-2</v>
      </c>
      <c r="J40" s="3">
        <v>4.7691905E-2</v>
      </c>
      <c r="K40" s="3">
        <v>5.6511801E-2</v>
      </c>
      <c r="L40" s="3">
        <v>9.5181696999999996E-2</v>
      </c>
      <c r="M40" s="3">
        <v>7.7510843999999995E-2</v>
      </c>
      <c r="N40" s="3">
        <v>6.9390453000000005E-2</v>
      </c>
      <c r="O40" s="3">
        <v>6.1661571999999998E-2</v>
      </c>
      <c r="P40" s="3">
        <v>0.111231286</v>
      </c>
      <c r="Q40" s="3">
        <v>6.1000541999999998E-2</v>
      </c>
      <c r="R40" s="3">
        <v>0.10200514199999999</v>
      </c>
      <c r="S40" s="3">
        <v>8.0985250999999994E-2</v>
      </c>
      <c r="T40" s="3">
        <v>0.120703344</v>
      </c>
      <c r="U40" s="3">
        <v>5.5949543999999997E-2</v>
      </c>
      <c r="AB40">
        <v>0</v>
      </c>
      <c r="AC40">
        <v>0</v>
      </c>
      <c r="AD40">
        <v>0</v>
      </c>
    </row>
    <row r="41" spans="1:30" x14ac:dyDescent="0.3">
      <c r="A41" s="1">
        <v>44998</v>
      </c>
      <c r="B41" s="3">
        <v>0.17720796</v>
      </c>
      <c r="C41" s="3">
        <v>9.7320377999999999E-2</v>
      </c>
      <c r="D41" s="3">
        <v>0.36896240800000002</v>
      </c>
      <c r="E41" s="3">
        <v>0.180082029</v>
      </c>
      <c r="F41" s="3">
        <v>0.188898965</v>
      </c>
      <c r="G41" s="3">
        <v>6.7044199999999998E-2</v>
      </c>
      <c r="H41" s="3">
        <v>0.17776655799999999</v>
      </c>
      <c r="I41" s="3">
        <v>0.10539905500000001</v>
      </c>
      <c r="J41" s="3">
        <v>0.17213117</v>
      </c>
      <c r="K41" s="3">
        <v>6.4133186999999994E-2</v>
      </c>
      <c r="L41" s="3">
        <v>0.171590468</v>
      </c>
      <c r="M41" s="3">
        <v>5.5659050000000002E-2</v>
      </c>
      <c r="N41" s="3">
        <v>4.7691905E-2</v>
      </c>
      <c r="O41" s="3">
        <v>5.6511801E-2</v>
      </c>
      <c r="P41" s="3">
        <v>9.5181696999999996E-2</v>
      </c>
      <c r="Q41" s="3">
        <v>7.7510843999999995E-2</v>
      </c>
      <c r="R41" s="3">
        <v>6.9390453000000005E-2</v>
      </c>
      <c r="S41" s="3">
        <v>6.1661571999999998E-2</v>
      </c>
      <c r="T41" s="3">
        <v>0.111231286</v>
      </c>
      <c r="U41" s="3">
        <v>6.1000541999999998E-2</v>
      </c>
      <c r="AB41">
        <v>0</v>
      </c>
      <c r="AC41">
        <v>0</v>
      </c>
      <c r="AD41">
        <v>0</v>
      </c>
    </row>
    <row r="42" spans="1:30" x14ac:dyDescent="0.3">
      <c r="A42" s="1">
        <v>44999</v>
      </c>
      <c r="B42" s="3">
        <v>0.34356709099999999</v>
      </c>
      <c r="C42" s="3">
        <v>0.123316854</v>
      </c>
      <c r="D42" s="3">
        <v>0.357268857</v>
      </c>
      <c r="E42" s="3">
        <v>0.22922791000000001</v>
      </c>
      <c r="F42" s="3">
        <v>0.17720796</v>
      </c>
      <c r="G42" s="3">
        <v>9.7320377999999999E-2</v>
      </c>
      <c r="H42" s="3">
        <v>0.36896240800000002</v>
      </c>
      <c r="I42" s="3">
        <v>0.180082029</v>
      </c>
      <c r="J42" s="3">
        <v>0.188898965</v>
      </c>
      <c r="K42" s="3">
        <v>6.7044199999999998E-2</v>
      </c>
      <c r="L42" s="3">
        <v>0.17776655799999999</v>
      </c>
      <c r="M42" s="3">
        <v>0.10539905500000001</v>
      </c>
      <c r="N42" s="3">
        <v>0.17213117</v>
      </c>
      <c r="O42" s="3">
        <v>6.4133186999999994E-2</v>
      </c>
      <c r="P42" s="3">
        <v>0.171590468</v>
      </c>
      <c r="Q42" s="3">
        <v>5.5659050000000002E-2</v>
      </c>
      <c r="R42" s="3">
        <v>4.7691905E-2</v>
      </c>
      <c r="S42" s="3">
        <v>5.6511801E-2</v>
      </c>
      <c r="T42" s="3">
        <v>9.5181696999999996E-2</v>
      </c>
      <c r="U42" s="3">
        <v>7.7510843999999995E-2</v>
      </c>
      <c r="AB42">
        <v>0</v>
      </c>
      <c r="AC42">
        <v>0</v>
      </c>
      <c r="AD42">
        <v>0</v>
      </c>
    </row>
    <row r="43" spans="1:30" x14ac:dyDescent="0.3">
      <c r="A43" s="1">
        <v>45000</v>
      </c>
      <c r="B43" s="3">
        <v>4.1235427999999998E-2</v>
      </c>
      <c r="C43" s="3">
        <v>4.2171071999999997E-2</v>
      </c>
      <c r="D43" s="3">
        <v>3.4206523000000003E-2</v>
      </c>
      <c r="E43" s="3">
        <v>4.6779348999999998E-2</v>
      </c>
      <c r="F43" s="3">
        <v>0.34356709099999999</v>
      </c>
      <c r="G43" s="3">
        <v>0.123316854</v>
      </c>
      <c r="H43" s="3">
        <v>0.357268857</v>
      </c>
      <c r="I43" s="3">
        <v>0.22922791000000001</v>
      </c>
      <c r="J43" s="3">
        <v>0.17720796</v>
      </c>
      <c r="K43" s="3">
        <v>9.7320377999999999E-2</v>
      </c>
      <c r="L43" s="3">
        <v>0.36896240800000002</v>
      </c>
      <c r="M43" s="3">
        <v>0.180082029</v>
      </c>
      <c r="N43" s="3">
        <v>0.188898965</v>
      </c>
      <c r="O43" s="3">
        <v>6.7044199999999998E-2</v>
      </c>
      <c r="P43" s="3">
        <v>0.17776655799999999</v>
      </c>
      <c r="Q43" s="3">
        <v>0.10539905500000001</v>
      </c>
      <c r="R43" s="3">
        <v>0.17213117</v>
      </c>
      <c r="S43" s="3">
        <v>6.4133186999999994E-2</v>
      </c>
      <c r="T43" s="3">
        <v>0.171590468</v>
      </c>
      <c r="U43" s="3">
        <v>5.5659050000000002E-2</v>
      </c>
      <c r="AB43">
        <v>1</v>
      </c>
      <c r="AC43">
        <v>0</v>
      </c>
      <c r="AD43">
        <v>1</v>
      </c>
    </row>
    <row r="44" spans="1:30" x14ac:dyDescent="0.3">
      <c r="A44" s="1">
        <v>45001</v>
      </c>
      <c r="B44" s="3">
        <v>8.0403319000000001E-2</v>
      </c>
      <c r="C44" s="3">
        <v>3.4862228000000002E-2</v>
      </c>
      <c r="D44" s="3">
        <v>0.121124959</v>
      </c>
      <c r="E44" s="3">
        <v>6.3943363000000003E-2</v>
      </c>
      <c r="F44" s="3">
        <v>4.1235427999999998E-2</v>
      </c>
      <c r="G44" s="3">
        <v>4.2171071999999997E-2</v>
      </c>
      <c r="H44" s="3">
        <v>3.4206523000000003E-2</v>
      </c>
      <c r="I44" s="3">
        <v>4.6779348999999998E-2</v>
      </c>
      <c r="J44" s="3">
        <v>0.34356709099999999</v>
      </c>
      <c r="K44" s="3">
        <v>0.123316854</v>
      </c>
      <c r="L44" s="3">
        <v>0.357268857</v>
      </c>
      <c r="M44" s="3">
        <v>0.22922791000000001</v>
      </c>
      <c r="N44" s="3">
        <v>0.17720796</v>
      </c>
      <c r="O44" s="3">
        <v>9.7320377999999999E-2</v>
      </c>
      <c r="P44" s="3">
        <v>0.36896240800000002</v>
      </c>
      <c r="Q44" s="3">
        <v>0.180082029</v>
      </c>
      <c r="R44" s="3">
        <v>0.188898965</v>
      </c>
      <c r="S44" s="3">
        <v>6.7044199999999998E-2</v>
      </c>
      <c r="T44" s="3">
        <v>0.17776655799999999</v>
      </c>
      <c r="U44" s="3">
        <v>0.10539905500000001</v>
      </c>
      <c r="AB44">
        <v>1</v>
      </c>
      <c r="AC44">
        <v>0</v>
      </c>
      <c r="AD44">
        <v>1</v>
      </c>
    </row>
    <row r="45" spans="1:30" x14ac:dyDescent="0.3">
      <c r="A45" s="1">
        <v>45002</v>
      </c>
      <c r="B45" s="3">
        <v>3.4820377E-2</v>
      </c>
      <c r="C45" s="3">
        <v>3.3383018E-2</v>
      </c>
      <c r="D45" s="3">
        <v>0.103542364</v>
      </c>
      <c r="E45" s="3">
        <v>4.046189E-2</v>
      </c>
      <c r="F45" s="3">
        <v>8.0403319000000001E-2</v>
      </c>
      <c r="G45" s="3">
        <v>3.4862228000000002E-2</v>
      </c>
      <c r="H45" s="3">
        <v>0.121124959</v>
      </c>
      <c r="I45" s="3">
        <v>6.3943363000000003E-2</v>
      </c>
      <c r="J45" s="3">
        <v>4.1235427999999998E-2</v>
      </c>
      <c r="K45" s="3">
        <v>4.2171071999999997E-2</v>
      </c>
      <c r="L45" s="3">
        <v>3.4206523000000003E-2</v>
      </c>
      <c r="M45" s="3">
        <v>4.6779348999999998E-2</v>
      </c>
      <c r="N45" s="3">
        <v>0.34356709099999999</v>
      </c>
      <c r="O45" s="3">
        <v>0.123316854</v>
      </c>
      <c r="P45" s="3">
        <v>0.357268857</v>
      </c>
      <c r="Q45" s="3">
        <v>0.22922791000000001</v>
      </c>
      <c r="R45" s="3">
        <v>0.17720796</v>
      </c>
      <c r="S45" s="3">
        <v>9.7320377999999999E-2</v>
      </c>
      <c r="T45" s="3">
        <v>0.36896240800000002</v>
      </c>
      <c r="U45" s="3">
        <v>0.180082029</v>
      </c>
      <c r="AB45">
        <v>1</v>
      </c>
      <c r="AC45">
        <v>0</v>
      </c>
      <c r="AD45">
        <v>1</v>
      </c>
    </row>
    <row r="46" spans="1:30" x14ac:dyDescent="0.3">
      <c r="A46" s="1">
        <v>45005</v>
      </c>
      <c r="B46" s="3">
        <v>4.9997610999999997E-2</v>
      </c>
      <c r="C46" s="3">
        <v>3.3149929000000002E-2</v>
      </c>
      <c r="D46" s="3">
        <v>7.6982033000000005E-2</v>
      </c>
      <c r="E46" s="3">
        <v>4.3536983000000001E-2</v>
      </c>
      <c r="F46" s="3">
        <v>3.4820377E-2</v>
      </c>
      <c r="G46" s="3">
        <v>3.3383018E-2</v>
      </c>
      <c r="H46" s="3">
        <v>0.103542364</v>
      </c>
      <c r="I46" s="3">
        <v>4.046189E-2</v>
      </c>
      <c r="J46" s="3">
        <v>8.0403319000000001E-2</v>
      </c>
      <c r="K46" s="3">
        <v>3.4862228000000002E-2</v>
      </c>
      <c r="L46" s="3">
        <v>0.121124959</v>
      </c>
      <c r="M46" s="3">
        <v>6.3943363000000003E-2</v>
      </c>
      <c r="N46" s="3">
        <v>4.1235427999999998E-2</v>
      </c>
      <c r="O46" s="3">
        <v>4.2171071999999997E-2</v>
      </c>
      <c r="P46" s="3">
        <v>3.4206523000000003E-2</v>
      </c>
      <c r="Q46" s="3">
        <v>4.6779348999999998E-2</v>
      </c>
      <c r="R46" s="3">
        <v>0.34356709099999999</v>
      </c>
      <c r="S46" s="3">
        <v>0.123316854</v>
      </c>
      <c r="T46" s="3">
        <v>0.357268857</v>
      </c>
      <c r="U46" s="3">
        <v>0.22922791000000001</v>
      </c>
      <c r="AB46">
        <v>1</v>
      </c>
      <c r="AC46">
        <v>0</v>
      </c>
      <c r="AD46">
        <v>1</v>
      </c>
    </row>
    <row r="47" spans="1:30" x14ac:dyDescent="0.3">
      <c r="A47" s="1">
        <v>45006</v>
      </c>
      <c r="B47" s="3">
        <v>2.0912552000000001E-2</v>
      </c>
      <c r="C47" s="3">
        <v>2.8771165000000001E-2</v>
      </c>
      <c r="D47" s="3">
        <v>6.9041775E-2</v>
      </c>
      <c r="E47" s="3">
        <v>4.3749859000000002E-2</v>
      </c>
      <c r="F47" s="3">
        <v>4.9997610999999997E-2</v>
      </c>
      <c r="G47" s="3">
        <v>3.3149929000000002E-2</v>
      </c>
      <c r="H47" s="3">
        <v>7.6982033000000005E-2</v>
      </c>
      <c r="I47" s="3">
        <v>4.3536983000000001E-2</v>
      </c>
      <c r="J47" s="3">
        <v>3.4820377E-2</v>
      </c>
      <c r="K47" s="3">
        <v>3.3383018E-2</v>
      </c>
      <c r="L47" s="3">
        <v>0.103542364</v>
      </c>
      <c r="M47" s="3">
        <v>4.046189E-2</v>
      </c>
      <c r="N47" s="3">
        <v>8.0403319000000001E-2</v>
      </c>
      <c r="O47" s="3">
        <v>3.4862228000000002E-2</v>
      </c>
      <c r="P47" s="3">
        <v>0.121124959</v>
      </c>
      <c r="Q47" s="3">
        <v>6.3943363000000003E-2</v>
      </c>
      <c r="R47" s="3">
        <v>4.1235427999999998E-2</v>
      </c>
      <c r="S47" s="3">
        <v>4.2171071999999997E-2</v>
      </c>
      <c r="T47" s="3">
        <v>3.4206523000000003E-2</v>
      </c>
      <c r="U47" s="3">
        <v>4.6779348999999998E-2</v>
      </c>
      <c r="AB47">
        <v>0</v>
      </c>
      <c r="AC47">
        <v>0</v>
      </c>
      <c r="AD47">
        <v>0</v>
      </c>
    </row>
    <row r="48" spans="1:30" x14ac:dyDescent="0.3">
      <c r="A48" s="1">
        <v>45007</v>
      </c>
      <c r="B48" s="3">
        <v>1.8000421999999999E-2</v>
      </c>
      <c r="C48" s="3">
        <v>3.6607720000000003E-2</v>
      </c>
      <c r="D48" s="3">
        <v>6.5140511999999998E-2</v>
      </c>
      <c r="E48" s="3">
        <v>5.3432819999999999E-2</v>
      </c>
      <c r="F48" s="3">
        <v>2.0912552000000001E-2</v>
      </c>
      <c r="G48" s="3">
        <v>2.8771165000000001E-2</v>
      </c>
      <c r="H48" s="3">
        <v>6.9041775E-2</v>
      </c>
      <c r="I48" s="3">
        <v>4.3749859000000002E-2</v>
      </c>
      <c r="J48" s="3">
        <v>4.9997610999999997E-2</v>
      </c>
      <c r="K48" s="3">
        <v>3.3149929000000002E-2</v>
      </c>
      <c r="L48" s="3">
        <v>7.6982033000000005E-2</v>
      </c>
      <c r="M48" s="3">
        <v>4.3536983000000001E-2</v>
      </c>
      <c r="N48" s="3">
        <v>3.4820377E-2</v>
      </c>
      <c r="O48" s="3">
        <v>3.3383018E-2</v>
      </c>
      <c r="P48" s="3">
        <v>0.103542364</v>
      </c>
      <c r="Q48" s="3">
        <v>4.046189E-2</v>
      </c>
      <c r="R48" s="3">
        <v>8.0403319000000001E-2</v>
      </c>
      <c r="S48" s="3">
        <v>3.4862228000000002E-2</v>
      </c>
      <c r="T48" s="3">
        <v>0.121124959</v>
      </c>
      <c r="U48" s="3">
        <v>6.3943363000000003E-2</v>
      </c>
      <c r="AB48">
        <v>0</v>
      </c>
      <c r="AC48">
        <v>0</v>
      </c>
      <c r="AD48">
        <v>0</v>
      </c>
    </row>
    <row r="49" spans="1:30" x14ac:dyDescent="0.3">
      <c r="A49" s="1">
        <v>45008</v>
      </c>
      <c r="B49" s="3">
        <v>6.8292318000000005E-2</v>
      </c>
      <c r="C49" s="3">
        <v>4.2176549000000001E-2</v>
      </c>
      <c r="D49" s="3">
        <v>0.11947521699999999</v>
      </c>
      <c r="E49" s="3">
        <v>4.6700419E-2</v>
      </c>
      <c r="F49" s="3">
        <v>1.8000421999999999E-2</v>
      </c>
      <c r="G49" s="3">
        <v>3.6607720000000003E-2</v>
      </c>
      <c r="H49" s="3">
        <v>6.5140511999999998E-2</v>
      </c>
      <c r="I49" s="3">
        <v>5.3432819999999999E-2</v>
      </c>
      <c r="J49" s="3">
        <v>2.0912552000000001E-2</v>
      </c>
      <c r="K49" s="3">
        <v>2.8771165000000001E-2</v>
      </c>
      <c r="L49" s="3">
        <v>6.9041775E-2</v>
      </c>
      <c r="M49" s="3">
        <v>4.3749859000000002E-2</v>
      </c>
      <c r="N49" s="3">
        <v>4.9997610999999997E-2</v>
      </c>
      <c r="O49" s="3">
        <v>3.3149929000000002E-2</v>
      </c>
      <c r="P49" s="3">
        <v>7.6982033000000005E-2</v>
      </c>
      <c r="Q49" s="3">
        <v>4.3536983000000001E-2</v>
      </c>
      <c r="R49" s="3">
        <v>3.4820377E-2</v>
      </c>
      <c r="S49" s="3">
        <v>3.3383018E-2</v>
      </c>
      <c r="T49" s="3">
        <v>0.103542364</v>
      </c>
      <c r="U49" s="3">
        <v>4.046189E-2</v>
      </c>
      <c r="AB49">
        <v>0</v>
      </c>
      <c r="AC49">
        <v>0</v>
      </c>
      <c r="AD49">
        <v>0</v>
      </c>
    </row>
    <row r="50" spans="1:30" x14ac:dyDescent="0.3">
      <c r="A50" s="1">
        <v>45009</v>
      </c>
      <c r="B50" s="3">
        <v>6.8059779000000001E-2</v>
      </c>
      <c r="C50" s="3">
        <v>3.0529067E-2</v>
      </c>
      <c r="D50" s="3">
        <v>9.6522079999999996E-2</v>
      </c>
      <c r="E50" s="3">
        <v>4.9736306000000001E-2</v>
      </c>
      <c r="F50" s="3">
        <v>6.8292318000000005E-2</v>
      </c>
      <c r="G50" s="3">
        <v>4.2176549000000001E-2</v>
      </c>
      <c r="H50" s="3">
        <v>0.11947521699999999</v>
      </c>
      <c r="I50" s="3">
        <v>4.6700419E-2</v>
      </c>
      <c r="J50" s="3">
        <v>1.8000421999999999E-2</v>
      </c>
      <c r="K50" s="3">
        <v>3.6607720000000003E-2</v>
      </c>
      <c r="L50" s="3">
        <v>6.5140511999999998E-2</v>
      </c>
      <c r="M50" s="3">
        <v>5.3432819999999999E-2</v>
      </c>
      <c r="N50" s="3">
        <v>2.0912552000000001E-2</v>
      </c>
      <c r="O50" s="3">
        <v>2.8771165000000001E-2</v>
      </c>
      <c r="P50" s="3">
        <v>6.9041775E-2</v>
      </c>
      <c r="Q50" s="3">
        <v>4.3749859000000002E-2</v>
      </c>
      <c r="R50" s="3">
        <v>4.9997610999999997E-2</v>
      </c>
      <c r="S50" s="3">
        <v>3.3149929000000002E-2</v>
      </c>
      <c r="T50" s="3">
        <v>7.6982033000000005E-2</v>
      </c>
      <c r="U50" s="3">
        <v>4.3536983000000001E-2</v>
      </c>
      <c r="AB50">
        <v>0</v>
      </c>
      <c r="AC50">
        <v>0</v>
      </c>
      <c r="AD50">
        <v>0</v>
      </c>
    </row>
    <row r="51" spans="1:30" x14ac:dyDescent="0.3">
      <c r="A51" s="1">
        <v>45012</v>
      </c>
      <c r="B51" s="3">
        <v>6.7957654000000006E-2</v>
      </c>
      <c r="C51" s="3">
        <v>2.7488032999999999E-2</v>
      </c>
      <c r="D51" s="3">
        <v>6.9512244000000001E-2</v>
      </c>
      <c r="E51" s="3">
        <v>3.2597081E-2</v>
      </c>
      <c r="F51" s="3">
        <v>6.8059779000000001E-2</v>
      </c>
      <c r="G51" s="3">
        <v>3.0529067E-2</v>
      </c>
      <c r="H51" s="3">
        <v>9.6522079999999996E-2</v>
      </c>
      <c r="I51" s="3">
        <v>4.9736306000000001E-2</v>
      </c>
      <c r="J51" s="3">
        <v>6.8292318000000005E-2</v>
      </c>
      <c r="K51" s="3">
        <v>4.2176549000000001E-2</v>
      </c>
      <c r="L51" s="3">
        <v>0.11947521699999999</v>
      </c>
      <c r="M51" s="3">
        <v>4.6700419E-2</v>
      </c>
      <c r="N51" s="3">
        <v>1.8000421999999999E-2</v>
      </c>
      <c r="O51" s="3">
        <v>3.6607720000000003E-2</v>
      </c>
      <c r="P51" s="3">
        <v>6.5140511999999998E-2</v>
      </c>
      <c r="Q51" s="3">
        <v>5.3432819999999999E-2</v>
      </c>
      <c r="R51" s="3">
        <v>2.0912552000000001E-2</v>
      </c>
      <c r="S51" s="3">
        <v>2.8771165000000001E-2</v>
      </c>
      <c r="T51" s="3">
        <v>6.9041775E-2</v>
      </c>
      <c r="U51" s="3">
        <v>4.3749859000000002E-2</v>
      </c>
      <c r="AB51">
        <v>0</v>
      </c>
      <c r="AC51">
        <v>0</v>
      </c>
      <c r="AD51">
        <v>0</v>
      </c>
    </row>
    <row r="52" spans="1:30" x14ac:dyDescent="0.3">
      <c r="A52" s="1">
        <v>45013</v>
      </c>
      <c r="B52" s="3">
        <v>5.5177289999999997E-2</v>
      </c>
      <c r="C52" s="3">
        <v>2.6565760000000001E-2</v>
      </c>
      <c r="D52" s="3">
        <v>4.8521679999999998E-2</v>
      </c>
      <c r="E52" s="3">
        <v>4.2520135000000001E-2</v>
      </c>
      <c r="F52" s="3">
        <v>6.7957654000000006E-2</v>
      </c>
      <c r="G52" s="3">
        <v>2.7488032999999999E-2</v>
      </c>
      <c r="H52" s="3">
        <v>6.9512244000000001E-2</v>
      </c>
      <c r="I52" s="3">
        <v>3.2597081E-2</v>
      </c>
      <c r="J52" s="3">
        <v>6.8059779000000001E-2</v>
      </c>
      <c r="K52" s="3">
        <v>3.0529067E-2</v>
      </c>
      <c r="L52" s="3">
        <v>9.6522079999999996E-2</v>
      </c>
      <c r="M52" s="3">
        <v>4.9736306000000001E-2</v>
      </c>
      <c r="N52" s="3">
        <v>6.8292318000000005E-2</v>
      </c>
      <c r="O52" s="3">
        <v>4.2176549000000001E-2</v>
      </c>
      <c r="P52" s="3">
        <v>0.11947521699999999</v>
      </c>
      <c r="Q52" s="3">
        <v>4.6700419E-2</v>
      </c>
      <c r="R52" s="3">
        <v>1.8000421999999999E-2</v>
      </c>
      <c r="S52" s="3">
        <v>3.6607720000000003E-2</v>
      </c>
      <c r="T52" s="3">
        <v>6.5140511999999998E-2</v>
      </c>
      <c r="U52" s="3">
        <v>5.3432819999999999E-2</v>
      </c>
      <c r="AB52">
        <v>0</v>
      </c>
      <c r="AC52">
        <v>0</v>
      </c>
      <c r="AD52">
        <v>0</v>
      </c>
    </row>
    <row r="53" spans="1:30" x14ac:dyDescent="0.3">
      <c r="A53" s="1">
        <v>45014</v>
      </c>
      <c r="B53" s="3">
        <v>2.1569079000000001E-2</v>
      </c>
      <c r="C53" s="3">
        <v>3.212926E-2</v>
      </c>
      <c r="D53" s="3">
        <v>4.8719989999999998E-2</v>
      </c>
      <c r="E53" s="3">
        <v>4.5315691999999998E-2</v>
      </c>
      <c r="F53" s="3">
        <v>5.5177289999999997E-2</v>
      </c>
      <c r="G53" s="3">
        <v>2.6565760000000001E-2</v>
      </c>
      <c r="H53" s="3">
        <v>4.8521679999999998E-2</v>
      </c>
      <c r="I53" s="3">
        <v>4.2520135000000001E-2</v>
      </c>
      <c r="J53" s="3">
        <v>6.7957654000000006E-2</v>
      </c>
      <c r="K53" s="3">
        <v>2.7488032999999999E-2</v>
      </c>
      <c r="L53" s="3">
        <v>6.9512244000000001E-2</v>
      </c>
      <c r="M53" s="3">
        <v>3.2597081E-2</v>
      </c>
      <c r="N53" s="3">
        <v>6.8059779000000001E-2</v>
      </c>
      <c r="O53" s="3">
        <v>3.0529067E-2</v>
      </c>
      <c r="P53" s="3">
        <v>9.6522079999999996E-2</v>
      </c>
      <c r="Q53" s="3">
        <v>4.9736306000000001E-2</v>
      </c>
      <c r="R53" s="3">
        <v>6.8292318000000005E-2</v>
      </c>
      <c r="S53" s="3">
        <v>4.2176549000000001E-2</v>
      </c>
      <c r="T53" s="3">
        <v>0.11947521699999999</v>
      </c>
      <c r="U53" s="3">
        <v>4.6700419E-2</v>
      </c>
      <c r="AB53">
        <v>0</v>
      </c>
      <c r="AC53">
        <v>0</v>
      </c>
      <c r="AD53">
        <v>0</v>
      </c>
    </row>
    <row r="54" spans="1:30" x14ac:dyDescent="0.3">
      <c r="A54" s="1">
        <v>45015</v>
      </c>
      <c r="B54" s="3">
        <v>7.1968165000000001E-2</v>
      </c>
      <c r="C54" s="3">
        <v>2.488959E-2</v>
      </c>
      <c r="D54" s="3">
        <v>0.110867365</v>
      </c>
      <c r="E54" s="3">
        <v>3.7372558E-2</v>
      </c>
      <c r="F54" s="3">
        <v>2.1569079000000001E-2</v>
      </c>
      <c r="G54" s="3">
        <v>3.212926E-2</v>
      </c>
      <c r="H54" s="3">
        <v>4.8719989999999998E-2</v>
      </c>
      <c r="I54" s="3">
        <v>4.5315691999999998E-2</v>
      </c>
      <c r="J54" s="3">
        <v>5.5177289999999997E-2</v>
      </c>
      <c r="K54" s="3">
        <v>2.6565760000000001E-2</v>
      </c>
      <c r="L54" s="3">
        <v>4.8521679999999998E-2</v>
      </c>
      <c r="M54" s="3">
        <v>4.2520135000000001E-2</v>
      </c>
      <c r="N54" s="3">
        <v>6.7957654000000006E-2</v>
      </c>
      <c r="O54" s="3">
        <v>2.7488032999999999E-2</v>
      </c>
      <c r="P54" s="3">
        <v>6.9512244000000001E-2</v>
      </c>
      <c r="Q54" s="3">
        <v>3.2597081E-2</v>
      </c>
      <c r="R54" s="3">
        <v>6.8059779000000001E-2</v>
      </c>
      <c r="S54" s="3">
        <v>3.0529067E-2</v>
      </c>
      <c r="T54" s="3">
        <v>9.6522079999999996E-2</v>
      </c>
      <c r="U54" s="3">
        <v>4.9736306000000001E-2</v>
      </c>
      <c r="AB54">
        <v>0</v>
      </c>
      <c r="AC54">
        <v>0</v>
      </c>
      <c r="AD54">
        <v>0</v>
      </c>
    </row>
    <row r="55" spans="1:30" x14ac:dyDescent="0.3">
      <c r="A55" s="1">
        <v>45016</v>
      </c>
      <c r="B55" s="3">
        <v>8.7982273999999999E-2</v>
      </c>
      <c r="C55" s="3">
        <v>3.3227708000000002E-2</v>
      </c>
      <c r="D55" s="3">
        <v>8.9931387000000002E-2</v>
      </c>
      <c r="E55" s="3">
        <v>4.2283488000000001E-2</v>
      </c>
      <c r="F55" s="3">
        <v>7.1968165000000001E-2</v>
      </c>
      <c r="G55" s="3">
        <v>2.488959E-2</v>
      </c>
      <c r="H55" s="3">
        <v>0.110867365</v>
      </c>
      <c r="I55" s="3">
        <v>3.7372558E-2</v>
      </c>
      <c r="J55" s="3">
        <v>2.1569079000000001E-2</v>
      </c>
      <c r="K55" s="3">
        <v>3.212926E-2</v>
      </c>
      <c r="L55" s="3">
        <v>4.8719989999999998E-2</v>
      </c>
      <c r="M55" s="3">
        <v>4.5315691999999998E-2</v>
      </c>
      <c r="N55" s="3">
        <v>5.5177289999999997E-2</v>
      </c>
      <c r="O55" s="3">
        <v>2.6565760000000001E-2</v>
      </c>
      <c r="P55" s="3">
        <v>4.8521679999999998E-2</v>
      </c>
      <c r="Q55" s="3">
        <v>4.2520135000000001E-2</v>
      </c>
      <c r="R55" s="3">
        <v>6.7957654000000006E-2</v>
      </c>
      <c r="S55" s="3">
        <v>2.7488032999999999E-2</v>
      </c>
      <c r="T55" s="3">
        <v>6.9512244000000001E-2</v>
      </c>
      <c r="U55" s="3">
        <v>3.2597081E-2</v>
      </c>
      <c r="AB55">
        <v>0</v>
      </c>
      <c r="AC55">
        <v>0</v>
      </c>
      <c r="AD55">
        <v>0</v>
      </c>
    </row>
    <row r="56" spans="1:30" x14ac:dyDescent="0.3">
      <c r="A56" s="1">
        <v>45022</v>
      </c>
      <c r="B56" s="3">
        <v>5.5265881000000003E-2</v>
      </c>
      <c r="C56" s="3">
        <v>5.1756781000000002E-2</v>
      </c>
      <c r="D56" s="3">
        <v>7.3793128E-2</v>
      </c>
      <c r="E56" s="3">
        <v>6.6560462000000001E-2</v>
      </c>
      <c r="F56" s="3">
        <v>8.7982273999999999E-2</v>
      </c>
      <c r="G56" s="3">
        <v>3.3227708000000002E-2</v>
      </c>
      <c r="H56" s="3">
        <v>8.9931387000000002E-2</v>
      </c>
      <c r="I56" s="3">
        <v>4.2283488000000001E-2</v>
      </c>
      <c r="J56" s="3">
        <v>7.1968165000000001E-2</v>
      </c>
      <c r="K56" s="3">
        <v>2.488959E-2</v>
      </c>
      <c r="L56" s="3">
        <v>0.110867365</v>
      </c>
      <c r="M56" s="3">
        <v>3.7372558E-2</v>
      </c>
      <c r="N56" s="3">
        <v>2.1569079000000001E-2</v>
      </c>
      <c r="O56" s="3">
        <v>3.212926E-2</v>
      </c>
      <c r="P56" s="3">
        <v>4.8719989999999998E-2</v>
      </c>
      <c r="Q56" s="3">
        <v>4.5315691999999998E-2</v>
      </c>
      <c r="R56" s="3">
        <v>5.5177289999999997E-2</v>
      </c>
      <c r="S56" s="3">
        <v>2.6565760000000001E-2</v>
      </c>
      <c r="T56" s="3">
        <v>4.8521679999999998E-2</v>
      </c>
      <c r="U56" s="3">
        <v>4.2520135000000001E-2</v>
      </c>
      <c r="AB56">
        <v>0</v>
      </c>
      <c r="AC56">
        <v>0</v>
      </c>
      <c r="AD56">
        <v>0</v>
      </c>
    </row>
    <row r="57" spans="1:30" x14ac:dyDescent="0.3">
      <c r="A57" s="1">
        <v>45023</v>
      </c>
      <c r="B57" s="3">
        <v>8.5596474000000006E-2</v>
      </c>
      <c r="C57" s="3">
        <v>3.2803705000000002E-2</v>
      </c>
      <c r="D57" s="3">
        <v>0.115860161</v>
      </c>
      <c r="E57" s="3">
        <v>4.4251503999999997E-2</v>
      </c>
      <c r="F57" s="3">
        <v>5.5265881000000003E-2</v>
      </c>
      <c r="G57" s="3">
        <v>5.1756781000000002E-2</v>
      </c>
      <c r="H57" s="3">
        <v>7.3793128E-2</v>
      </c>
      <c r="I57" s="3">
        <v>6.6560462000000001E-2</v>
      </c>
      <c r="J57" s="3">
        <v>8.7982273999999999E-2</v>
      </c>
      <c r="K57" s="3">
        <v>3.3227708000000002E-2</v>
      </c>
      <c r="L57" s="3">
        <v>8.9931387000000002E-2</v>
      </c>
      <c r="M57" s="3">
        <v>4.2283488000000001E-2</v>
      </c>
      <c r="N57" s="3">
        <v>7.1968165000000001E-2</v>
      </c>
      <c r="O57" s="3">
        <v>2.488959E-2</v>
      </c>
      <c r="P57" s="3">
        <v>0.110867365</v>
      </c>
      <c r="Q57" s="3">
        <v>3.7372558E-2</v>
      </c>
      <c r="R57" s="3">
        <v>2.1569079000000001E-2</v>
      </c>
      <c r="S57" s="3">
        <v>3.212926E-2</v>
      </c>
      <c r="T57" s="3">
        <v>4.8719989999999998E-2</v>
      </c>
      <c r="U57" s="3">
        <v>4.5315691999999998E-2</v>
      </c>
      <c r="AB57">
        <v>0</v>
      </c>
      <c r="AC57">
        <v>0</v>
      </c>
      <c r="AD57">
        <v>0</v>
      </c>
    </row>
    <row r="58" spans="1:30" x14ac:dyDescent="0.3">
      <c r="A58" s="1">
        <v>45026</v>
      </c>
      <c r="B58" s="3">
        <v>8.7319727E-2</v>
      </c>
      <c r="C58" s="3">
        <v>4.2203919999999999E-2</v>
      </c>
      <c r="D58" s="3">
        <v>0.10848152</v>
      </c>
      <c r="E58" s="3">
        <v>6.7421736999999995E-2</v>
      </c>
      <c r="F58" s="3">
        <v>8.5596474000000006E-2</v>
      </c>
      <c r="G58" s="3">
        <v>3.2803705000000002E-2</v>
      </c>
      <c r="H58" s="3">
        <v>0.115860161</v>
      </c>
      <c r="I58" s="3">
        <v>4.4251503999999997E-2</v>
      </c>
      <c r="J58" s="3">
        <v>5.5265881000000003E-2</v>
      </c>
      <c r="K58" s="3">
        <v>5.1756781000000002E-2</v>
      </c>
      <c r="L58" s="3">
        <v>7.3793128E-2</v>
      </c>
      <c r="M58" s="3">
        <v>6.6560462000000001E-2</v>
      </c>
      <c r="N58" s="3">
        <v>8.7982273999999999E-2</v>
      </c>
      <c r="O58" s="3">
        <v>3.3227708000000002E-2</v>
      </c>
      <c r="P58" s="3">
        <v>8.9931387000000002E-2</v>
      </c>
      <c r="Q58" s="3">
        <v>4.2283488000000001E-2</v>
      </c>
      <c r="R58" s="3">
        <v>7.1968165000000001E-2</v>
      </c>
      <c r="S58" s="3">
        <v>2.488959E-2</v>
      </c>
      <c r="T58" s="3">
        <v>0.110867365</v>
      </c>
      <c r="U58" s="3">
        <v>3.7372558E-2</v>
      </c>
      <c r="AB58">
        <v>0</v>
      </c>
      <c r="AC58">
        <v>0</v>
      </c>
      <c r="AD58">
        <v>0</v>
      </c>
    </row>
    <row r="59" spans="1:30" x14ac:dyDescent="0.3">
      <c r="A59" s="1">
        <v>45027</v>
      </c>
      <c r="B59" s="3">
        <v>5.6363573E-2</v>
      </c>
      <c r="C59" s="3">
        <v>4.3368366999999998E-2</v>
      </c>
      <c r="D59" s="3">
        <v>9.7228062000000004E-2</v>
      </c>
      <c r="E59" s="3">
        <v>6.8925342000000001E-2</v>
      </c>
      <c r="F59" s="3">
        <v>8.7319727E-2</v>
      </c>
      <c r="G59" s="3">
        <v>4.2203919999999999E-2</v>
      </c>
      <c r="H59" s="3">
        <v>0.10848152</v>
      </c>
      <c r="I59" s="3">
        <v>6.7421736999999995E-2</v>
      </c>
      <c r="J59" s="3">
        <v>8.5596474000000006E-2</v>
      </c>
      <c r="K59" s="3">
        <v>3.2803705000000002E-2</v>
      </c>
      <c r="L59" s="3">
        <v>0.115860161</v>
      </c>
      <c r="M59" s="3">
        <v>4.4251503999999997E-2</v>
      </c>
      <c r="N59" s="3">
        <v>5.5265881000000003E-2</v>
      </c>
      <c r="O59" s="3">
        <v>5.1756781000000002E-2</v>
      </c>
      <c r="P59" s="3">
        <v>7.3793128E-2</v>
      </c>
      <c r="Q59" s="3">
        <v>6.6560462000000001E-2</v>
      </c>
      <c r="R59" s="3">
        <v>8.7982273999999999E-2</v>
      </c>
      <c r="S59" s="3">
        <v>3.3227708000000002E-2</v>
      </c>
      <c r="T59" s="3">
        <v>8.9931387000000002E-2</v>
      </c>
      <c r="U59" s="3">
        <v>4.2283488000000001E-2</v>
      </c>
      <c r="AB59">
        <v>0</v>
      </c>
      <c r="AC59">
        <v>0</v>
      </c>
      <c r="AD59">
        <v>0</v>
      </c>
    </row>
    <row r="60" spans="1:30" x14ac:dyDescent="0.3">
      <c r="A60" s="1">
        <v>45028</v>
      </c>
      <c r="B60" s="3">
        <v>4.9357570000000003E-2</v>
      </c>
      <c r="C60" s="3">
        <v>5.9149845999999999E-2</v>
      </c>
      <c r="D60" s="3">
        <v>9.1846858000000003E-2</v>
      </c>
      <c r="E60" s="3">
        <v>9.4793742E-2</v>
      </c>
      <c r="F60" s="3">
        <v>5.6363573E-2</v>
      </c>
      <c r="G60" s="3">
        <v>4.3368366999999998E-2</v>
      </c>
      <c r="H60" s="3">
        <v>9.7228062000000004E-2</v>
      </c>
      <c r="I60" s="3">
        <v>6.8925342000000001E-2</v>
      </c>
      <c r="J60" s="3">
        <v>8.7319727E-2</v>
      </c>
      <c r="K60" s="3">
        <v>4.2203919999999999E-2</v>
      </c>
      <c r="L60" s="3">
        <v>0.10848152</v>
      </c>
      <c r="M60" s="3">
        <v>6.7421736999999995E-2</v>
      </c>
      <c r="N60" s="3">
        <v>8.5596474000000006E-2</v>
      </c>
      <c r="O60" s="3">
        <v>3.2803705000000002E-2</v>
      </c>
      <c r="P60" s="3">
        <v>0.115860161</v>
      </c>
      <c r="Q60" s="3">
        <v>4.4251503999999997E-2</v>
      </c>
      <c r="R60" s="3">
        <v>5.5265881000000003E-2</v>
      </c>
      <c r="S60" s="3">
        <v>5.1756781000000002E-2</v>
      </c>
      <c r="T60" s="3">
        <v>7.3793128E-2</v>
      </c>
      <c r="U60" s="3">
        <v>6.6560462000000001E-2</v>
      </c>
      <c r="AB60">
        <v>0</v>
      </c>
      <c r="AC60">
        <v>0</v>
      </c>
      <c r="AD60">
        <v>0</v>
      </c>
    </row>
    <row r="61" spans="1:30" x14ac:dyDescent="0.3">
      <c r="A61" s="1">
        <v>45029</v>
      </c>
      <c r="B61" s="3">
        <v>0.15525741800000001</v>
      </c>
      <c r="C61" s="3">
        <v>3.6807185999999999E-2</v>
      </c>
      <c r="D61" s="3">
        <v>0.112295379</v>
      </c>
      <c r="E61" s="3">
        <v>6.8824760999999998E-2</v>
      </c>
      <c r="F61" s="3">
        <v>4.9357570000000003E-2</v>
      </c>
      <c r="G61" s="3">
        <v>5.9149845999999999E-2</v>
      </c>
      <c r="H61" s="3">
        <v>9.1846858000000003E-2</v>
      </c>
      <c r="I61" s="3">
        <v>9.4793742E-2</v>
      </c>
      <c r="J61" s="3">
        <v>5.6363573E-2</v>
      </c>
      <c r="K61" s="3">
        <v>4.3368366999999998E-2</v>
      </c>
      <c r="L61" s="3">
        <v>9.7228062000000004E-2</v>
      </c>
      <c r="M61" s="3">
        <v>6.8925342000000001E-2</v>
      </c>
      <c r="N61" s="3">
        <v>8.7319727E-2</v>
      </c>
      <c r="O61" s="3">
        <v>4.2203919999999999E-2</v>
      </c>
      <c r="P61" s="3">
        <v>0.10848152</v>
      </c>
      <c r="Q61" s="3">
        <v>6.7421736999999995E-2</v>
      </c>
      <c r="R61" s="3">
        <v>8.5596474000000006E-2</v>
      </c>
      <c r="S61" s="3">
        <v>3.2803705000000002E-2</v>
      </c>
      <c r="T61" s="3">
        <v>0.115860161</v>
      </c>
      <c r="U61" s="3">
        <v>4.4251503999999997E-2</v>
      </c>
      <c r="AB61">
        <v>0</v>
      </c>
      <c r="AC61">
        <v>0</v>
      </c>
      <c r="AD61">
        <v>0</v>
      </c>
    </row>
    <row r="62" spans="1:30" x14ac:dyDescent="0.3">
      <c r="A62" s="1">
        <v>45030</v>
      </c>
      <c r="B62" s="3">
        <v>0.10502276100000001</v>
      </c>
      <c r="C62" s="3">
        <v>5.3445040999999999E-2</v>
      </c>
      <c r="D62" s="3">
        <v>0.151999202</v>
      </c>
      <c r="E62" s="3">
        <v>8.3853764999999997E-2</v>
      </c>
      <c r="F62" s="3">
        <v>0.15525741800000001</v>
      </c>
      <c r="G62" s="3">
        <v>3.6807185999999999E-2</v>
      </c>
      <c r="H62" s="3">
        <v>0.112295379</v>
      </c>
      <c r="I62" s="3">
        <v>6.8824760999999998E-2</v>
      </c>
      <c r="J62" s="3">
        <v>4.9357570000000003E-2</v>
      </c>
      <c r="K62" s="3">
        <v>5.9149845999999999E-2</v>
      </c>
      <c r="L62" s="3">
        <v>9.1846858000000003E-2</v>
      </c>
      <c r="M62" s="3">
        <v>9.4793742E-2</v>
      </c>
      <c r="N62" s="3">
        <v>5.6363573E-2</v>
      </c>
      <c r="O62" s="3">
        <v>4.3368366999999998E-2</v>
      </c>
      <c r="P62" s="3">
        <v>9.7228062000000004E-2</v>
      </c>
      <c r="Q62" s="3">
        <v>6.8925342000000001E-2</v>
      </c>
      <c r="R62" s="3">
        <v>8.7319727E-2</v>
      </c>
      <c r="S62" s="3">
        <v>4.2203919999999999E-2</v>
      </c>
      <c r="T62" s="3">
        <v>0.10848152</v>
      </c>
      <c r="U62" s="3">
        <v>6.7421736999999995E-2</v>
      </c>
      <c r="V62" s="3">
        <v>0.36658649683551076</v>
      </c>
      <c r="W62" s="3">
        <v>0.14091967277985898</v>
      </c>
      <c r="X62" s="3">
        <v>0.10239150488229223</v>
      </c>
      <c r="AB62">
        <v>0</v>
      </c>
      <c r="AC62">
        <v>1</v>
      </c>
      <c r="AD62">
        <v>1</v>
      </c>
    </row>
    <row r="63" spans="1:30" x14ac:dyDescent="0.3">
      <c r="A63" s="1">
        <v>45033</v>
      </c>
      <c r="B63" s="3">
        <v>0.126671111</v>
      </c>
      <c r="C63" s="3">
        <v>7.5412054000000006E-2</v>
      </c>
      <c r="D63" s="3">
        <v>0.19055434600000001</v>
      </c>
      <c r="E63" s="3">
        <v>9.9333033000000001E-2</v>
      </c>
      <c r="F63" s="3">
        <v>0.10502276100000001</v>
      </c>
      <c r="G63" s="3">
        <v>5.3445040999999999E-2</v>
      </c>
      <c r="H63" s="3">
        <v>0.151999202</v>
      </c>
      <c r="I63" s="3">
        <v>8.3853764999999997E-2</v>
      </c>
      <c r="J63" s="3">
        <v>0.15525741800000001</v>
      </c>
      <c r="K63" s="3">
        <v>3.6807185999999999E-2</v>
      </c>
      <c r="L63" s="3">
        <v>0.112295379</v>
      </c>
      <c r="M63" s="3">
        <v>6.8824760999999998E-2</v>
      </c>
      <c r="N63" s="3">
        <v>4.9357570000000003E-2</v>
      </c>
      <c r="O63" s="3">
        <v>5.9149845999999999E-2</v>
      </c>
      <c r="P63" s="3">
        <v>9.1846858000000003E-2</v>
      </c>
      <c r="Q63" s="3">
        <v>9.4793742E-2</v>
      </c>
      <c r="R63" s="3">
        <v>5.6363573E-2</v>
      </c>
      <c r="S63" s="3">
        <v>4.3368366999999998E-2</v>
      </c>
      <c r="T63" s="3">
        <v>9.7228062000000004E-2</v>
      </c>
      <c r="U63" s="3">
        <v>6.8925342000000001E-2</v>
      </c>
      <c r="V63" s="3">
        <v>0.36658649683551076</v>
      </c>
      <c r="W63" s="3">
        <v>0.14072122270345883</v>
      </c>
      <c r="X63" s="3">
        <v>0.10261470529431904</v>
      </c>
      <c r="AB63">
        <v>0</v>
      </c>
      <c r="AC63">
        <v>1</v>
      </c>
      <c r="AD63">
        <v>1</v>
      </c>
    </row>
    <row r="64" spans="1:30" x14ac:dyDescent="0.3">
      <c r="A64" s="1">
        <v>45034</v>
      </c>
      <c r="B64" s="3">
        <v>0.22473105900000001</v>
      </c>
      <c r="C64" s="3">
        <v>0.13528148200000001</v>
      </c>
      <c r="D64" s="3">
        <v>0.12443684000000001</v>
      </c>
      <c r="E64" s="3">
        <v>0.142797068</v>
      </c>
      <c r="F64" s="3">
        <v>0.126671111</v>
      </c>
      <c r="G64" s="3">
        <v>7.5412054000000006E-2</v>
      </c>
      <c r="H64" s="3">
        <v>0.19055434600000001</v>
      </c>
      <c r="I64" s="3">
        <v>9.9333033000000001E-2</v>
      </c>
      <c r="J64" s="3">
        <v>0.10502276100000001</v>
      </c>
      <c r="K64" s="3">
        <v>5.3445040999999999E-2</v>
      </c>
      <c r="L64" s="3">
        <v>0.151999202</v>
      </c>
      <c r="M64" s="3">
        <v>8.3853764999999997E-2</v>
      </c>
      <c r="N64" s="3">
        <v>0.15525741800000001</v>
      </c>
      <c r="O64" s="3">
        <v>3.6807185999999999E-2</v>
      </c>
      <c r="P64" s="3">
        <v>0.112295379</v>
      </c>
      <c r="Q64" s="3">
        <v>6.8824760999999998E-2</v>
      </c>
      <c r="R64" s="3">
        <v>4.9357570000000003E-2</v>
      </c>
      <c r="S64" s="3">
        <v>5.9149845999999999E-2</v>
      </c>
      <c r="T64" s="3">
        <v>9.1846858000000003E-2</v>
      </c>
      <c r="U64" s="3">
        <v>9.4793742E-2</v>
      </c>
      <c r="V64" s="3">
        <v>0.29026878172508053</v>
      </c>
      <c r="W64" s="3">
        <v>0.14103314483604329</v>
      </c>
      <c r="X64" s="3">
        <v>0.10195962183645749</v>
      </c>
      <c r="AB64">
        <v>0</v>
      </c>
      <c r="AC64">
        <v>1</v>
      </c>
      <c r="AD64">
        <v>1</v>
      </c>
    </row>
    <row r="65" spans="1:30" x14ac:dyDescent="0.3">
      <c r="A65" s="1">
        <v>45035</v>
      </c>
      <c r="B65" s="3">
        <v>3.5669209E-2</v>
      </c>
      <c r="C65" s="3">
        <v>2.9553823999999999E-2</v>
      </c>
      <c r="D65" s="3">
        <v>1.9059887000000001E-2</v>
      </c>
      <c r="E65" s="3">
        <v>3.5201112E-2</v>
      </c>
      <c r="F65" s="3">
        <v>0.22473105900000001</v>
      </c>
      <c r="G65" s="3">
        <v>0.13528148200000001</v>
      </c>
      <c r="H65" s="3">
        <v>0.12443684000000001</v>
      </c>
      <c r="I65" s="3">
        <v>0.142797068</v>
      </c>
      <c r="J65" s="3">
        <v>0.126671111</v>
      </c>
      <c r="K65" s="3">
        <v>7.5412054000000006E-2</v>
      </c>
      <c r="L65" s="3">
        <v>0.19055434600000001</v>
      </c>
      <c r="M65" s="3">
        <v>9.9333033000000001E-2</v>
      </c>
      <c r="N65" s="3">
        <v>0.10502276100000001</v>
      </c>
      <c r="O65" s="3">
        <v>5.3445040999999999E-2</v>
      </c>
      <c r="P65" s="3">
        <v>0.151999202</v>
      </c>
      <c r="Q65" s="3">
        <v>8.3853764999999997E-2</v>
      </c>
      <c r="R65" s="3">
        <v>0.15525741800000001</v>
      </c>
      <c r="S65" s="3">
        <v>3.6807185999999999E-2</v>
      </c>
      <c r="T65" s="3">
        <v>0.112295379</v>
      </c>
      <c r="U65" s="3">
        <v>6.8824760999999998E-2</v>
      </c>
      <c r="V65" s="3">
        <v>0.27227727857566064</v>
      </c>
      <c r="W65" s="3">
        <v>0.14180779212976005</v>
      </c>
      <c r="X65" s="3">
        <v>0.10163656750593671</v>
      </c>
      <c r="AB65">
        <v>0</v>
      </c>
      <c r="AC65">
        <v>1</v>
      </c>
      <c r="AD65">
        <v>1</v>
      </c>
    </row>
    <row r="66" spans="1:30" x14ac:dyDescent="0.3">
      <c r="A66" s="1">
        <v>45036</v>
      </c>
      <c r="B66" s="3">
        <v>7.1571659999999995E-2</v>
      </c>
      <c r="C66" s="3">
        <v>2.7565527999999999E-2</v>
      </c>
      <c r="D66" s="3">
        <v>7.7613093999999994E-2</v>
      </c>
      <c r="E66" s="3">
        <v>3.7883074000000003E-2</v>
      </c>
      <c r="F66" s="3">
        <v>3.5669209E-2</v>
      </c>
      <c r="G66" s="3">
        <v>2.9553823999999999E-2</v>
      </c>
      <c r="H66" s="3">
        <v>1.9059887000000001E-2</v>
      </c>
      <c r="I66" s="3">
        <v>3.5201112E-2</v>
      </c>
      <c r="J66" s="3">
        <v>0.22473105900000001</v>
      </c>
      <c r="K66" s="3">
        <v>0.13528148200000001</v>
      </c>
      <c r="L66" s="3">
        <v>0.12443684000000001</v>
      </c>
      <c r="M66" s="3">
        <v>0.142797068</v>
      </c>
      <c r="N66" s="3">
        <v>0.126671111</v>
      </c>
      <c r="O66" s="3">
        <v>7.5412054000000006E-2</v>
      </c>
      <c r="P66" s="3">
        <v>0.19055434600000001</v>
      </c>
      <c r="Q66" s="3">
        <v>9.9333033000000001E-2</v>
      </c>
      <c r="R66" s="3">
        <v>0.10502276100000001</v>
      </c>
      <c r="S66" s="3">
        <v>5.3445040999999999E-2</v>
      </c>
      <c r="T66" s="3">
        <v>0.151999202</v>
      </c>
      <c r="U66" s="3">
        <v>8.3853764999999997E-2</v>
      </c>
      <c r="V66" s="3">
        <v>0.26436623727951547</v>
      </c>
      <c r="W66" s="3">
        <v>0.13776449812847716</v>
      </c>
      <c r="X66" s="3">
        <v>9.9124903222392924E-2</v>
      </c>
      <c r="AB66">
        <v>0</v>
      </c>
      <c r="AC66">
        <v>1</v>
      </c>
      <c r="AD66">
        <v>1</v>
      </c>
    </row>
    <row r="67" spans="1:30" x14ac:dyDescent="0.3">
      <c r="A67" s="1">
        <v>45037</v>
      </c>
      <c r="B67" s="3">
        <v>6.9350831000000002E-2</v>
      </c>
      <c r="C67" s="3">
        <v>3.1164198000000001E-2</v>
      </c>
      <c r="D67" s="3">
        <v>5.267053E-2</v>
      </c>
      <c r="E67" s="3">
        <v>5.8707250000000002E-2</v>
      </c>
      <c r="F67" s="3">
        <v>7.1571659999999995E-2</v>
      </c>
      <c r="G67" s="3">
        <v>2.7565527999999999E-2</v>
      </c>
      <c r="H67" s="3">
        <v>7.7613093999999994E-2</v>
      </c>
      <c r="I67" s="3">
        <v>3.7883074000000003E-2</v>
      </c>
      <c r="J67" s="3">
        <v>3.5669209E-2</v>
      </c>
      <c r="K67" s="3">
        <v>2.9553823999999999E-2</v>
      </c>
      <c r="L67" s="3">
        <v>1.9059887000000001E-2</v>
      </c>
      <c r="M67" s="3">
        <v>3.5201112E-2</v>
      </c>
      <c r="N67" s="3">
        <v>0.22473105900000001</v>
      </c>
      <c r="O67" s="3">
        <v>0.13528148200000001</v>
      </c>
      <c r="P67" s="3">
        <v>0.12443684000000001</v>
      </c>
      <c r="Q67" s="3">
        <v>0.142797068</v>
      </c>
      <c r="R67" s="3">
        <v>0.126671111</v>
      </c>
      <c r="S67" s="3">
        <v>7.5412054000000006E-2</v>
      </c>
      <c r="T67" s="3">
        <v>0.19055434600000001</v>
      </c>
      <c r="U67" s="3">
        <v>9.9333033000000001E-2</v>
      </c>
      <c r="V67" s="3">
        <v>0.24361404964574562</v>
      </c>
      <c r="W67" s="3">
        <v>0.13870858363431948</v>
      </c>
      <c r="X67" s="3">
        <v>9.8985510286723213E-2</v>
      </c>
      <c r="AB67">
        <v>0</v>
      </c>
      <c r="AC67">
        <v>0</v>
      </c>
      <c r="AD67">
        <v>0</v>
      </c>
    </row>
    <row r="68" spans="1:30" x14ac:dyDescent="0.3">
      <c r="A68" s="1">
        <v>45040</v>
      </c>
      <c r="B68" s="3">
        <v>4.6018903E-2</v>
      </c>
      <c r="C68" s="3">
        <v>3.2281191000000001E-2</v>
      </c>
      <c r="D68" s="3">
        <v>6.5907806999999999E-2</v>
      </c>
      <c r="E68" s="3">
        <v>3.2518876000000002E-2</v>
      </c>
      <c r="F68" s="3">
        <v>6.9350831000000002E-2</v>
      </c>
      <c r="G68" s="3">
        <v>3.1164198000000001E-2</v>
      </c>
      <c r="H68" s="3">
        <v>5.267053E-2</v>
      </c>
      <c r="I68" s="3">
        <v>5.8707250000000002E-2</v>
      </c>
      <c r="J68" s="3">
        <v>7.1571659999999995E-2</v>
      </c>
      <c r="K68" s="3">
        <v>2.7565527999999999E-2</v>
      </c>
      <c r="L68" s="3">
        <v>7.7613093999999994E-2</v>
      </c>
      <c r="M68" s="3">
        <v>3.7883074000000003E-2</v>
      </c>
      <c r="N68" s="3">
        <v>3.5669209E-2</v>
      </c>
      <c r="O68" s="3">
        <v>2.9553823999999999E-2</v>
      </c>
      <c r="P68" s="3">
        <v>1.9059887000000001E-2</v>
      </c>
      <c r="Q68" s="3">
        <v>3.5201112E-2</v>
      </c>
      <c r="R68" s="3">
        <v>0.22473105900000001</v>
      </c>
      <c r="S68" s="3">
        <v>0.13528148200000001</v>
      </c>
      <c r="T68" s="3">
        <v>0.12443684000000001</v>
      </c>
      <c r="U68" s="3">
        <v>0.142797068</v>
      </c>
      <c r="V68" s="3">
        <v>0.24361404964574562</v>
      </c>
      <c r="W68" s="3">
        <v>0.13837320915112361</v>
      </c>
      <c r="X68" s="3">
        <v>9.925595556894852E-2</v>
      </c>
      <c r="AB68">
        <v>0</v>
      </c>
      <c r="AC68">
        <v>0</v>
      </c>
      <c r="AD68">
        <v>0</v>
      </c>
    </row>
    <row r="69" spans="1:30" x14ac:dyDescent="0.3">
      <c r="A69" s="1">
        <v>45041</v>
      </c>
      <c r="B69" s="3">
        <v>6.2698955000000001E-2</v>
      </c>
      <c r="C69" s="3">
        <v>3.6065484000000002E-2</v>
      </c>
      <c r="D69" s="3">
        <v>2.8798145000000001E-2</v>
      </c>
      <c r="E69" s="3">
        <v>5.8456478999999999E-2</v>
      </c>
      <c r="F69" s="3">
        <v>4.6018903E-2</v>
      </c>
      <c r="G69" s="3">
        <v>3.2281191000000001E-2</v>
      </c>
      <c r="H69" s="3">
        <v>6.5907806999999999E-2</v>
      </c>
      <c r="I69" s="3">
        <v>3.2518876000000002E-2</v>
      </c>
      <c r="J69" s="3">
        <v>6.9350831000000002E-2</v>
      </c>
      <c r="K69" s="3">
        <v>3.1164198000000001E-2</v>
      </c>
      <c r="L69" s="3">
        <v>5.267053E-2</v>
      </c>
      <c r="M69" s="3">
        <v>5.8707250000000002E-2</v>
      </c>
      <c r="N69" s="3">
        <v>7.1571659999999995E-2</v>
      </c>
      <c r="O69" s="3">
        <v>2.7565527999999999E-2</v>
      </c>
      <c r="P69" s="3">
        <v>7.7613093999999994E-2</v>
      </c>
      <c r="Q69" s="3">
        <v>3.7883074000000003E-2</v>
      </c>
      <c r="R69" s="3">
        <v>3.5669209E-2</v>
      </c>
      <c r="S69" s="3">
        <v>2.9553823999999999E-2</v>
      </c>
      <c r="T69" s="3">
        <v>1.9059887000000001E-2</v>
      </c>
      <c r="U69" s="3">
        <v>3.5201112E-2</v>
      </c>
      <c r="V69" s="3">
        <v>0.24361404964574562</v>
      </c>
      <c r="W69" s="3">
        <v>0.14452389117804704</v>
      </c>
      <c r="X69" s="3">
        <v>0.10509004029286893</v>
      </c>
      <c r="AB69">
        <v>0</v>
      </c>
      <c r="AC69">
        <v>0</v>
      </c>
      <c r="AD69">
        <v>0</v>
      </c>
    </row>
    <row r="70" spans="1:30" x14ac:dyDescent="0.3">
      <c r="A70" s="1">
        <v>45042</v>
      </c>
      <c r="B70" s="3">
        <v>3.0864216999999999E-2</v>
      </c>
      <c r="C70" s="3">
        <v>4.5634803000000002E-2</v>
      </c>
      <c r="D70" s="3">
        <v>5.1151097E-2</v>
      </c>
      <c r="E70" s="3">
        <v>4.9937079000000002E-2</v>
      </c>
      <c r="F70" s="3">
        <v>6.2698955000000001E-2</v>
      </c>
      <c r="G70" s="3">
        <v>3.6065484000000002E-2</v>
      </c>
      <c r="H70" s="3">
        <v>2.8798145000000001E-2</v>
      </c>
      <c r="I70" s="3">
        <v>5.8456478999999999E-2</v>
      </c>
      <c r="J70" s="3">
        <v>4.6018903E-2</v>
      </c>
      <c r="K70" s="3">
        <v>3.2281191000000001E-2</v>
      </c>
      <c r="L70" s="3">
        <v>6.5907806999999999E-2</v>
      </c>
      <c r="M70" s="3">
        <v>3.2518876000000002E-2</v>
      </c>
      <c r="N70" s="3">
        <v>6.9350831000000002E-2</v>
      </c>
      <c r="O70" s="3">
        <v>3.1164198000000001E-2</v>
      </c>
      <c r="P70" s="3">
        <v>5.267053E-2</v>
      </c>
      <c r="Q70" s="3">
        <v>5.8707250000000002E-2</v>
      </c>
      <c r="R70" s="3">
        <v>7.1571659999999995E-2</v>
      </c>
      <c r="S70" s="3">
        <v>2.7565527999999999E-2</v>
      </c>
      <c r="T70" s="3">
        <v>7.7613093999999994E-2</v>
      </c>
      <c r="U70" s="3">
        <v>3.7883074000000003E-2</v>
      </c>
      <c r="V70" s="3">
        <v>0.20934288097012851</v>
      </c>
      <c r="W70" s="3">
        <v>0.14372334346960181</v>
      </c>
      <c r="X70" s="3">
        <v>0.10409063162054247</v>
      </c>
      <c r="AB70">
        <v>1</v>
      </c>
      <c r="AC70">
        <v>0</v>
      </c>
      <c r="AD70">
        <v>1</v>
      </c>
    </row>
    <row r="71" spans="1:30" x14ac:dyDescent="0.3">
      <c r="A71" s="1">
        <v>45043</v>
      </c>
      <c r="B71" s="3">
        <v>7.2432399999999994E-2</v>
      </c>
      <c r="C71" s="3">
        <v>3.6059477999999999E-2</v>
      </c>
      <c r="D71" s="3">
        <v>9.9451000999999997E-2</v>
      </c>
      <c r="E71" s="3">
        <v>3.4297949000000001E-2</v>
      </c>
      <c r="F71" s="3">
        <v>3.0864216999999999E-2</v>
      </c>
      <c r="G71" s="3">
        <v>4.5634803000000002E-2</v>
      </c>
      <c r="H71" s="3">
        <v>5.1151097E-2</v>
      </c>
      <c r="I71" s="3">
        <v>4.9937079000000002E-2</v>
      </c>
      <c r="J71" s="3">
        <v>6.2698955000000001E-2</v>
      </c>
      <c r="K71" s="3">
        <v>3.6065484000000002E-2</v>
      </c>
      <c r="L71" s="3">
        <v>2.8798145000000001E-2</v>
      </c>
      <c r="M71" s="3">
        <v>5.8456478999999999E-2</v>
      </c>
      <c r="N71" s="3">
        <v>4.6018903E-2</v>
      </c>
      <c r="O71" s="3">
        <v>3.2281191000000001E-2</v>
      </c>
      <c r="P71" s="3">
        <v>6.5907806999999999E-2</v>
      </c>
      <c r="Q71" s="3">
        <v>3.2518876000000002E-2</v>
      </c>
      <c r="R71" s="3">
        <v>6.9350831000000002E-2</v>
      </c>
      <c r="S71" s="3">
        <v>3.1164198000000001E-2</v>
      </c>
      <c r="T71" s="3">
        <v>5.267053E-2</v>
      </c>
      <c r="U71" s="3">
        <v>5.8707250000000002E-2</v>
      </c>
      <c r="V71" s="3">
        <v>0.20934288097012851</v>
      </c>
      <c r="W71" s="3">
        <v>0.14350943613287898</v>
      </c>
      <c r="X71" s="3">
        <v>0.10382546133973793</v>
      </c>
      <c r="AB71">
        <v>0</v>
      </c>
      <c r="AC71">
        <v>0</v>
      </c>
      <c r="AD71">
        <v>0</v>
      </c>
    </row>
    <row r="72" spans="1:30" x14ac:dyDescent="0.3">
      <c r="A72" s="1">
        <v>45044</v>
      </c>
      <c r="B72" s="3">
        <v>4.7101407999999997E-2</v>
      </c>
      <c r="C72" s="3">
        <v>3.8733931999999999E-2</v>
      </c>
      <c r="D72" s="3">
        <v>9.9830436999999994E-2</v>
      </c>
      <c r="E72" s="3">
        <v>5.7085199000000003E-2</v>
      </c>
      <c r="F72" s="3">
        <v>7.2432399999999994E-2</v>
      </c>
      <c r="G72" s="3">
        <v>3.6059477999999999E-2</v>
      </c>
      <c r="H72" s="3">
        <v>9.9451000999999997E-2</v>
      </c>
      <c r="I72" s="3">
        <v>3.4297949000000001E-2</v>
      </c>
      <c r="J72" s="3">
        <v>3.0864216999999999E-2</v>
      </c>
      <c r="K72" s="3">
        <v>4.5634803000000002E-2</v>
      </c>
      <c r="L72" s="3">
        <v>5.1151097E-2</v>
      </c>
      <c r="M72" s="3">
        <v>4.9937079000000002E-2</v>
      </c>
      <c r="N72" s="3">
        <v>6.2698955000000001E-2</v>
      </c>
      <c r="O72" s="3">
        <v>3.6065484000000002E-2</v>
      </c>
      <c r="P72" s="3">
        <v>2.8798145000000001E-2</v>
      </c>
      <c r="Q72" s="3">
        <v>5.8456478999999999E-2</v>
      </c>
      <c r="R72" s="3">
        <v>4.6018903E-2</v>
      </c>
      <c r="S72" s="3">
        <v>3.2281191000000001E-2</v>
      </c>
      <c r="T72" s="3">
        <v>6.5907806999999999E-2</v>
      </c>
      <c r="U72" s="3">
        <v>3.2518876000000002E-2</v>
      </c>
      <c r="V72" s="3">
        <v>0.24361404964574562</v>
      </c>
      <c r="W72" s="3">
        <v>0.14593767210914954</v>
      </c>
      <c r="X72" s="3">
        <v>0.10556144539761886</v>
      </c>
      <c r="AB72">
        <v>0</v>
      </c>
      <c r="AC72">
        <v>0</v>
      </c>
      <c r="AD72">
        <v>0</v>
      </c>
    </row>
    <row r="73" spans="1:30" x14ac:dyDescent="0.3">
      <c r="A73" s="1">
        <v>45048</v>
      </c>
      <c r="B73" s="3">
        <v>6.5104967999999999E-2</v>
      </c>
      <c r="C73" s="3">
        <v>9.3190370999999994E-2</v>
      </c>
      <c r="D73" s="3">
        <v>7.6820379999999994E-2</v>
      </c>
      <c r="E73" s="3">
        <v>4.0761818999999998E-2</v>
      </c>
      <c r="F73" s="3">
        <v>4.7101407999999997E-2</v>
      </c>
      <c r="G73" s="3">
        <v>3.8733931999999999E-2</v>
      </c>
      <c r="H73" s="3">
        <v>9.9830436999999994E-2</v>
      </c>
      <c r="I73" s="3">
        <v>5.7085199000000003E-2</v>
      </c>
      <c r="J73" s="3">
        <v>7.2432399999999994E-2</v>
      </c>
      <c r="K73" s="3">
        <v>3.6059477999999999E-2</v>
      </c>
      <c r="L73" s="3">
        <v>9.9451000999999997E-2</v>
      </c>
      <c r="M73" s="3">
        <v>3.4297949000000001E-2</v>
      </c>
      <c r="N73" s="3">
        <v>3.0864216999999999E-2</v>
      </c>
      <c r="O73" s="3">
        <v>4.5634803000000002E-2</v>
      </c>
      <c r="P73" s="3">
        <v>5.1151097E-2</v>
      </c>
      <c r="Q73" s="3">
        <v>4.9937079000000002E-2</v>
      </c>
      <c r="R73" s="3">
        <v>6.2698955000000001E-2</v>
      </c>
      <c r="S73" s="3">
        <v>3.6065484000000002E-2</v>
      </c>
      <c r="T73" s="3">
        <v>2.8798145000000001E-2</v>
      </c>
      <c r="U73" s="3">
        <v>5.8456478999999999E-2</v>
      </c>
      <c r="V73" s="3">
        <v>0.24361404964574562</v>
      </c>
      <c r="W73" s="3">
        <v>0.14384051037201551</v>
      </c>
      <c r="X73" s="3">
        <v>0.10416305959704102</v>
      </c>
      <c r="AB73">
        <v>0</v>
      </c>
      <c r="AC73">
        <v>0</v>
      </c>
      <c r="AD73">
        <v>0</v>
      </c>
    </row>
    <row r="74" spans="1:30" x14ac:dyDescent="0.3">
      <c r="A74" s="1">
        <v>45049</v>
      </c>
      <c r="B74" s="3">
        <v>3.5205039E-2</v>
      </c>
      <c r="C74" s="3">
        <v>3.5621495000000003E-2</v>
      </c>
      <c r="D74" s="3">
        <v>4.7335950000000002E-2</v>
      </c>
      <c r="E74" s="3">
        <v>5.0215523999999997E-2</v>
      </c>
      <c r="F74" s="3">
        <v>6.5104967999999999E-2</v>
      </c>
      <c r="G74" s="3">
        <v>9.3190370999999994E-2</v>
      </c>
      <c r="H74" s="3">
        <v>7.6820379999999994E-2</v>
      </c>
      <c r="I74" s="3">
        <v>4.0761818999999998E-2</v>
      </c>
      <c r="J74" s="3">
        <v>4.7101407999999997E-2</v>
      </c>
      <c r="K74" s="3">
        <v>3.8733931999999999E-2</v>
      </c>
      <c r="L74" s="3">
        <v>9.9830436999999994E-2</v>
      </c>
      <c r="M74" s="3">
        <v>5.7085199000000003E-2</v>
      </c>
      <c r="N74" s="3">
        <v>7.2432399999999994E-2</v>
      </c>
      <c r="O74" s="3">
        <v>3.6059477999999999E-2</v>
      </c>
      <c r="P74" s="3">
        <v>9.9451000999999997E-2</v>
      </c>
      <c r="Q74" s="3">
        <v>3.4297949000000001E-2</v>
      </c>
      <c r="R74" s="3">
        <v>3.0864216999999999E-2</v>
      </c>
      <c r="S74" s="3">
        <v>4.5634803000000002E-2</v>
      </c>
      <c r="T74" s="3">
        <v>5.1151097E-2</v>
      </c>
      <c r="U74" s="3">
        <v>4.9937079000000002E-2</v>
      </c>
      <c r="V74" s="3">
        <v>0.24361404964574562</v>
      </c>
      <c r="W74" s="3">
        <v>0.13955801469786827</v>
      </c>
      <c r="X74" s="3">
        <v>9.9905705064582739E-2</v>
      </c>
      <c r="AB74">
        <v>0</v>
      </c>
      <c r="AC74">
        <v>0</v>
      </c>
      <c r="AD74">
        <v>0</v>
      </c>
    </row>
    <row r="75" spans="1:30" x14ac:dyDescent="0.3">
      <c r="A75" s="1">
        <v>45050</v>
      </c>
      <c r="B75" s="3">
        <v>8.0300563000000005E-2</v>
      </c>
      <c r="C75" s="3">
        <v>2.5403636E-2</v>
      </c>
      <c r="D75" s="3">
        <v>0.13550895600000001</v>
      </c>
      <c r="E75" s="3">
        <v>5.5743794999999999E-2</v>
      </c>
      <c r="F75" s="3">
        <v>3.5205039E-2</v>
      </c>
      <c r="G75" s="3">
        <v>3.5621495000000003E-2</v>
      </c>
      <c r="H75" s="3">
        <v>4.7335950000000002E-2</v>
      </c>
      <c r="I75" s="3">
        <v>5.0215523999999997E-2</v>
      </c>
      <c r="J75" s="3">
        <v>6.5104967999999999E-2</v>
      </c>
      <c r="K75" s="3">
        <v>9.3190370999999994E-2</v>
      </c>
      <c r="L75" s="3">
        <v>7.6820379999999994E-2</v>
      </c>
      <c r="M75" s="3">
        <v>4.0761818999999998E-2</v>
      </c>
      <c r="N75" s="3">
        <v>4.7101407999999997E-2</v>
      </c>
      <c r="O75" s="3">
        <v>3.8733931999999999E-2</v>
      </c>
      <c r="P75" s="3">
        <v>9.9830436999999994E-2</v>
      </c>
      <c r="Q75" s="3">
        <v>5.7085199000000003E-2</v>
      </c>
      <c r="R75" s="3">
        <v>7.2432399999999994E-2</v>
      </c>
      <c r="S75" s="3">
        <v>3.6059477999999999E-2</v>
      </c>
      <c r="T75" s="3">
        <v>9.9451000999999997E-2</v>
      </c>
      <c r="U75" s="3">
        <v>3.4297949000000001E-2</v>
      </c>
      <c r="V75" s="3">
        <v>0.24361404964574562</v>
      </c>
      <c r="W75" s="3">
        <v>0.13762840131631413</v>
      </c>
      <c r="X75" s="3">
        <v>9.8815246616468372E-2</v>
      </c>
      <c r="AB75">
        <v>0</v>
      </c>
      <c r="AC75">
        <v>0</v>
      </c>
      <c r="AD75">
        <v>0</v>
      </c>
    </row>
    <row r="76" spans="1:30" x14ac:dyDescent="0.3">
      <c r="A76" s="1">
        <v>45051</v>
      </c>
      <c r="B76" s="3">
        <v>8.2414102000000003E-2</v>
      </c>
      <c r="C76" s="3">
        <v>2.6690587000000002E-2</v>
      </c>
      <c r="D76" s="3">
        <v>0.11336861500000001</v>
      </c>
      <c r="E76" s="3">
        <v>6.2925809999999999E-2</v>
      </c>
      <c r="F76" s="3">
        <v>8.0300563000000005E-2</v>
      </c>
      <c r="G76" s="3">
        <v>2.5403636E-2</v>
      </c>
      <c r="H76" s="3">
        <v>0.13550895600000001</v>
      </c>
      <c r="I76" s="3">
        <v>5.5743794999999999E-2</v>
      </c>
      <c r="J76" s="3">
        <v>3.5205039E-2</v>
      </c>
      <c r="K76" s="3">
        <v>3.5621495000000003E-2</v>
      </c>
      <c r="L76" s="3">
        <v>4.7335950000000002E-2</v>
      </c>
      <c r="M76" s="3">
        <v>5.0215523999999997E-2</v>
      </c>
      <c r="N76" s="3">
        <v>6.5104967999999999E-2</v>
      </c>
      <c r="O76" s="3">
        <v>9.3190370999999994E-2</v>
      </c>
      <c r="P76" s="3">
        <v>7.6820379999999994E-2</v>
      </c>
      <c r="Q76" s="3">
        <v>4.0761818999999998E-2</v>
      </c>
      <c r="R76" s="3">
        <v>4.7101407999999997E-2</v>
      </c>
      <c r="S76" s="3">
        <v>3.8733931999999999E-2</v>
      </c>
      <c r="T76" s="3">
        <v>9.9830436999999994E-2</v>
      </c>
      <c r="U76" s="3">
        <v>5.7085199000000003E-2</v>
      </c>
      <c r="V76" s="3">
        <v>0.24361404964574562</v>
      </c>
      <c r="W76" s="3">
        <v>0.13479625506307452</v>
      </c>
      <c r="X76" s="3">
        <v>9.7124797732140153E-2</v>
      </c>
      <c r="AB76">
        <v>0</v>
      </c>
      <c r="AC76">
        <v>0</v>
      </c>
      <c r="AD76">
        <v>0</v>
      </c>
    </row>
    <row r="77" spans="1:30" x14ac:dyDescent="0.3">
      <c r="A77" s="1">
        <v>45054</v>
      </c>
      <c r="B77" s="3">
        <v>7.8599470000000005E-2</v>
      </c>
      <c r="C77" s="3">
        <v>3.5436691999999999E-2</v>
      </c>
      <c r="D77" s="3">
        <v>9.8195333999999995E-2</v>
      </c>
      <c r="E77" s="3">
        <v>6.6150629000000002E-2</v>
      </c>
      <c r="F77" s="3">
        <v>8.2414102000000003E-2</v>
      </c>
      <c r="G77" s="3">
        <v>2.6690587000000002E-2</v>
      </c>
      <c r="H77" s="3">
        <v>0.11336861500000001</v>
      </c>
      <c r="I77" s="3">
        <v>6.2925809999999999E-2</v>
      </c>
      <c r="J77" s="3">
        <v>8.0300563000000005E-2</v>
      </c>
      <c r="K77" s="3">
        <v>2.5403636E-2</v>
      </c>
      <c r="L77" s="3">
        <v>0.13550895600000001</v>
      </c>
      <c r="M77" s="3">
        <v>5.5743794999999999E-2</v>
      </c>
      <c r="N77" s="3">
        <v>3.5205039E-2</v>
      </c>
      <c r="O77" s="3">
        <v>3.5621495000000003E-2</v>
      </c>
      <c r="P77" s="3">
        <v>4.7335950000000002E-2</v>
      </c>
      <c r="Q77" s="3">
        <v>5.0215523999999997E-2</v>
      </c>
      <c r="R77" s="3">
        <v>6.5104967999999999E-2</v>
      </c>
      <c r="S77" s="3">
        <v>9.3190370999999994E-2</v>
      </c>
      <c r="T77" s="3">
        <v>7.6820379999999994E-2</v>
      </c>
      <c r="U77" s="3">
        <v>4.0761818999999998E-2</v>
      </c>
      <c r="V77" s="3">
        <v>0.26436623727951547</v>
      </c>
      <c r="W77" s="3">
        <v>0.13495863128003113</v>
      </c>
      <c r="X77" s="3">
        <v>9.7492956258774063E-2</v>
      </c>
      <c r="AB77">
        <v>0</v>
      </c>
      <c r="AC77">
        <v>0</v>
      </c>
      <c r="AD77">
        <v>0</v>
      </c>
    </row>
    <row r="78" spans="1:30" x14ac:dyDescent="0.3">
      <c r="A78" s="1">
        <v>45055</v>
      </c>
      <c r="B78" s="3">
        <v>4.3631733999999998E-2</v>
      </c>
      <c r="C78" s="3">
        <v>3.6060835999999999E-2</v>
      </c>
      <c r="D78" s="3">
        <v>8.4535352999999994E-2</v>
      </c>
      <c r="E78" s="3">
        <v>7.9218974999999997E-2</v>
      </c>
      <c r="F78" s="3">
        <v>7.8599470000000005E-2</v>
      </c>
      <c r="G78" s="3">
        <v>3.5436691999999999E-2</v>
      </c>
      <c r="H78" s="3">
        <v>9.8195333999999995E-2</v>
      </c>
      <c r="I78" s="3">
        <v>6.6150629000000002E-2</v>
      </c>
      <c r="J78" s="3">
        <v>8.2414102000000003E-2</v>
      </c>
      <c r="K78" s="3">
        <v>2.6690587000000002E-2</v>
      </c>
      <c r="L78" s="3">
        <v>0.11336861500000001</v>
      </c>
      <c r="M78" s="3">
        <v>6.2925809999999999E-2</v>
      </c>
      <c r="N78" s="3">
        <v>8.0300563000000005E-2</v>
      </c>
      <c r="O78" s="3">
        <v>2.5403636E-2</v>
      </c>
      <c r="P78" s="3">
        <v>0.13550895600000001</v>
      </c>
      <c r="Q78" s="3">
        <v>5.5743794999999999E-2</v>
      </c>
      <c r="R78" s="3">
        <v>3.5205039E-2</v>
      </c>
      <c r="S78" s="3">
        <v>3.5621495000000003E-2</v>
      </c>
      <c r="T78" s="3">
        <v>4.7335950000000002E-2</v>
      </c>
      <c r="U78" s="3">
        <v>5.0215523999999997E-2</v>
      </c>
      <c r="V78" s="3">
        <v>0.27227727857566064</v>
      </c>
      <c r="W78" s="3">
        <v>0.13357803899446419</v>
      </c>
      <c r="X78" s="3">
        <v>9.7102902313767406E-2</v>
      </c>
      <c r="AB78">
        <v>0</v>
      </c>
      <c r="AC78">
        <v>0</v>
      </c>
      <c r="AD78">
        <v>0</v>
      </c>
    </row>
    <row r="79" spans="1:30" x14ac:dyDescent="0.3">
      <c r="A79" s="1">
        <v>45056</v>
      </c>
      <c r="B79" s="3">
        <v>5.0446945999999999E-2</v>
      </c>
      <c r="C79" s="3">
        <v>7.9688822000000006E-2</v>
      </c>
      <c r="D79" s="3">
        <v>5.8895093000000003E-2</v>
      </c>
      <c r="E79" s="3">
        <v>6.0441691999999998E-2</v>
      </c>
      <c r="F79" s="3">
        <v>4.3631733999999998E-2</v>
      </c>
      <c r="G79" s="3">
        <v>3.6060835999999999E-2</v>
      </c>
      <c r="H79" s="3">
        <v>8.4535352999999994E-2</v>
      </c>
      <c r="I79" s="3">
        <v>7.9218974999999997E-2</v>
      </c>
      <c r="J79" s="3">
        <v>7.8599470000000005E-2</v>
      </c>
      <c r="K79" s="3">
        <v>3.5436691999999999E-2</v>
      </c>
      <c r="L79" s="3">
        <v>9.8195333999999995E-2</v>
      </c>
      <c r="M79" s="3">
        <v>6.6150629000000002E-2</v>
      </c>
      <c r="N79" s="3">
        <v>8.2414102000000003E-2</v>
      </c>
      <c r="O79" s="3">
        <v>2.6690587000000002E-2</v>
      </c>
      <c r="P79" s="3">
        <v>0.11336861500000001</v>
      </c>
      <c r="Q79" s="3">
        <v>6.2925809999999999E-2</v>
      </c>
      <c r="R79" s="3">
        <v>8.0300563000000005E-2</v>
      </c>
      <c r="S79" s="3">
        <v>2.5403636E-2</v>
      </c>
      <c r="T79" s="3">
        <v>0.13550895600000001</v>
      </c>
      <c r="U79" s="3">
        <v>5.5743794999999999E-2</v>
      </c>
      <c r="V79" s="3">
        <v>0.27227727857566064</v>
      </c>
      <c r="W79" s="3">
        <v>0.13430246971986379</v>
      </c>
      <c r="X79" s="3">
        <v>9.7108404532849746E-2</v>
      </c>
      <c r="AB79">
        <v>1</v>
      </c>
      <c r="AC79">
        <v>0</v>
      </c>
      <c r="AD79">
        <v>1</v>
      </c>
    </row>
    <row r="80" spans="1:30" x14ac:dyDescent="0.3">
      <c r="A80" s="1">
        <v>45057</v>
      </c>
      <c r="B80" s="3">
        <v>0.14111771100000001</v>
      </c>
      <c r="C80" s="3">
        <v>3.8767309E-2</v>
      </c>
      <c r="D80" s="3">
        <v>0.106222582</v>
      </c>
      <c r="E80" s="3">
        <v>7.2558835000000002E-2</v>
      </c>
      <c r="F80" s="3">
        <v>5.0446945999999999E-2</v>
      </c>
      <c r="G80" s="3">
        <v>7.9688822000000006E-2</v>
      </c>
      <c r="H80" s="3">
        <v>5.8895093000000003E-2</v>
      </c>
      <c r="I80" s="3">
        <v>6.0441691999999998E-2</v>
      </c>
      <c r="J80" s="3">
        <v>4.3631733999999998E-2</v>
      </c>
      <c r="K80" s="3">
        <v>3.6060835999999999E-2</v>
      </c>
      <c r="L80" s="3">
        <v>8.4535352999999994E-2</v>
      </c>
      <c r="M80" s="3">
        <v>7.9218974999999997E-2</v>
      </c>
      <c r="N80" s="3">
        <v>7.8599470000000005E-2</v>
      </c>
      <c r="O80" s="3">
        <v>3.5436691999999999E-2</v>
      </c>
      <c r="P80" s="3">
        <v>9.8195333999999995E-2</v>
      </c>
      <c r="Q80" s="3">
        <v>6.6150629000000002E-2</v>
      </c>
      <c r="R80" s="3">
        <v>8.2414102000000003E-2</v>
      </c>
      <c r="S80" s="3">
        <v>2.6690587000000002E-2</v>
      </c>
      <c r="T80" s="3">
        <v>0.11336861500000001</v>
      </c>
      <c r="U80" s="3">
        <v>6.2925809999999999E-2</v>
      </c>
      <c r="V80" s="3">
        <v>0.26436623727951547</v>
      </c>
      <c r="W80" s="3">
        <v>0.13117840067196399</v>
      </c>
      <c r="X80" s="3">
        <v>9.5480666590428975E-2</v>
      </c>
      <c r="AB80">
        <v>1</v>
      </c>
      <c r="AC80">
        <v>0</v>
      </c>
      <c r="AD80">
        <v>1</v>
      </c>
    </row>
    <row r="81" spans="1:30" x14ac:dyDescent="0.3">
      <c r="A81" s="1">
        <v>45058</v>
      </c>
      <c r="B81" s="3">
        <v>0.109144459</v>
      </c>
      <c r="C81" s="3">
        <v>4.0105122999999999E-2</v>
      </c>
      <c r="D81" s="3">
        <v>0.13966377899999999</v>
      </c>
      <c r="E81" s="3">
        <v>6.3154859999999993E-2</v>
      </c>
      <c r="F81" s="3">
        <v>0.14111771100000001</v>
      </c>
      <c r="G81" s="3">
        <v>3.8767309E-2</v>
      </c>
      <c r="H81" s="3">
        <v>0.106222582</v>
      </c>
      <c r="I81" s="3">
        <v>7.2558835000000002E-2</v>
      </c>
      <c r="J81" s="3">
        <v>5.0446945999999999E-2</v>
      </c>
      <c r="K81" s="3">
        <v>7.9688822000000006E-2</v>
      </c>
      <c r="L81" s="3">
        <v>5.8895093000000003E-2</v>
      </c>
      <c r="M81" s="3">
        <v>6.0441691999999998E-2</v>
      </c>
      <c r="N81" s="3">
        <v>4.3631733999999998E-2</v>
      </c>
      <c r="O81" s="3">
        <v>3.6060835999999999E-2</v>
      </c>
      <c r="P81" s="3">
        <v>8.4535352999999994E-2</v>
      </c>
      <c r="Q81" s="3">
        <v>7.9218974999999997E-2</v>
      </c>
      <c r="R81" s="3">
        <v>7.8599470000000005E-2</v>
      </c>
      <c r="S81" s="3">
        <v>3.5436691999999999E-2</v>
      </c>
      <c r="T81" s="3">
        <v>9.8195333999999995E-2</v>
      </c>
      <c r="U81" s="3">
        <v>6.6150629000000002E-2</v>
      </c>
      <c r="V81" s="3">
        <v>0.26436623727951547</v>
      </c>
      <c r="W81" s="3">
        <v>0.13116255074519548</v>
      </c>
      <c r="X81" s="3">
        <v>9.5535074519538382E-2</v>
      </c>
      <c r="AB81">
        <v>1</v>
      </c>
      <c r="AC81">
        <v>0</v>
      </c>
      <c r="AD81">
        <v>1</v>
      </c>
    </row>
    <row r="82" spans="1:30" x14ac:dyDescent="0.3">
      <c r="A82" s="1">
        <v>45061</v>
      </c>
      <c r="B82" s="3">
        <v>0.144866835</v>
      </c>
      <c r="C82" s="3">
        <v>5.4439828000000003E-2</v>
      </c>
      <c r="D82" s="3">
        <v>0.176334243</v>
      </c>
      <c r="E82" s="3">
        <v>0.134449715</v>
      </c>
      <c r="F82" s="3">
        <v>0.109144459</v>
      </c>
      <c r="G82" s="3">
        <v>4.0105122999999999E-2</v>
      </c>
      <c r="H82" s="3">
        <v>0.13966377899999999</v>
      </c>
      <c r="I82" s="3">
        <v>6.3154859999999993E-2</v>
      </c>
      <c r="J82" s="3">
        <v>0.14111771100000001</v>
      </c>
      <c r="K82" s="3">
        <v>3.8767309E-2</v>
      </c>
      <c r="L82" s="3">
        <v>0.106222582</v>
      </c>
      <c r="M82" s="3">
        <v>7.2558835000000002E-2</v>
      </c>
      <c r="N82" s="3">
        <v>5.0446945999999999E-2</v>
      </c>
      <c r="O82" s="3">
        <v>7.9688822000000006E-2</v>
      </c>
      <c r="P82" s="3">
        <v>5.8895093000000003E-2</v>
      </c>
      <c r="Q82" s="3">
        <v>6.0441691999999998E-2</v>
      </c>
      <c r="R82" s="3">
        <v>4.3631733999999998E-2</v>
      </c>
      <c r="S82" s="3">
        <v>3.6060835999999999E-2</v>
      </c>
      <c r="T82" s="3">
        <v>8.4535352999999994E-2</v>
      </c>
      <c r="U82" s="3">
        <v>7.9218974999999997E-2</v>
      </c>
      <c r="V82" s="3">
        <v>0.26436623727951547</v>
      </c>
      <c r="W82" s="3">
        <v>0.13116966616244546</v>
      </c>
      <c r="X82" s="3">
        <v>9.5503949133192309E-2</v>
      </c>
      <c r="AB82">
        <v>1</v>
      </c>
      <c r="AC82">
        <v>0</v>
      </c>
      <c r="AD82">
        <v>1</v>
      </c>
    </row>
    <row r="83" spans="1:30" x14ac:dyDescent="0.3">
      <c r="A83" s="1">
        <v>45062</v>
      </c>
      <c r="B83" s="3">
        <v>0.14472876100000001</v>
      </c>
      <c r="C83" s="3">
        <v>0.12800708999999999</v>
      </c>
      <c r="D83" s="3">
        <v>0.25004496199999998</v>
      </c>
      <c r="E83" s="3">
        <v>0.18503517999999999</v>
      </c>
      <c r="F83" s="3">
        <v>0.144866835</v>
      </c>
      <c r="G83" s="3">
        <v>5.4439828000000003E-2</v>
      </c>
      <c r="H83" s="3">
        <v>0.176334243</v>
      </c>
      <c r="I83" s="3">
        <v>0.134449715</v>
      </c>
      <c r="J83" s="3">
        <v>0.109144459</v>
      </c>
      <c r="K83" s="3">
        <v>4.0105122999999999E-2</v>
      </c>
      <c r="L83" s="3">
        <v>0.13966377899999999</v>
      </c>
      <c r="M83" s="3">
        <v>6.3154859999999993E-2</v>
      </c>
      <c r="N83" s="3">
        <v>0.14111771100000001</v>
      </c>
      <c r="O83" s="3">
        <v>3.8767309E-2</v>
      </c>
      <c r="P83" s="3">
        <v>0.106222582</v>
      </c>
      <c r="Q83" s="3">
        <v>7.2558835000000002E-2</v>
      </c>
      <c r="R83" s="3">
        <v>5.0446945999999999E-2</v>
      </c>
      <c r="S83" s="3">
        <v>7.9688822000000006E-2</v>
      </c>
      <c r="T83" s="3">
        <v>5.8895093000000003E-2</v>
      </c>
      <c r="U83" s="3">
        <v>6.0441691999999998E-2</v>
      </c>
      <c r="V83" s="3">
        <v>0.27227727857566064</v>
      </c>
      <c r="W83" s="3">
        <v>0.13500865140873244</v>
      </c>
      <c r="X83" s="3">
        <v>9.7836277789819251E-2</v>
      </c>
      <c r="AB83">
        <v>1</v>
      </c>
      <c r="AC83">
        <v>0</v>
      </c>
      <c r="AD83">
        <v>1</v>
      </c>
    </row>
    <row r="84" spans="1:30" x14ac:dyDescent="0.3">
      <c r="A84" s="1">
        <v>45063</v>
      </c>
      <c r="B84" s="3">
        <v>1.1612292999999999E-2</v>
      </c>
      <c r="C84" s="3">
        <v>2.4593215000000002E-2</v>
      </c>
      <c r="D84" s="3">
        <v>4.1427771000000002E-2</v>
      </c>
      <c r="E84" s="3">
        <v>3.3119000000000003E-2</v>
      </c>
      <c r="F84" s="3">
        <v>0.14472876100000001</v>
      </c>
      <c r="G84" s="3">
        <v>0.12800708999999999</v>
      </c>
      <c r="H84" s="3">
        <v>0.25004496199999998</v>
      </c>
      <c r="I84" s="3">
        <v>0.18503517999999999</v>
      </c>
      <c r="J84" s="3">
        <v>0.144866835</v>
      </c>
      <c r="K84" s="3">
        <v>5.4439828000000003E-2</v>
      </c>
      <c r="L84" s="3">
        <v>0.176334243</v>
      </c>
      <c r="M84" s="3">
        <v>0.134449715</v>
      </c>
      <c r="N84" s="3">
        <v>0.109144459</v>
      </c>
      <c r="O84" s="3">
        <v>4.0105122999999999E-2</v>
      </c>
      <c r="P84" s="3">
        <v>0.13966377899999999</v>
      </c>
      <c r="Q84" s="3">
        <v>6.3154859999999993E-2</v>
      </c>
      <c r="R84" s="3">
        <v>0.14111771100000001</v>
      </c>
      <c r="S84" s="3">
        <v>3.8767309E-2</v>
      </c>
      <c r="T84" s="3">
        <v>0.106222582</v>
      </c>
      <c r="U84" s="3">
        <v>7.2558835000000002E-2</v>
      </c>
      <c r="V84" s="3">
        <v>0.27227727857566064</v>
      </c>
      <c r="W84" s="3">
        <v>0.13957567152957578</v>
      </c>
      <c r="X84" s="3">
        <v>9.9321569851880231E-2</v>
      </c>
      <c r="AB84">
        <v>0</v>
      </c>
      <c r="AC84">
        <v>0</v>
      </c>
      <c r="AD84">
        <v>0</v>
      </c>
    </row>
    <row r="85" spans="1:30" x14ac:dyDescent="0.3">
      <c r="A85" s="1">
        <v>45064</v>
      </c>
      <c r="B85" s="3">
        <v>6.4596454999999997E-2</v>
      </c>
      <c r="C85" s="3">
        <v>3.5307465000000003E-2</v>
      </c>
      <c r="D85" s="3">
        <v>8.4434137000000006E-2</v>
      </c>
      <c r="E85" s="3">
        <v>4.8145555E-2</v>
      </c>
      <c r="F85" s="3">
        <v>1.1612292999999999E-2</v>
      </c>
      <c r="G85" s="3">
        <v>2.4593215000000002E-2</v>
      </c>
      <c r="H85" s="3">
        <v>4.1427771000000002E-2</v>
      </c>
      <c r="I85" s="3">
        <v>3.3119000000000003E-2</v>
      </c>
      <c r="J85" s="3">
        <v>0.14472876100000001</v>
      </c>
      <c r="K85" s="3">
        <v>0.12800708999999999</v>
      </c>
      <c r="L85" s="3">
        <v>0.25004496199999998</v>
      </c>
      <c r="M85" s="3">
        <v>0.18503517999999999</v>
      </c>
      <c r="N85" s="3">
        <v>0.144866835</v>
      </c>
      <c r="O85" s="3">
        <v>5.4439828000000003E-2</v>
      </c>
      <c r="P85" s="3">
        <v>0.176334243</v>
      </c>
      <c r="Q85" s="3">
        <v>0.134449715</v>
      </c>
      <c r="R85" s="3">
        <v>0.109144459</v>
      </c>
      <c r="S85" s="3">
        <v>4.0105122999999999E-2</v>
      </c>
      <c r="T85" s="3">
        <v>0.13966377899999999</v>
      </c>
      <c r="U85" s="3">
        <v>6.3154859999999993E-2</v>
      </c>
      <c r="V85" s="3">
        <v>0.29026878172508053</v>
      </c>
      <c r="W85" s="3">
        <v>0.13739514784745924</v>
      </c>
      <c r="X85" s="3">
        <v>9.7000288345504324E-2</v>
      </c>
      <c r="AB85">
        <v>0</v>
      </c>
      <c r="AC85">
        <v>0</v>
      </c>
      <c r="AD85">
        <v>0</v>
      </c>
    </row>
    <row r="86" spans="1:30" x14ac:dyDescent="0.3">
      <c r="A86" s="1">
        <v>45065</v>
      </c>
      <c r="B86" s="3">
        <v>6.1621096E-2</v>
      </c>
      <c r="C86" s="3">
        <v>2.1204693E-2</v>
      </c>
      <c r="D86" s="3">
        <v>6.9053360999999994E-2</v>
      </c>
      <c r="E86" s="3">
        <v>2.8164291000000001E-2</v>
      </c>
      <c r="F86" s="3">
        <v>6.4596454999999997E-2</v>
      </c>
      <c r="G86" s="3">
        <v>3.5307465000000003E-2</v>
      </c>
      <c r="H86" s="3">
        <v>8.4434137000000006E-2</v>
      </c>
      <c r="I86" s="3">
        <v>4.8145555E-2</v>
      </c>
      <c r="J86" s="3">
        <v>1.1612292999999999E-2</v>
      </c>
      <c r="K86" s="3">
        <v>2.4593215000000002E-2</v>
      </c>
      <c r="L86" s="3">
        <v>4.1427771000000002E-2</v>
      </c>
      <c r="M86" s="3">
        <v>3.3119000000000003E-2</v>
      </c>
      <c r="N86" s="3">
        <v>0.14472876100000001</v>
      </c>
      <c r="O86" s="3">
        <v>0.12800708999999999</v>
      </c>
      <c r="P86" s="3">
        <v>0.25004496199999998</v>
      </c>
      <c r="Q86" s="3">
        <v>0.18503517999999999</v>
      </c>
      <c r="R86" s="3">
        <v>0.144866835</v>
      </c>
      <c r="S86" s="3">
        <v>5.4439828000000003E-2</v>
      </c>
      <c r="T86" s="3">
        <v>0.176334243</v>
      </c>
      <c r="U86" s="3">
        <v>0.134449715</v>
      </c>
      <c r="V86" s="3">
        <v>0.29026878172508053</v>
      </c>
      <c r="W86" s="3">
        <v>0.13662578369763598</v>
      </c>
      <c r="X86" s="3">
        <v>9.6484722214413066E-2</v>
      </c>
      <c r="AB86">
        <v>1</v>
      </c>
      <c r="AC86">
        <v>0</v>
      </c>
      <c r="AD86">
        <v>1</v>
      </c>
    </row>
    <row r="87" spans="1:30" x14ac:dyDescent="0.3">
      <c r="A87" s="1">
        <v>45068</v>
      </c>
      <c r="B87" s="3">
        <v>4.3920566000000001E-2</v>
      </c>
      <c r="C87" s="3">
        <v>1.7849950999999999E-2</v>
      </c>
      <c r="D87" s="3">
        <v>6.1891824999999998E-2</v>
      </c>
      <c r="E87" s="3">
        <v>4.8687572999999998E-2</v>
      </c>
      <c r="F87" s="3">
        <v>6.1621096E-2</v>
      </c>
      <c r="G87" s="3">
        <v>2.1204693E-2</v>
      </c>
      <c r="H87" s="3">
        <v>6.9053360999999994E-2</v>
      </c>
      <c r="I87" s="3">
        <v>2.8164291000000001E-2</v>
      </c>
      <c r="J87" s="3">
        <v>6.4596454999999997E-2</v>
      </c>
      <c r="K87" s="3">
        <v>3.5307465000000003E-2</v>
      </c>
      <c r="L87" s="3">
        <v>8.4434137000000006E-2</v>
      </c>
      <c r="M87" s="3">
        <v>4.8145555E-2</v>
      </c>
      <c r="N87" s="3">
        <v>1.1612292999999999E-2</v>
      </c>
      <c r="O87" s="3">
        <v>2.4593215000000002E-2</v>
      </c>
      <c r="P87" s="3">
        <v>4.1427771000000002E-2</v>
      </c>
      <c r="Q87" s="3">
        <v>3.3119000000000003E-2</v>
      </c>
      <c r="R87" s="3">
        <v>0.14472876100000001</v>
      </c>
      <c r="S87" s="3">
        <v>0.12800708999999999</v>
      </c>
      <c r="T87" s="3">
        <v>0.25004496199999998</v>
      </c>
      <c r="U87" s="3">
        <v>0.18503517999999999</v>
      </c>
      <c r="V87" s="3">
        <v>0.29026878172508053</v>
      </c>
      <c r="W87" s="3">
        <v>0.13604258912141326</v>
      </c>
      <c r="X87" s="3">
        <v>9.6469518084148873E-2</v>
      </c>
      <c r="AB87">
        <v>1</v>
      </c>
      <c r="AC87">
        <v>0</v>
      </c>
      <c r="AD87">
        <v>1</v>
      </c>
    </row>
    <row r="88" spans="1:30" x14ac:dyDescent="0.3">
      <c r="A88" s="1">
        <v>45069</v>
      </c>
      <c r="B88" s="3">
        <v>3.4909099999999998E-2</v>
      </c>
      <c r="C88" s="3">
        <v>2.4076054E-2</v>
      </c>
      <c r="D88" s="3">
        <v>4.5355909999999999E-2</v>
      </c>
      <c r="E88" s="3">
        <v>4.1073750999999999E-2</v>
      </c>
      <c r="F88" s="3">
        <v>4.3920566000000001E-2</v>
      </c>
      <c r="G88" s="3">
        <v>1.7849950999999999E-2</v>
      </c>
      <c r="H88" s="3">
        <v>6.1891824999999998E-2</v>
      </c>
      <c r="I88" s="3">
        <v>4.8687572999999998E-2</v>
      </c>
      <c r="J88" s="3">
        <v>6.1621096E-2</v>
      </c>
      <c r="K88" s="3">
        <v>2.1204693E-2</v>
      </c>
      <c r="L88" s="3">
        <v>6.9053360999999994E-2</v>
      </c>
      <c r="M88" s="3">
        <v>2.8164291000000001E-2</v>
      </c>
      <c r="N88" s="3">
        <v>6.4596454999999997E-2</v>
      </c>
      <c r="O88" s="3">
        <v>3.5307465000000003E-2</v>
      </c>
      <c r="P88" s="3">
        <v>8.4434137000000006E-2</v>
      </c>
      <c r="Q88" s="3">
        <v>4.8145555E-2</v>
      </c>
      <c r="R88" s="3">
        <v>1.1612292999999999E-2</v>
      </c>
      <c r="S88" s="3">
        <v>2.4593215000000002E-2</v>
      </c>
      <c r="T88" s="3">
        <v>4.1427771000000002E-2</v>
      </c>
      <c r="U88" s="3">
        <v>3.3119000000000003E-2</v>
      </c>
      <c r="V88" s="3">
        <v>0.27227727857566064</v>
      </c>
      <c r="W88" s="3">
        <v>0.13594010997116604</v>
      </c>
      <c r="X88" s="3">
        <v>9.6103626241675469E-2</v>
      </c>
      <c r="AB88">
        <v>1</v>
      </c>
      <c r="AC88">
        <v>0</v>
      </c>
      <c r="AD88">
        <v>1</v>
      </c>
    </row>
    <row r="89" spans="1:30" x14ac:dyDescent="0.3">
      <c r="A89" s="1">
        <v>45070</v>
      </c>
      <c r="B89" s="3">
        <v>1.6829746999999999E-2</v>
      </c>
      <c r="C89" s="3">
        <v>2.4694773E-2</v>
      </c>
      <c r="D89" s="3">
        <v>4.2207886E-2</v>
      </c>
      <c r="E89" s="3">
        <v>4.2562955999999999E-2</v>
      </c>
      <c r="F89" s="3">
        <v>3.4909099999999998E-2</v>
      </c>
      <c r="G89" s="3">
        <v>2.4076054E-2</v>
      </c>
      <c r="H89" s="3">
        <v>4.5355909999999999E-2</v>
      </c>
      <c r="I89" s="3">
        <v>4.1073750999999999E-2</v>
      </c>
      <c r="J89" s="3">
        <v>4.3920566000000001E-2</v>
      </c>
      <c r="K89" s="3">
        <v>1.7849950999999999E-2</v>
      </c>
      <c r="L89" s="3">
        <v>6.1891824999999998E-2</v>
      </c>
      <c r="M89" s="3">
        <v>4.8687572999999998E-2</v>
      </c>
      <c r="N89" s="3">
        <v>6.1621096E-2</v>
      </c>
      <c r="O89" s="3">
        <v>2.1204693E-2</v>
      </c>
      <c r="P89" s="3">
        <v>6.9053360999999994E-2</v>
      </c>
      <c r="Q89" s="3">
        <v>2.8164291000000001E-2</v>
      </c>
      <c r="R89" s="3">
        <v>6.4596454999999997E-2</v>
      </c>
      <c r="S89" s="3">
        <v>3.5307465000000003E-2</v>
      </c>
      <c r="T89" s="3">
        <v>8.4434137000000006E-2</v>
      </c>
      <c r="U89" s="3">
        <v>4.8145555E-2</v>
      </c>
      <c r="V89" s="3">
        <v>0.26436623727951547</v>
      </c>
      <c r="W89" s="3">
        <v>0.13605603792056886</v>
      </c>
      <c r="X89" s="3">
        <v>9.5848039331332596E-2</v>
      </c>
      <c r="AB89">
        <v>1</v>
      </c>
      <c r="AC89">
        <v>0</v>
      </c>
      <c r="AD89">
        <v>1</v>
      </c>
    </row>
    <row r="90" spans="1:30" x14ac:dyDescent="0.3">
      <c r="A90" s="1">
        <v>45071</v>
      </c>
      <c r="B90" s="3">
        <v>4.4554077999999997E-2</v>
      </c>
      <c r="C90" s="3">
        <v>2.8776614999999998E-2</v>
      </c>
      <c r="D90" s="3">
        <v>9.8526245999999998E-2</v>
      </c>
      <c r="E90" s="3">
        <v>4.2257281000000001E-2</v>
      </c>
      <c r="F90" s="3">
        <v>1.6829746999999999E-2</v>
      </c>
      <c r="G90" s="3">
        <v>2.4694773E-2</v>
      </c>
      <c r="H90" s="3">
        <v>4.2207886E-2</v>
      </c>
      <c r="I90" s="3">
        <v>4.2562955999999999E-2</v>
      </c>
      <c r="J90" s="3">
        <v>3.4909099999999998E-2</v>
      </c>
      <c r="K90" s="3">
        <v>2.4076054E-2</v>
      </c>
      <c r="L90" s="3">
        <v>4.5355909999999999E-2</v>
      </c>
      <c r="M90" s="3">
        <v>4.1073750999999999E-2</v>
      </c>
      <c r="N90" s="3">
        <v>4.3920566000000001E-2</v>
      </c>
      <c r="O90" s="3">
        <v>1.7849950999999999E-2</v>
      </c>
      <c r="P90" s="3">
        <v>6.1891824999999998E-2</v>
      </c>
      <c r="Q90" s="3">
        <v>4.8687572999999998E-2</v>
      </c>
      <c r="R90" s="3">
        <v>6.1621096E-2</v>
      </c>
      <c r="S90" s="3">
        <v>2.1204693E-2</v>
      </c>
      <c r="T90" s="3">
        <v>6.9053360999999994E-2</v>
      </c>
      <c r="U90" s="3">
        <v>2.8164291000000001E-2</v>
      </c>
      <c r="V90" s="3">
        <v>0.28639908800420549</v>
      </c>
      <c r="W90" s="3">
        <v>0.13510747486423902</v>
      </c>
      <c r="X90" s="3">
        <v>9.5608264591463002E-2</v>
      </c>
      <c r="AB90">
        <v>0</v>
      </c>
      <c r="AC90">
        <v>0</v>
      </c>
      <c r="AD90">
        <v>0</v>
      </c>
    </row>
    <row r="91" spans="1:30" x14ac:dyDescent="0.3">
      <c r="A91" s="1">
        <v>45072</v>
      </c>
      <c r="B91" s="3">
        <v>5.0635541999999999E-2</v>
      </c>
      <c r="C91" s="3">
        <v>4.0503854999999998E-2</v>
      </c>
      <c r="D91" s="3">
        <v>9.6201241000000007E-2</v>
      </c>
      <c r="E91" s="3">
        <v>5.2059172000000001E-2</v>
      </c>
      <c r="F91" s="3">
        <v>4.4554077999999997E-2</v>
      </c>
      <c r="G91" s="3">
        <v>2.8776614999999998E-2</v>
      </c>
      <c r="H91" s="3">
        <v>9.8526245999999998E-2</v>
      </c>
      <c r="I91" s="3">
        <v>4.2257281000000001E-2</v>
      </c>
      <c r="J91" s="3">
        <v>1.6829746999999999E-2</v>
      </c>
      <c r="K91" s="3">
        <v>2.4694773E-2</v>
      </c>
      <c r="L91" s="3">
        <v>4.2207886E-2</v>
      </c>
      <c r="M91" s="3">
        <v>4.2562955999999999E-2</v>
      </c>
      <c r="N91" s="3">
        <v>3.4909099999999998E-2</v>
      </c>
      <c r="O91" s="3">
        <v>2.4076054E-2</v>
      </c>
      <c r="P91" s="3">
        <v>4.5355909999999999E-2</v>
      </c>
      <c r="Q91" s="3">
        <v>4.1073750999999999E-2</v>
      </c>
      <c r="R91" s="3">
        <v>4.3920566000000001E-2</v>
      </c>
      <c r="S91" s="3">
        <v>1.7849950999999999E-2</v>
      </c>
      <c r="T91" s="3">
        <v>6.1891824999999998E-2</v>
      </c>
      <c r="U91" s="3">
        <v>4.8687572999999998E-2</v>
      </c>
      <c r="V91" s="3">
        <v>0.28639908800420549</v>
      </c>
      <c r="W91" s="3">
        <v>0.1352838533666478</v>
      </c>
      <c r="X91" s="3">
        <v>9.5660891601922746E-2</v>
      </c>
      <c r="AB91">
        <v>0</v>
      </c>
      <c r="AC91">
        <v>0</v>
      </c>
      <c r="AD91">
        <v>0</v>
      </c>
    </row>
    <row r="92" spans="1:30" x14ac:dyDescent="0.3">
      <c r="A92" s="1">
        <v>45075</v>
      </c>
      <c r="B92" s="3">
        <v>5.9071167000000001E-2</v>
      </c>
      <c r="C92" s="3">
        <v>3.2942792999999998E-2</v>
      </c>
      <c r="D92" s="3">
        <v>7.4567760999999996E-2</v>
      </c>
      <c r="E92" s="3">
        <v>3.9942197999999998E-2</v>
      </c>
      <c r="F92" s="3">
        <v>5.0635541999999999E-2</v>
      </c>
      <c r="G92" s="3">
        <v>4.0503854999999998E-2</v>
      </c>
      <c r="H92" s="3">
        <v>9.6201241000000007E-2</v>
      </c>
      <c r="I92" s="3">
        <v>5.2059172000000001E-2</v>
      </c>
      <c r="J92" s="3">
        <v>4.4554077999999997E-2</v>
      </c>
      <c r="K92" s="3">
        <v>2.8776614999999998E-2</v>
      </c>
      <c r="L92" s="3">
        <v>9.8526245999999998E-2</v>
      </c>
      <c r="M92" s="3">
        <v>4.2257281000000001E-2</v>
      </c>
      <c r="N92" s="3">
        <v>1.6829746999999999E-2</v>
      </c>
      <c r="O92" s="3">
        <v>2.4694773E-2</v>
      </c>
      <c r="P92" s="3">
        <v>4.2207886E-2</v>
      </c>
      <c r="Q92" s="3">
        <v>4.2562955999999999E-2</v>
      </c>
      <c r="R92" s="3">
        <v>3.4909099999999998E-2</v>
      </c>
      <c r="S92" s="3">
        <v>2.4076054E-2</v>
      </c>
      <c r="T92" s="3">
        <v>4.5355909999999999E-2</v>
      </c>
      <c r="U92" s="3">
        <v>4.1073750999999999E-2</v>
      </c>
      <c r="V92" s="3">
        <v>0.31969554617577967</v>
      </c>
      <c r="W92" s="3">
        <v>0.13411241319169351</v>
      </c>
      <c r="X92" s="3">
        <v>9.5520690015874543E-2</v>
      </c>
      <c r="AB92">
        <v>0</v>
      </c>
      <c r="AC92">
        <v>0</v>
      </c>
      <c r="AD92">
        <v>0</v>
      </c>
    </row>
    <row r="93" spans="1:30" x14ac:dyDescent="0.3">
      <c r="A93" s="1">
        <v>45076</v>
      </c>
      <c r="B93" s="3">
        <v>4.0826385E-2</v>
      </c>
      <c r="C93" s="3">
        <v>2.2856642999999999E-2</v>
      </c>
      <c r="D93" s="3">
        <v>5.3220444999999998E-2</v>
      </c>
      <c r="E93" s="3">
        <v>4.1455367999999999E-2</v>
      </c>
      <c r="F93" s="3">
        <v>5.9071167000000001E-2</v>
      </c>
      <c r="G93" s="3">
        <v>3.2942792999999998E-2</v>
      </c>
      <c r="H93" s="3">
        <v>7.4567760999999996E-2</v>
      </c>
      <c r="I93" s="3">
        <v>3.9942197999999998E-2</v>
      </c>
      <c r="J93" s="3">
        <v>5.0635541999999999E-2</v>
      </c>
      <c r="K93" s="3">
        <v>4.0503854999999998E-2</v>
      </c>
      <c r="L93" s="3">
        <v>9.6201241000000007E-2</v>
      </c>
      <c r="M93" s="3">
        <v>5.2059172000000001E-2</v>
      </c>
      <c r="N93" s="3">
        <v>4.4554077999999997E-2</v>
      </c>
      <c r="O93" s="3">
        <v>2.8776614999999998E-2</v>
      </c>
      <c r="P93" s="3">
        <v>9.8526245999999998E-2</v>
      </c>
      <c r="Q93" s="3">
        <v>4.2257281000000001E-2</v>
      </c>
      <c r="R93" s="3">
        <v>1.6829746999999999E-2</v>
      </c>
      <c r="S93" s="3">
        <v>2.4694773E-2</v>
      </c>
      <c r="T93" s="3">
        <v>4.2207886E-2</v>
      </c>
      <c r="U93" s="3">
        <v>4.2562955999999999E-2</v>
      </c>
      <c r="V93" s="3">
        <v>0.28639908800420549</v>
      </c>
      <c r="W93" s="3">
        <v>0.13411002665162075</v>
      </c>
      <c r="X93" s="3">
        <v>9.5043923622525242E-2</v>
      </c>
      <c r="AB93">
        <v>0</v>
      </c>
      <c r="AC93">
        <v>0</v>
      </c>
      <c r="AD93">
        <v>0</v>
      </c>
    </row>
    <row r="94" spans="1:30" x14ac:dyDescent="0.3">
      <c r="A94" s="1">
        <v>45077</v>
      </c>
      <c r="B94" s="3">
        <v>4.8096697000000001E-2</v>
      </c>
      <c r="C94" s="3">
        <v>3.6818469E-2</v>
      </c>
      <c r="D94" s="3">
        <v>3.8059084E-2</v>
      </c>
      <c r="E94" s="3">
        <v>4.6931564000000002E-2</v>
      </c>
      <c r="F94" s="3">
        <v>4.0826385E-2</v>
      </c>
      <c r="G94" s="3">
        <v>2.2856642999999999E-2</v>
      </c>
      <c r="H94" s="3">
        <v>5.3220444999999998E-2</v>
      </c>
      <c r="I94" s="3">
        <v>4.1455367999999999E-2</v>
      </c>
      <c r="J94" s="3">
        <v>5.9071167000000001E-2</v>
      </c>
      <c r="K94" s="3">
        <v>3.2942792999999998E-2</v>
      </c>
      <c r="L94" s="3">
        <v>7.4567760999999996E-2</v>
      </c>
      <c r="M94" s="3">
        <v>3.9942197999999998E-2</v>
      </c>
      <c r="N94" s="3">
        <v>5.0635541999999999E-2</v>
      </c>
      <c r="O94" s="3">
        <v>4.0503854999999998E-2</v>
      </c>
      <c r="P94" s="3">
        <v>9.6201241000000007E-2</v>
      </c>
      <c r="Q94" s="3">
        <v>5.2059172000000001E-2</v>
      </c>
      <c r="R94" s="3">
        <v>4.4554077999999997E-2</v>
      </c>
      <c r="S94" s="3">
        <v>2.8776614999999998E-2</v>
      </c>
      <c r="T94" s="3">
        <v>9.8526245999999998E-2</v>
      </c>
      <c r="U94" s="3">
        <v>4.2257281000000001E-2</v>
      </c>
      <c r="V94" s="3">
        <v>0.28639908800420549</v>
      </c>
      <c r="W94" s="3">
        <v>0.13437876889056394</v>
      </c>
      <c r="X94" s="3">
        <v>9.4982950435810218E-2</v>
      </c>
      <c r="AB94">
        <v>1</v>
      </c>
      <c r="AC94">
        <v>0</v>
      </c>
      <c r="AD94">
        <v>1</v>
      </c>
    </row>
    <row r="95" spans="1:30" x14ac:dyDescent="0.3">
      <c r="A95" s="1">
        <v>45078</v>
      </c>
      <c r="B95" s="3">
        <v>8.6858828999999999E-2</v>
      </c>
      <c r="C95" s="3">
        <v>2.0532406999999999E-2</v>
      </c>
      <c r="D95" s="3">
        <v>9.0141498E-2</v>
      </c>
      <c r="E95" s="3">
        <v>2.8016082000000001E-2</v>
      </c>
      <c r="F95" s="3">
        <v>4.8096697000000001E-2</v>
      </c>
      <c r="G95" s="3">
        <v>3.6818469E-2</v>
      </c>
      <c r="H95" s="3">
        <v>3.8059084E-2</v>
      </c>
      <c r="I95" s="3">
        <v>4.6931564000000002E-2</v>
      </c>
      <c r="J95" s="3">
        <v>4.0826385E-2</v>
      </c>
      <c r="K95" s="3">
        <v>2.2856642999999999E-2</v>
      </c>
      <c r="L95" s="3">
        <v>5.3220444999999998E-2</v>
      </c>
      <c r="M95" s="3">
        <v>4.1455367999999999E-2</v>
      </c>
      <c r="N95" s="3">
        <v>5.9071167000000001E-2</v>
      </c>
      <c r="O95" s="3">
        <v>3.2942792999999998E-2</v>
      </c>
      <c r="P95" s="3">
        <v>7.4567760999999996E-2</v>
      </c>
      <c r="Q95" s="3">
        <v>3.9942197999999998E-2</v>
      </c>
      <c r="R95" s="3">
        <v>5.0635541999999999E-2</v>
      </c>
      <c r="S95" s="3">
        <v>4.0503854999999998E-2</v>
      </c>
      <c r="T95" s="3">
        <v>9.6201241000000007E-2</v>
      </c>
      <c r="U95" s="3">
        <v>5.2059172000000001E-2</v>
      </c>
      <c r="V95" s="3">
        <v>0.28639908800420549</v>
      </c>
      <c r="W95" s="3">
        <v>0.13491478525389611</v>
      </c>
      <c r="X95" s="3">
        <v>9.4961825662343929E-2</v>
      </c>
      <c r="AB95">
        <v>0</v>
      </c>
      <c r="AC95">
        <v>0</v>
      </c>
      <c r="AD95">
        <v>0</v>
      </c>
    </row>
    <row r="96" spans="1:30" x14ac:dyDescent="0.3">
      <c r="A96" s="1">
        <v>45079</v>
      </c>
      <c r="B96" s="3">
        <v>7.1791137000000005E-2</v>
      </c>
      <c r="C96" s="3">
        <v>3.7303741000000001E-2</v>
      </c>
      <c r="D96" s="3">
        <v>0.110632254</v>
      </c>
      <c r="E96" s="3">
        <v>6.5220523000000002E-2</v>
      </c>
      <c r="F96" s="3">
        <v>8.6858828999999999E-2</v>
      </c>
      <c r="G96" s="3">
        <v>2.0532406999999999E-2</v>
      </c>
      <c r="H96" s="3">
        <v>9.0141498E-2</v>
      </c>
      <c r="I96" s="3">
        <v>2.8016082000000001E-2</v>
      </c>
      <c r="J96" s="3">
        <v>4.8096697000000001E-2</v>
      </c>
      <c r="K96" s="3">
        <v>3.6818469E-2</v>
      </c>
      <c r="L96" s="3">
        <v>3.8059084E-2</v>
      </c>
      <c r="M96" s="3">
        <v>4.6931564000000002E-2</v>
      </c>
      <c r="N96" s="3">
        <v>4.0826385E-2</v>
      </c>
      <c r="O96" s="3">
        <v>2.2856642999999999E-2</v>
      </c>
      <c r="P96" s="3">
        <v>5.3220444999999998E-2</v>
      </c>
      <c r="Q96" s="3">
        <v>4.1455367999999999E-2</v>
      </c>
      <c r="R96" s="3">
        <v>5.9071167000000001E-2</v>
      </c>
      <c r="S96" s="3">
        <v>3.2942792999999998E-2</v>
      </c>
      <c r="T96" s="3">
        <v>7.4567760999999996E-2</v>
      </c>
      <c r="U96" s="3">
        <v>3.9942197999999998E-2</v>
      </c>
      <c r="V96" s="3">
        <v>0.28639908800420549</v>
      </c>
      <c r="W96" s="3">
        <v>0.13705667664105031</v>
      </c>
      <c r="X96" s="3">
        <v>9.5967152696407876E-2</v>
      </c>
      <c r="AB96">
        <v>0</v>
      </c>
      <c r="AC96">
        <v>0</v>
      </c>
      <c r="AD96">
        <v>0</v>
      </c>
    </row>
    <row r="97" spans="1:30" x14ac:dyDescent="0.3">
      <c r="A97" s="1">
        <v>45082</v>
      </c>
      <c r="B97" s="3">
        <v>8.4936576E-2</v>
      </c>
      <c r="C97" s="3">
        <v>3.2102184999999998E-2</v>
      </c>
      <c r="D97" s="3">
        <v>7.3856369000000005E-2</v>
      </c>
      <c r="E97" s="3">
        <v>7.7471914000000003E-2</v>
      </c>
      <c r="F97" s="3">
        <v>7.1791137000000005E-2</v>
      </c>
      <c r="G97" s="3">
        <v>3.7303741000000001E-2</v>
      </c>
      <c r="H97" s="3">
        <v>0.110632254</v>
      </c>
      <c r="I97" s="3">
        <v>6.5220523000000002E-2</v>
      </c>
      <c r="J97" s="3">
        <v>8.6858828999999999E-2</v>
      </c>
      <c r="K97" s="3">
        <v>2.0532406999999999E-2</v>
      </c>
      <c r="L97" s="3">
        <v>9.0141498E-2</v>
      </c>
      <c r="M97" s="3">
        <v>2.8016082000000001E-2</v>
      </c>
      <c r="N97" s="3">
        <v>4.8096697000000001E-2</v>
      </c>
      <c r="O97" s="3">
        <v>3.6818469E-2</v>
      </c>
      <c r="P97" s="3">
        <v>3.8059084E-2</v>
      </c>
      <c r="Q97" s="3">
        <v>4.6931564000000002E-2</v>
      </c>
      <c r="R97" s="3">
        <v>4.0826385E-2</v>
      </c>
      <c r="S97" s="3">
        <v>2.2856642999999999E-2</v>
      </c>
      <c r="T97" s="3">
        <v>5.3220444999999998E-2</v>
      </c>
      <c r="U97" s="3">
        <v>4.1455367999999999E-2</v>
      </c>
      <c r="V97" s="3">
        <v>0.26436623727951547</v>
      </c>
      <c r="W97" s="3">
        <v>0.13646939553659801</v>
      </c>
      <c r="X97" s="3">
        <v>9.5017407974246057E-2</v>
      </c>
      <c r="AB97">
        <v>0</v>
      </c>
      <c r="AC97">
        <v>0</v>
      </c>
      <c r="AD97">
        <v>0</v>
      </c>
    </row>
    <row r="98" spans="1:30" x14ac:dyDescent="0.3">
      <c r="A98" s="1">
        <v>45083</v>
      </c>
      <c r="B98" s="3">
        <v>4.8094666000000001E-2</v>
      </c>
      <c r="C98" s="3">
        <v>3.3620022999999999E-2</v>
      </c>
      <c r="D98" s="3">
        <v>6.1553173000000003E-2</v>
      </c>
      <c r="E98" s="3">
        <v>3.6659678000000001E-2</v>
      </c>
      <c r="F98" s="3">
        <v>8.4936576E-2</v>
      </c>
      <c r="G98" s="3">
        <v>3.2102184999999998E-2</v>
      </c>
      <c r="H98" s="3">
        <v>7.3856369000000005E-2</v>
      </c>
      <c r="I98" s="3">
        <v>7.7471914000000003E-2</v>
      </c>
      <c r="J98" s="3">
        <v>7.1791137000000005E-2</v>
      </c>
      <c r="K98" s="3">
        <v>3.7303741000000001E-2</v>
      </c>
      <c r="L98" s="3">
        <v>0.110632254</v>
      </c>
      <c r="M98" s="3">
        <v>6.5220523000000002E-2</v>
      </c>
      <c r="N98" s="3">
        <v>8.6858828999999999E-2</v>
      </c>
      <c r="O98" s="3">
        <v>2.0532406999999999E-2</v>
      </c>
      <c r="P98" s="3">
        <v>9.0141498E-2</v>
      </c>
      <c r="Q98" s="3">
        <v>2.8016082000000001E-2</v>
      </c>
      <c r="R98" s="3">
        <v>4.8096697000000001E-2</v>
      </c>
      <c r="S98" s="3">
        <v>3.6818469E-2</v>
      </c>
      <c r="T98" s="3">
        <v>3.8059084E-2</v>
      </c>
      <c r="U98" s="3">
        <v>4.6931564000000002E-2</v>
      </c>
      <c r="V98" s="3">
        <v>0.28639908800420549</v>
      </c>
      <c r="W98" s="3">
        <v>0.13630514619126899</v>
      </c>
      <c r="X98" s="3">
        <v>9.5550426906127042E-2</v>
      </c>
      <c r="AB98">
        <v>1</v>
      </c>
      <c r="AC98">
        <v>0</v>
      </c>
      <c r="AD98">
        <v>1</v>
      </c>
    </row>
    <row r="99" spans="1:30" x14ac:dyDescent="0.3">
      <c r="A99" s="1">
        <v>45084</v>
      </c>
      <c r="B99" s="3">
        <v>2.6219723E-2</v>
      </c>
      <c r="C99" s="3">
        <v>4.4873494E-2</v>
      </c>
      <c r="D99" s="3">
        <v>6.9114131999999995E-2</v>
      </c>
      <c r="E99" s="3">
        <v>5.8879531999999998E-2</v>
      </c>
      <c r="F99" s="3">
        <v>4.8094666000000001E-2</v>
      </c>
      <c r="G99" s="3">
        <v>3.3620022999999999E-2</v>
      </c>
      <c r="H99" s="3">
        <v>6.1553173000000003E-2</v>
      </c>
      <c r="I99" s="3">
        <v>3.6659678000000001E-2</v>
      </c>
      <c r="J99" s="3">
        <v>8.4936576E-2</v>
      </c>
      <c r="K99" s="3">
        <v>3.2102184999999998E-2</v>
      </c>
      <c r="L99" s="3">
        <v>7.3856369000000005E-2</v>
      </c>
      <c r="M99" s="3">
        <v>7.7471914000000003E-2</v>
      </c>
      <c r="N99" s="3">
        <v>7.1791137000000005E-2</v>
      </c>
      <c r="O99" s="3">
        <v>3.7303741000000001E-2</v>
      </c>
      <c r="P99" s="3">
        <v>0.110632254</v>
      </c>
      <c r="Q99" s="3">
        <v>6.5220523000000002E-2</v>
      </c>
      <c r="R99" s="3">
        <v>8.6858828999999999E-2</v>
      </c>
      <c r="S99" s="3">
        <v>2.0532406999999999E-2</v>
      </c>
      <c r="T99" s="3">
        <v>9.0141498E-2</v>
      </c>
      <c r="U99" s="3">
        <v>2.8016082000000001E-2</v>
      </c>
      <c r="V99" s="3">
        <v>0.31969554617577967</v>
      </c>
      <c r="W99" s="3">
        <v>0.13760021135437547</v>
      </c>
      <c r="X99" s="3">
        <v>9.7126702606541673E-2</v>
      </c>
      <c r="AB99">
        <v>1</v>
      </c>
      <c r="AC99">
        <v>0</v>
      </c>
      <c r="AD99">
        <v>1</v>
      </c>
    </row>
    <row r="100" spans="1:30" x14ac:dyDescent="0.3">
      <c r="A100" s="1">
        <v>45085</v>
      </c>
      <c r="B100" s="3">
        <v>0.111164605</v>
      </c>
      <c r="C100" s="3">
        <v>2.9362273000000001E-2</v>
      </c>
      <c r="D100" s="3">
        <v>7.9020371000000006E-2</v>
      </c>
      <c r="E100" s="3">
        <v>4.6803169999999998E-2</v>
      </c>
      <c r="F100" s="3">
        <v>2.6219723E-2</v>
      </c>
      <c r="G100" s="3">
        <v>4.4873494E-2</v>
      </c>
      <c r="H100" s="3">
        <v>6.9114131999999995E-2</v>
      </c>
      <c r="I100" s="3">
        <v>5.8879531999999998E-2</v>
      </c>
      <c r="J100" s="3">
        <v>4.8094666000000001E-2</v>
      </c>
      <c r="K100" s="3">
        <v>3.3620022999999999E-2</v>
      </c>
      <c r="L100" s="3">
        <v>6.1553173000000003E-2</v>
      </c>
      <c r="M100" s="3">
        <v>3.6659678000000001E-2</v>
      </c>
      <c r="N100" s="3">
        <v>8.4936576E-2</v>
      </c>
      <c r="O100" s="3">
        <v>3.2102184999999998E-2</v>
      </c>
      <c r="P100" s="3">
        <v>7.3856369000000005E-2</v>
      </c>
      <c r="Q100" s="3">
        <v>7.7471914000000003E-2</v>
      </c>
      <c r="R100" s="3">
        <v>7.1791137000000005E-2</v>
      </c>
      <c r="S100" s="3">
        <v>3.7303741000000001E-2</v>
      </c>
      <c r="T100" s="3">
        <v>0.110632254</v>
      </c>
      <c r="U100" s="3">
        <v>6.5220523000000002E-2</v>
      </c>
      <c r="V100" s="3">
        <v>0.31969554617577967</v>
      </c>
      <c r="W100" s="3">
        <v>0.13468913003902472</v>
      </c>
      <c r="X100" s="3">
        <v>9.3778590850700005E-2</v>
      </c>
      <c r="AB100">
        <v>1</v>
      </c>
      <c r="AC100">
        <v>0</v>
      </c>
      <c r="AD100">
        <v>1</v>
      </c>
    </row>
    <row r="101" spans="1:30" x14ac:dyDescent="0.3">
      <c r="A101" s="1">
        <v>45086</v>
      </c>
      <c r="B101" s="3">
        <v>7.9380141000000001E-2</v>
      </c>
      <c r="C101" s="3">
        <v>4.3384234000000001E-2</v>
      </c>
      <c r="D101" s="3">
        <v>0.12408643</v>
      </c>
      <c r="E101" s="3">
        <v>8.8821104999999997E-2</v>
      </c>
      <c r="F101" s="3">
        <v>0.111164605</v>
      </c>
      <c r="G101" s="3">
        <v>2.9362273000000001E-2</v>
      </c>
      <c r="H101" s="3">
        <v>7.9020371000000006E-2</v>
      </c>
      <c r="I101" s="3">
        <v>4.6803169999999998E-2</v>
      </c>
      <c r="J101" s="3">
        <v>2.6219723E-2</v>
      </c>
      <c r="K101" s="3">
        <v>4.4873494E-2</v>
      </c>
      <c r="L101" s="3">
        <v>6.9114131999999995E-2</v>
      </c>
      <c r="M101" s="3">
        <v>5.8879531999999998E-2</v>
      </c>
      <c r="N101" s="3">
        <v>4.8094666000000001E-2</v>
      </c>
      <c r="O101" s="3">
        <v>3.3620022999999999E-2</v>
      </c>
      <c r="P101" s="3">
        <v>6.1553173000000003E-2</v>
      </c>
      <c r="Q101" s="3">
        <v>3.6659678000000001E-2</v>
      </c>
      <c r="R101" s="3">
        <v>8.4936576E-2</v>
      </c>
      <c r="S101" s="3">
        <v>3.2102184999999998E-2</v>
      </c>
      <c r="T101" s="3">
        <v>7.3856369000000005E-2</v>
      </c>
      <c r="U101" s="3">
        <v>7.7471914000000003E-2</v>
      </c>
      <c r="V101" s="3">
        <v>0.3666224117898243</v>
      </c>
      <c r="W101" s="3">
        <v>0.1360986380582018</v>
      </c>
      <c r="X101" s="3">
        <v>9.510221433800943E-2</v>
      </c>
      <c r="AB101">
        <v>1</v>
      </c>
      <c r="AC101">
        <v>0</v>
      </c>
      <c r="AD101">
        <v>1</v>
      </c>
    </row>
    <row r="102" spans="1:30" x14ac:dyDescent="0.3">
      <c r="A102" s="1">
        <v>45089</v>
      </c>
      <c r="B102" s="3">
        <v>8.7302243000000002E-2</v>
      </c>
      <c r="C102" s="3">
        <v>3.5615952999999999E-2</v>
      </c>
      <c r="D102" s="3">
        <v>0.11688949899999999</v>
      </c>
      <c r="E102" s="3">
        <v>8.2060459000000002E-2</v>
      </c>
      <c r="F102" s="3">
        <v>7.9380141000000001E-2</v>
      </c>
      <c r="G102" s="3">
        <v>4.3384234000000001E-2</v>
      </c>
      <c r="H102" s="3">
        <v>0.12408643</v>
      </c>
      <c r="I102" s="3">
        <v>8.8821104999999997E-2</v>
      </c>
      <c r="J102" s="3">
        <v>0.111164605</v>
      </c>
      <c r="K102" s="3">
        <v>2.9362273000000001E-2</v>
      </c>
      <c r="L102" s="3">
        <v>7.9020371000000006E-2</v>
      </c>
      <c r="M102" s="3">
        <v>4.6803169999999998E-2</v>
      </c>
      <c r="N102" s="3">
        <v>2.6219723E-2</v>
      </c>
      <c r="O102" s="3">
        <v>4.4873494E-2</v>
      </c>
      <c r="P102" s="3">
        <v>6.9114131999999995E-2</v>
      </c>
      <c r="Q102" s="3">
        <v>5.8879531999999998E-2</v>
      </c>
      <c r="R102" s="3">
        <v>4.8094666000000001E-2</v>
      </c>
      <c r="S102" s="3">
        <v>3.3620022999999999E-2</v>
      </c>
      <c r="T102" s="3">
        <v>6.1553173000000003E-2</v>
      </c>
      <c r="U102" s="3">
        <v>3.6659678000000001E-2</v>
      </c>
      <c r="V102" s="3">
        <v>0.41351336244955539</v>
      </c>
      <c r="W102" s="3">
        <v>0.13134660154790276</v>
      </c>
      <c r="X102" s="3">
        <v>9.0967561410404796E-2</v>
      </c>
      <c r="AB102">
        <v>1</v>
      </c>
      <c r="AC102">
        <v>0</v>
      </c>
      <c r="AD102">
        <v>1</v>
      </c>
    </row>
    <row r="103" spans="1:30" x14ac:dyDescent="0.3">
      <c r="A103" s="1">
        <v>45090</v>
      </c>
      <c r="B103" s="3">
        <v>5.7211446999999999E-2</v>
      </c>
      <c r="C103" s="3">
        <v>5.4751478999999999E-2</v>
      </c>
      <c r="D103" s="3">
        <v>0.13011676</v>
      </c>
      <c r="E103" s="3">
        <v>9.0141128000000001E-2</v>
      </c>
      <c r="F103" s="3">
        <v>8.7302243000000002E-2</v>
      </c>
      <c r="G103" s="3">
        <v>3.5615952999999999E-2</v>
      </c>
      <c r="H103" s="3">
        <v>0.11688949899999999</v>
      </c>
      <c r="I103" s="3">
        <v>8.2060459000000002E-2</v>
      </c>
      <c r="J103" s="3">
        <v>7.9380141000000001E-2</v>
      </c>
      <c r="K103" s="3">
        <v>4.3384234000000001E-2</v>
      </c>
      <c r="L103" s="3">
        <v>0.12408643</v>
      </c>
      <c r="M103" s="3">
        <v>8.8821104999999997E-2</v>
      </c>
      <c r="N103" s="3">
        <v>0.111164605</v>
      </c>
      <c r="O103" s="3">
        <v>2.9362273000000001E-2</v>
      </c>
      <c r="P103" s="3">
        <v>7.9020371000000006E-2</v>
      </c>
      <c r="Q103" s="3">
        <v>4.6803169999999998E-2</v>
      </c>
      <c r="R103" s="3">
        <v>2.6219723E-2</v>
      </c>
      <c r="S103" s="3">
        <v>4.4873494E-2</v>
      </c>
      <c r="T103" s="3">
        <v>6.9114131999999995E-2</v>
      </c>
      <c r="U103" s="3">
        <v>5.8879531999999998E-2</v>
      </c>
      <c r="V103" s="3">
        <v>0.41351336244955539</v>
      </c>
      <c r="W103" s="3">
        <v>0.13564903246742757</v>
      </c>
      <c r="X103" s="3">
        <v>9.3302275118472028E-2</v>
      </c>
      <c r="AB103">
        <v>0</v>
      </c>
      <c r="AC103">
        <v>0</v>
      </c>
      <c r="AD103">
        <v>0</v>
      </c>
    </row>
    <row r="104" spans="1:30" x14ac:dyDescent="0.3">
      <c r="A104" s="1">
        <v>45091</v>
      </c>
      <c r="B104" s="3">
        <v>6.5714624999999999E-2</v>
      </c>
      <c r="C104" s="3">
        <v>5.5475120000000003E-2</v>
      </c>
      <c r="D104" s="3">
        <v>7.8635572000000001E-2</v>
      </c>
      <c r="E104" s="3">
        <v>7.8170878999999999E-2</v>
      </c>
      <c r="F104" s="3">
        <v>5.7211446999999999E-2</v>
      </c>
      <c r="G104" s="3">
        <v>5.4751478999999999E-2</v>
      </c>
      <c r="H104" s="3">
        <v>0.13011676</v>
      </c>
      <c r="I104" s="3">
        <v>9.0141128000000001E-2</v>
      </c>
      <c r="J104" s="3">
        <v>8.7302243000000002E-2</v>
      </c>
      <c r="K104" s="3">
        <v>3.5615952999999999E-2</v>
      </c>
      <c r="L104" s="3">
        <v>0.11688949899999999</v>
      </c>
      <c r="M104" s="3">
        <v>8.2060459000000002E-2</v>
      </c>
      <c r="N104" s="3">
        <v>7.9380141000000001E-2</v>
      </c>
      <c r="O104" s="3">
        <v>4.3384234000000001E-2</v>
      </c>
      <c r="P104" s="3">
        <v>0.12408643</v>
      </c>
      <c r="Q104" s="3">
        <v>8.8821104999999997E-2</v>
      </c>
      <c r="R104" s="3">
        <v>0.111164605</v>
      </c>
      <c r="S104" s="3">
        <v>2.9362273000000001E-2</v>
      </c>
      <c r="T104" s="3">
        <v>7.9020371000000006E-2</v>
      </c>
      <c r="U104" s="3">
        <v>4.6803169999999998E-2</v>
      </c>
      <c r="V104" s="3">
        <v>0.43318366690467941</v>
      </c>
      <c r="W104" s="3">
        <v>0.13189707838902848</v>
      </c>
      <c r="X104" s="3">
        <v>9.0034928746755172E-2</v>
      </c>
      <c r="AB104">
        <v>0</v>
      </c>
      <c r="AC104">
        <v>0</v>
      </c>
      <c r="AD104">
        <v>0</v>
      </c>
    </row>
    <row r="105" spans="1:30" x14ac:dyDescent="0.3">
      <c r="A105" s="1">
        <v>45092</v>
      </c>
      <c r="B105" s="3">
        <v>0.129538453</v>
      </c>
      <c r="C105" s="3">
        <v>5.5141721999999997E-2</v>
      </c>
      <c r="D105" s="3">
        <v>0.18609890900000001</v>
      </c>
      <c r="E105" s="3">
        <v>5.8492413E-2</v>
      </c>
      <c r="F105" s="3">
        <v>6.5714624999999999E-2</v>
      </c>
      <c r="G105" s="3">
        <v>5.5475120000000003E-2</v>
      </c>
      <c r="H105" s="3">
        <v>7.8635572000000001E-2</v>
      </c>
      <c r="I105" s="3">
        <v>7.8170878999999999E-2</v>
      </c>
      <c r="J105" s="3">
        <v>5.7211446999999999E-2</v>
      </c>
      <c r="K105" s="3">
        <v>5.4751478999999999E-2</v>
      </c>
      <c r="L105" s="3">
        <v>0.13011676</v>
      </c>
      <c r="M105" s="3">
        <v>9.0141128000000001E-2</v>
      </c>
      <c r="N105" s="3">
        <v>8.7302243000000002E-2</v>
      </c>
      <c r="O105" s="3">
        <v>3.5615952999999999E-2</v>
      </c>
      <c r="P105" s="3">
        <v>0.11688949899999999</v>
      </c>
      <c r="Q105" s="3">
        <v>8.2060459000000002E-2</v>
      </c>
      <c r="R105" s="3">
        <v>7.9380141000000001E-2</v>
      </c>
      <c r="S105" s="3">
        <v>4.3384234000000001E-2</v>
      </c>
      <c r="T105" s="3">
        <v>0.12408643</v>
      </c>
      <c r="U105" s="3">
        <v>8.8821104999999997E-2</v>
      </c>
      <c r="V105" s="3">
        <v>0.43318366690467941</v>
      </c>
      <c r="W105" s="3">
        <v>0.12806536466457674</v>
      </c>
      <c r="X105" s="3">
        <v>8.8386242643489585E-2</v>
      </c>
      <c r="AB105">
        <v>0</v>
      </c>
      <c r="AC105">
        <v>1</v>
      </c>
      <c r="AD105">
        <v>1</v>
      </c>
    </row>
    <row r="106" spans="1:30" x14ac:dyDescent="0.3">
      <c r="A106" s="1">
        <v>45093</v>
      </c>
      <c r="B106" s="3">
        <v>0.14738839300000001</v>
      </c>
      <c r="C106" s="3">
        <v>8.4959418999999994E-2</v>
      </c>
      <c r="D106" s="3">
        <v>0.17056417400000001</v>
      </c>
      <c r="E106" s="3">
        <v>0.10368691400000001</v>
      </c>
      <c r="F106" s="3">
        <v>0.129538453</v>
      </c>
      <c r="G106" s="3">
        <v>5.5141721999999997E-2</v>
      </c>
      <c r="H106" s="3">
        <v>0.18609890900000001</v>
      </c>
      <c r="I106" s="3">
        <v>5.8492413E-2</v>
      </c>
      <c r="J106" s="3">
        <v>6.5714624999999999E-2</v>
      </c>
      <c r="K106" s="3">
        <v>5.5475120000000003E-2</v>
      </c>
      <c r="L106" s="3">
        <v>7.8635572000000001E-2</v>
      </c>
      <c r="M106" s="3">
        <v>7.8170878999999999E-2</v>
      </c>
      <c r="N106" s="3">
        <v>5.7211446999999999E-2</v>
      </c>
      <c r="O106" s="3">
        <v>5.4751478999999999E-2</v>
      </c>
      <c r="P106" s="3">
        <v>0.13011676</v>
      </c>
      <c r="Q106" s="3">
        <v>9.0141128000000001E-2</v>
      </c>
      <c r="R106" s="3">
        <v>8.7302243000000002E-2</v>
      </c>
      <c r="S106" s="3">
        <v>3.5615952999999999E-2</v>
      </c>
      <c r="T106" s="3">
        <v>0.11688949899999999</v>
      </c>
      <c r="U106" s="3">
        <v>8.2060459000000002E-2</v>
      </c>
      <c r="V106" s="3">
        <v>0.43318366690467941</v>
      </c>
      <c r="W106" s="3">
        <v>0.12832395217241649</v>
      </c>
      <c r="X106" s="3">
        <v>8.8509194083019146E-2</v>
      </c>
      <c r="AB106">
        <v>0</v>
      </c>
      <c r="AC106">
        <v>1</v>
      </c>
      <c r="AD106">
        <v>1</v>
      </c>
    </row>
    <row r="107" spans="1:30" x14ac:dyDescent="0.3">
      <c r="A107" s="1">
        <v>45096</v>
      </c>
      <c r="B107" s="3">
        <v>0.15603007299999999</v>
      </c>
      <c r="C107" s="3">
        <v>9.0296188999999999E-2</v>
      </c>
      <c r="D107" s="3">
        <v>0.198577012</v>
      </c>
      <c r="E107" s="3">
        <v>8.6050959999999996E-2</v>
      </c>
      <c r="F107" s="3">
        <v>0.14738839300000001</v>
      </c>
      <c r="G107" s="3">
        <v>8.4959418999999994E-2</v>
      </c>
      <c r="H107" s="3">
        <v>0.17056417400000001</v>
      </c>
      <c r="I107" s="3">
        <v>0.10368691400000001</v>
      </c>
      <c r="J107" s="3">
        <v>0.129538453</v>
      </c>
      <c r="K107" s="3">
        <v>5.5141721999999997E-2</v>
      </c>
      <c r="L107" s="3">
        <v>0.18609890900000001</v>
      </c>
      <c r="M107" s="3">
        <v>5.8492413E-2</v>
      </c>
      <c r="N107" s="3">
        <v>6.5714624999999999E-2</v>
      </c>
      <c r="O107" s="3">
        <v>5.5475120000000003E-2</v>
      </c>
      <c r="P107" s="3">
        <v>7.8635572000000001E-2</v>
      </c>
      <c r="Q107" s="3">
        <v>7.8170878999999999E-2</v>
      </c>
      <c r="R107" s="3">
        <v>5.7211446999999999E-2</v>
      </c>
      <c r="S107" s="3">
        <v>5.4751478999999999E-2</v>
      </c>
      <c r="T107" s="3">
        <v>0.13011676</v>
      </c>
      <c r="U107" s="3">
        <v>9.0141128000000001E-2</v>
      </c>
      <c r="V107" s="3">
        <v>0.41351336244955539</v>
      </c>
      <c r="W107" s="3">
        <v>0.12799590031229449</v>
      </c>
      <c r="X107" s="3">
        <v>8.7554130234990271E-2</v>
      </c>
      <c r="AB107">
        <v>0</v>
      </c>
      <c r="AC107">
        <v>1</v>
      </c>
      <c r="AD107">
        <v>1</v>
      </c>
    </row>
    <row r="108" spans="1:30" x14ac:dyDescent="0.3">
      <c r="A108" s="1">
        <v>45097</v>
      </c>
      <c r="B108" s="3">
        <v>0.196469005</v>
      </c>
      <c r="C108" s="3">
        <v>0.199444185</v>
      </c>
      <c r="D108" s="3">
        <v>0.19759555200000001</v>
      </c>
      <c r="E108" s="3">
        <v>0.14943065999999999</v>
      </c>
      <c r="F108" s="3">
        <v>0.15603007299999999</v>
      </c>
      <c r="G108" s="3">
        <v>9.0296188999999999E-2</v>
      </c>
      <c r="H108" s="3">
        <v>0.198577012</v>
      </c>
      <c r="I108" s="3">
        <v>8.6050959999999996E-2</v>
      </c>
      <c r="J108" s="3">
        <v>0.14738839300000001</v>
      </c>
      <c r="K108" s="3">
        <v>8.4959418999999994E-2</v>
      </c>
      <c r="L108" s="3">
        <v>0.17056417400000001</v>
      </c>
      <c r="M108" s="3">
        <v>0.10368691400000001</v>
      </c>
      <c r="N108" s="3">
        <v>0.129538453</v>
      </c>
      <c r="O108" s="3">
        <v>5.5141721999999997E-2</v>
      </c>
      <c r="P108" s="3">
        <v>0.18609890900000001</v>
      </c>
      <c r="Q108" s="3">
        <v>5.8492413E-2</v>
      </c>
      <c r="R108" s="3">
        <v>6.5714624999999999E-2</v>
      </c>
      <c r="S108" s="3">
        <v>5.5475120000000003E-2</v>
      </c>
      <c r="T108" s="3">
        <v>7.8635572000000001E-2</v>
      </c>
      <c r="U108" s="3">
        <v>7.8170878999999999E-2</v>
      </c>
      <c r="V108" s="3">
        <v>0.3666224117898243</v>
      </c>
      <c r="W108" s="3">
        <v>0.12409393248091007</v>
      </c>
      <c r="X108" s="3">
        <v>8.5527250785378386E-2</v>
      </c>
      <c r="AB108">
        <v>0</v>
      </c>
      <c r="AC108">
        <v>0</v>
      </c>
      <c r="AD108">
        <v>0</v>
      </c>
    </row>
    <row r="109" spans="1:30" x14ac:dyDescent="0.3">
      <c r="A109" s="1">
        <v>45098</v>
      </c>
      <c r="B109" s="3">
        <v>1.6650392999999999E-2</v>
      </c>
      <c r="C109" s="3">
        <v>2.4905404999999999E-2</v>
      </c>
      <c r="D109" s="3">
        <v>3.9941009999999999E-2</v>
      </c>
      <c r="E109" s="3">
        <v>4.5149581000000001E-2</v>
      </c>
      <c r="F109" s="3">
        <v>0.196469005</v>
      </c>
      <c r="G109" s="3">
        <v>0.199444185</v>
      </c>
      <c r="H109" s="3">
        <v>0.19759555200000001</v>
      </c>
      <c r="I109" s="3">
        <v>0.14943065999999999</v>
      </c>
      <c r="J109" s="3">
        <v>0.15603007299999999</v>
      </c>
      <c r="K109" s="3">
        <v>9.0296188999999999E-2</v>
      </c>
      <c r="L109" s="3">
        <v>0.198577012</v>
      </c>
      <c r="M109" s="3">
        <v>8.6050959999999996E-2</v>
      </c>
      <c r="N109" s="3">
        <v>0.14738839300000001</v>
      </c>
      <c r="O109" s="3">
        <v>8.4959418999999994E-2</v>
      </c>
      <c r="P109" s="3">
        <v>0.17056417400000001</v>
      </c>
      <c r="Q109" s="3">
        <v>0.10368691400000001</v>
      </c>
      <c r="R109" s="3">
        <v>0.129538453</v>
      </c>
      <c r="S109" s="3">
        <v>5.5141721999999997E-2</v>
      </c>
      <c r="T109" s="3">
        <v>0.18609890900000001</v>
      </c>
      <c r="U109" s="3">
        <v>5.8492413E-2</v>
      </c>
      <c r="V109" s="3">
        <v>0.35314578525942963</v>
      </c>
      <c r="W109" s="3">
        <v>0.12340555814277793</v>
      </c>
      <c r="X109" s="3">
        <v>8.4586684223751263E-2</v>
      </c>
      <c r="AB109">
        <v>0</v>
      </c>
      <c r="AC109">
        <v>1</v>
      </c>
      <c r="AD109">
        <v>1</v>
      </c>
    </row>
    <row r="110" spans="1:30" x14ac:dyDescent="0.3">
      <c r="A110" s="1">
        <v>45103</v>
      </c>
      <c r="B110" s="3">
        <v>6.5973149999999994E-2</v>
      </c>
      <c r="C110" s="3">
        <v>5.4047062E-2</v>
      </c>
      <c r="D110" s="3">
        <v>7.9980028999999994E-2</v>
      </c>
      <c r="E110" s="3">
        <v>6.0245377000000003E-2</v>
      </c>
      <c r="F110" s="3">
        <v>1.6650392999999999E-2</v>
      </c>
      <c r="G110" s="3">
        <v>2.4905404999999999E-2</v>
      </c>
      <c r="H110" s="3">
        <v>3.9941009999999999E-2</v>
      </c>
      <c r="I110" s="3">
        <v>4.5149581000000001E-2</v>
      </c>
      <c r="J110" s="3">
        <v>0.196469005</v>
      </c>
      <c r="K110" s="3">
        <v>0.199444185</v>
      </c>
      <c r="L110" s="3">
        <v>0.19759555200000001</v>
      </c>
      <c r="M110" s="3">
        <v>0.14943065999999999</v>
      </c>
      <c r="N110" s="3">
        <v>0.15603007299999999</v>
      </c>
      <c r="O110" s="3">
        <v>9.0296188999999999E-2</v>
      </c>
      <c r="P110" s="3">
        <v>0.198577012</v>
      </c>
      <c r="Q110" s="3">
        <v>8.6050959999999996E-2</v>
      </c>
      <c r="R110" s="3">
        <v>0.14738839300000001</v>
      </c>
      <c r="S110" s="3">
        <v>8.4959418999999994E-2</v>
      </c>
      <c r="T110" s="3">
        <v>0.17056417400000001</v>
      </c>
      <c r="U110" s="3">
        <v>0.10368691400000001</v>
      </c>
      <c r="V110" s="3">
        <v>0.31969554617577967</v>
      </c>
      <c r="W110" s="3">
        <v>0.12391110709695868</v>
      </c>
      <c r="X110" s="3">
        <v>8.42742141478212E-2</v>
      </c>
      <c r="AB110">
        <v>0</v>
      </c>
      <c r="AC110">
        <v>0</v>
      </c>
      <c r="AD110">
        <v>0</v>
      </c>
    </row>
    <row r="111" spans="1:30" x14ac:dyDescent="0.3">
      <c r="A111" s="1">
        <v>45104</v>
      </c>
      <c r="B111" s="3">
        <v>5.7093572000000002E-2</v>
      </c>
      <c r="C111" s="3">
        <v>3.5587185E-2</v>
      </c>
      <c r="D111" s="3">
        <v>3.1436510000000001E-2</v>
      </c>
      <c r="E111" s="3">
        <v>5.3204960000000003E-2</v>
      </c>
      <c r="F111" s="3">
        <v>6.5973149999999994E-2</v>
      </c>
      <c r="G111" s="3">
        <v>5.4047062E-2</v>
      </c>
      <c r="H111" s="3">
        <v>7.9980028999999994E-2</v>
      </c>
      <c r="I111" s="3">
        <v>6.0245377000000003E-2</v>
      </c>
      <c r="J111" s="3">
        <v>1.6650392999999999E-2</v>
      </c>
      <c r="K111" s="3">
        <v>2.4905404999999999E-2</v>
      </c>
      <c r="L111" s="3">
        <v>3.9941009999999999E-2</v>
      </c>
      <c r="M111" s="3">
        <v>4.5149581000000001E-2</v>
      </c>
      <c r="N111" s="3">
        <v>0.196469005</v>
      </c>
      <c r="O111" s="3">
        <v>0.199444185</v>
      </c>
      <c r="P111" s="3">
        <v>0.19759555200000001</v>
      </c>
      <c r="Q111" s="3">
        <v>0.14943065999999999</v>
      </c>
      <c r="R111" s="3">
        <v>0.15603007299999999</v>
      </c>
      <c r="S111" s="3">
        <v>9.0296188999999999E-2</v>
      </c>
      <c r="T111" s="3">
        <v>0.198577012</v>
      </c>
      <c r="U111" s="3">
        <v>8.6050959999999996E-2</v>
      </c>
      <c r="V111" s="3">
        <v>0.31969554617577967</v>
      </c>
      <c r="W111" s="3">
        <v>0.12656647307377877</v>
      </c>
      <c r="X111" s="3">
        <v>8.6888846890130558E-2</v>
      </c>
      <c r="AB111">
        <v>0</v>
      </c>
      <c r="AC111">
        <v>0</v>
      </c>
      <c r="AD111">
        <v>0</v>
      </c>
    </row>
    <row r="112" spans="1:30" x14ac:dyDescent="0.3">
      <c r="A112" s="1">
        <v>45105</v>
      </c>
      <c r="B112" s="3">
        <v>2.1018222999999999E-2</v>
      </c>
      <c r="C112" s="3">
        <v>2.3026457E-2</v>
      </c>
      <c r="D112" s="3">
        <v>4.1187031999999998E-2</v>
      </c>
      <c r="E112" s="3">
        <v>5.0188293000000002E-2</v>
      </c>
      <c r="F112" s="3">
        <v>5.7093572000000002E-2</v>
      </c>
      <c r="G112" s="3">
        <v>3.5587185E-2</v>
      </c>
      <c r="H112" s="3">
        <v>3.1436510000000001E-2</v>
      </c>
      <c r="I112" s="3">
        <v>5.3204960000000003E-2</v>
      </c>
      <c r="J112" s="3">
        <v>6.5973149999999994E-2</v>
      </c>
      <c r="K112" s="3">
        <v>5.4047062E-2</v>
      </c>
      <c r="L112" s="3">
        <v>7.9980028999999994E-2</v>
      </c>
      <c r="M112" s="3">
        <v>6.0245377000000003E-2</v>
      </c>
      <c r="N112" s="3">
        <v>1.6650392999999999E-2</v>
      </c>
      <c r="O112" s="3">
        <v>2.4905404999999999E-2</v>
      </c>
      <c r="P112" s="3">
        <v>3.9941009999999999E-2</v>
      </c>
      <c r="Q112" s="3">
        <v>4.5149581000000001E-2</v>
      </c>
      <c r="R112" s="3">
        <v>0.196469005</v>
      </c>
      <c r="S112" s="3">
        <v>0.199444185</v>
      </c>
      <c r="T112" s="3">
        <v>0.19759555200000001</v>
      </c>
      <c r="U112" s="3">
        <v>0.14943065999999999</v>
      </c>
      <c r="V112" s="3">
        <v>0.35314578525942963</v>
      </c>
      <c r="W112" s="3">
        <v>0.12451998054134397</v>
      </c>
      <c r="X112" s="3">
        <v>8.5727464653388152E-2</v>
      </c>
      <c r="AB112">
        <v>0</v>
      </c>
      <c r="AC112">
        <v>0</v>
      </c>
      <c r="AD112">
        <v>0</v>
      </c>
    </row>
    <row r="113" spans="1:30" x14ac:dyDescent="0.3">
      <c r="A113" s="1">
        <v>45106</v>
      </c>
      <c r="B113" s="3">
        <v>5.2056878000000001E-2</v>
      </c>
      <c r="C113" s="3">
        <v>3.1383539000000002E-2</v>
      </c>
      <c r="D113" s="3">
        <v>9.8773296999999996E-2</v>
      </c>
      <c r="E113" s="3">
        <v>2.8861695E-2</v>
      </c>
      <c r="F113" s="3">
        <v>2.1018222999999999E-2</v>
      </c>
      <c r="G113" s="3">
        <v>2.3026457E-2</v>
      </c>
      <c r="H113" s="3">
        <v>4.1187031999999998E-2</v>
      </c>
      <c r="I113" s="3">
        <v>5.0188293000000002E-2</v>
      </c>
      <c r="J113" s="3">
        <v>5.7093572000000002E-2</v>
      </c>
      <c r="K113" s="3">
        <v>3.5587185E-2</v>
      </c>
      <c r="L113" s="3">
        <v>3.1436510000000001E-2</v>
      </c>
      <c r="M113" s="3">
        <v>5.3204960000000003E-2</v>
      </c>
      <c r="N113" s="3">
        <v>6.5973149999999994E-2</v>
      </c>
      <c r="O113" s="3">
        <v>5.4047062E-2</v>
      </c>
      <c r="P113" s="3">
        <v>7.9980028999999994E-2</v>
      </c>
      <c r="Q113" s="3">
        <v>6.0245377000000003E-2</v>
      </c>
      <c r="R113" s="3">
        <v>1.6650392999999999E-2</v>
      </c>
      <c r="S113" s="3">
        <v>2.4905404999999999E-2</v>
      </c>
      <c r="T113" s="3">
        <v>3.9941009999999999E-2</v>
      </c>
      <c r="U113" s="3">
        <v>4.5149581000000001E-2</v>
      </c>
      <c r="V113" s="3">
        <v>0.31969554617577967</v>
      </c>
      <c r="W113" s="3">
        <v>0.12428360364846709</v>
      </c>
      <c r="X113" s="3">
        <v>8.5082217363365548E-2</v>
      </c>
      <c r="AB113">
        <v>0</v>
      </c>
      <c r="AC113">
        <v>0</v>
      </c>
      <c r="AD113">
        <v>0</v>
      </c>
    </row>
    <row r="114" spans="1:30" x14ac:dyDescent="0.3">
      <c r="A114" s="1">
        <v>45107</v>
      </c>
      <c r="B114" s="3">
        <v>4.3509121999999997E-2</v>
      </c>
      <c r="C114" s="3">
        <v>3.8444576000000001E-2</v>
      </c>
      <c r="D114" s="3">
        <v>0.109175286</v>
      </c>
      <c r="E114" s="3">
        <v>3.9787274999999997E-2</v>
      </c>
      <c r="F114" s="3">
        <v>5.2056878000000001E-2</v>
      </c>
      <c r="G114" s="3">
        <v>3.1383539000000002E-2</v>
      </c>
      <c r="H114" s="3">
        <v>9.8773296999999996E-2</v>
      </c>
      <c r="I114" s="3">
        <v>2.8861695E-2</v>
      </c>
      <c r="J114" s="3">
        <v>2.1018222999999999E-2</v>
      </c>
      <c r="K114" s="3">
        <v>2.3026457E-2</v>
      </c>
      <c r="L114" s="3">
        <v>4.1187031999999998E-2</v>
      </c>
      <c r="M114" s="3">
        <v>5.0188293000000002E-2</v>
      </c>
      <c r="N114" s="3">
        <v>5.7093572000000002E-2</v>
      </c>
      <c r="O114" s="3">
        <v>3.5587185E-2</v>
      </c>
      <c r="P114" s="3">
        <v>3.1436510000000001E-2</v>
      </c>
      <c r="Q114" s="3">
        <v>5.3204960000000003E-2</v>
      </c>
      <c r="R114" s="3">
        <v>6.5973149999999994E-2</v>
      </c>
      <c r="S114" s="3">
        <v>5.4047062E-2</v>
      </c>
      <c r="T114" s="3">
        <v>7.9980028999999994E-2</v>
      </c>
      <c r="U114" s="3">
        <v>6.0245377000000003E-2</v>
      </c>
      <c r="V114" s="3">
        <v>0.28235774042893536</v>
      </c>
      <c r="W114" s="3">
        <v>0.12406737164459872</v>
      </c>
      <c r="X114" s="3">
        <v>8.4214755291433449E-2</v>
      </c>
      <c r="AB114">
        <v>0</v>
      </c>
      <c r="AC114">
        <v>0</v>
      </c>
      <c r="AD114">
        <v>0</v>
      </c>
    </row>
    <row r="115" spans="1:30" x14ac:dyDescent="0.3">
      <c r="A115" s="1">
        <v>45110</v>
      </c>
      <c r="B115" s="3">
        <v>3.7827873999999997E-2</v>
      </c>
      <c r="C115" s="3">
        <v>3.8024777000000003E-2</v>
      </c>
      <c r="D115" s="3">
        <v>8.8297653000000004E-2</v>
      </c>
      <c r="E115" s="3">
        <v>3.6499399000000002E-2</v>
      </c>
      <c r="F115" s="3">
        <v>4.3509121999999997E-2</v>
      </c>
      <c r="G115" s="3">
        <v>3.8444576000000001E-2</v>
      </c>
      <c r="H115" s="3">
        <v>0.109175286</v>
      </c>
      <c r="I115" s="3">
        <v>3.9787274999999997E-2</v>
      </c>
      <c r="J115" s="3">
        <v>5.2056878000000001E-2</v>
      </c>
      <c r="K115" s="3">
        <v>3.1383539000000002E-2</v>
      </c>
      <c r="L115" s="3">
        <v>9.8773296999999996E-2</v>
      </c>
      <c r="M115" s="3">
        <v>2.8861695E-2</v>
      </c>
      <c r="N115" s="3">
        <v>2.1018222999999999E-2</v>
      </c>
      <c r="O115" s="3">
        <v>2.3026457E-2</v>
      </c>
      <c r="P115" s="3">
        <v>4.1187031999999998E-2</v>
      </c>
      <c r="Q115" s="3">
        <v>5.0188293000000002E-2</v>
      </c>
      <c r="R115" s="3">
        <v>5.7093572000000002E-2</v>
      </c>
      <c r="S115" s="3">
        <v>3.5587185E-2</v>
      </c>
      <c r="T115" s="3">
        <v>3.1436510000000001E-2</v>
      </c>
      <c r="U115" s="3">
        <v>5.3204960000000003E-2</v>
      </c>
      <c r="V115" s="3">
        <v>0.28235774042893536</v>
      </c>
      <c r="W115" s="3">
        <v>0.12460994672835803</v>
      </c>
      <c r="X115" s="3">
        <v>8.4990423207326984E-2</v>
      </c>
      <c r="AB115">
        <v>0</v>
      </c>
      <c r="AC115">
        <v>1</v>
      </c>
      <c r="AD115">
        <v>1</v>
      </c>
    </row>
    <row r="116" spans="1:30" x14ac:dyDescent="0.3">
      <c r="A116" s="1">
        <v>45111</v>
      </c>
      <c r="B116" s="3">
        <v>2.7462957999999999E-2</v>
      </c>
      <c r="C116" s="3">
        <v>2.8423812999999999E-2</v>
      </c>
      <c r="D116" s="3">
        <v>6.1036271000000003E-2</v>
      </c>
      <c r="E116" s="3">
        <v>3.5389213000000003E-2</v>
      </c>
      <c r="F116" s="3">
        <v>3.7827873999999997E-2</v>
      </c>
      <c r="G116" s="3">
        <v>3.8024777000000003E-2</v>
      </c>
      <c r="H116" s="3">
        <v>8.8297653000000004E-2</v>
      </c>
      <c r="I116" s="3">
        <v>3.6499399000000002E-2</v>
      </c>
      <c r="J116" s="3">
        <v>4.3509121999999997E-2</v>
      </c>
      <c r="K116" s="3">
        <v>3.8444576000000001E-2</v>
      </c>
      <c r="L116" s="3">
        <v>0.109175286</v>
      </c>
      <c r="M116" s="3">
        <v>3.9787274999999997E-2</v>
      </c>
      <c r="N116" s="3">
        <v>5.2056878000000001E-2</v>
      </c>
      <c r="O116" s="3">
        <v>3.1383539000000002E-2</v>
      </c>
      <c r="P116" s="3">
        <v>9.8773296999999996E-2</v>
      </c>
      <c r="Q116" s="3">
        <v>2.8861695E-2</v>
      </c>
      <c r="R116" s="3">
        <v>2.1018222999999999E-2</v>
      </c>
      <c r="S116" s="3">
        <v>2.3026457E-2</v>
      </c>
      <c r="T116" s="3">
        <v>4.1187031999999998E-2</v>
      </c>
      <c r="U116" s="3">
        <v>5.0188293000000002E-2</v>
      </c>
      <c r="V116" s="3">
        <v>0.31969554617577967</v>
      </c>
      <c r="W116" s="3">
        <v>0.12455777652551496</v>
      </c>
      <c r="X116" s="3">
        <v>8.5561571785099461E-2</v>
      </c>
      <c r="AB116">
        <v>0</v>
      </c>
      <c r="AC116">
        <v>0</v>
      </c>
      <c r="AD116">
        <v>0</v>
      </c>
    </row>
    <row r="117" spans="1:30" x14ac:dyDescent="0.3">
      <c r="A117" s="1">
        <v>45112</v>
      </c>
      <c r="B117" s="3">
        <v>3.9753833000000002E-2</v>
      </c>
      <c r="C117" s="3">
        <v>3.5416652E-2</v>
      </c>
      <c r="D117" s="3">
        <v>4.3179922000000003E-2</v>
      </c>
      <c r="E117" s="3">
        <v>5.6011275999999999E-2</v>
      </c>
      <c r="F117" s="3">
        <v>2.7462957999999999E-2</v>
      </c>
      <c r="G117" s="3">
        <v>2.8423812999999999E-2</v>
      </c>
      <c r="H117" s="3">
        <v>6.1036271000000003E-2</v>
      </c>
      <c r="I117" s="3">
        <v>3.5389213000000003E-2</v>
      </c>
      <c r="J117" s="3">
        <v>3.7827873999999997E-2</v>
      </c>
      <c r="K117" s="3">
        <v>3.8024777000000003E-2</v>
      </c>
      <c r="L117" s="3">
        <v>8.8297653000000004E-2</v>
      </c>
      <c r="M117" s="3">
        <v>3.6499399000000002E-2</v>
      </c>
      <c r="N117" s="3">
        <v>4.3509121999999997E-2</v>
      </c>
      <c r="O117" s="3">
        <v>3.8444576000000001E-2</v>
      </c>
      <c r="P117" s="3">
        <v>0.109175286</v>
      </c>
      <c r="Q117" s="3">
        <v>3.9787274999999997E-2</v>
      </c>
      <c r="R117" s="3">
        <v>5.2056878000000001E-2</v>
      </c>
      <c r="S117" s="3">
        <v>3.1383539000000002E-2</v>
      </c>
      <c r="T117" s="3">
        <v>9.8773296999999996E-2</v>
      </c>
      <c r="U117" s="3">
        <v>2.8861695E-2</v>
      </c>
      <c r="V117" s="3">
        <v>0.28235774042893536</v>
      </c>
      <c r="W117" s="3">
        <v>0.12545773961203111</v>
      </c>
      <c r="X117" s="3">
        <v>8.5740546334421922E-2</v>
      </c>
      <c r="AB117">
        <v>0</v>
      </c>
      <c r="AC117">
        <v>0</v>
      </c>
      <c r="AD117">
        <v>0</v>
      </c>
    </row>
    <row r="118" spans="1:30" x14ac:dyDescent="0.3">
      <c r="A118" s="1">
        <v>45113</v>
      </c>
      <c r="B118" s="3">
        <v>0.113190731</v>
      </c>
      <c r="C118" s="3">
        <v>3.6979946E-2</v>
      </c>
      <c r="D118" s="3">
        <v>7.5303024999999996E-2</v>
      </c>
      <c r="E118" s="3">
        <v>5.0756034999999998E-2</v>
      </c>
      <c r="F118" s="3">
        <v>3.9753833000000002E-2</v>
      </c>
      <c r="G118" s="3">
        <v>3.5416652E-2</v>
      </c>
      <c r="H118" s="3">
        <v>4.3179922000000003E-2</v>
      </c>
      <c r="I118" s="3">
        <v>5.6011275999999999E-2</v>
      </c>
      <c r="J118" s="3">
        <v>2.7462957999999999E-2</v>
      </c>
      <c r="K118" s="3">
        <v>2.8423812999999999E-2</v>
      </c>
      <c r="L118" s="3">
        <v>6.1036271000000003E-2</v>
      </c>
      <c r="M118" s="3">
        <v>3.5389213000000003E-2</v>
      </c>
      <c r="N118" s="3">
        <v>3.7827873999999997E-2</v>
      </c>
      <c r="O118" s="3">
        <v>3.8024777000000003E-2</v>
      </c>
      <c r="P118" s="3">
        <v>8.8297653000000004E-2</v>
      </c>
      <c r="Q118" s="3">
        <v>3.6499399000000002E-2</v>
      </c>
      <c r="R118" s="3">
        <v>4.3509121999999997E-2</v>
      </c>
      <c r="S118" s="3">
        <v>3.8444576000000001E-2</v>
      </c>
      <c r="T118" s="3">
        <v>0.109175286</v>
      </c>
      <c r="U118" s="3">
        <v>3.9787274999999997E-2</v>
      </c>
      <c r="V118" s="3">
        <v>0.22319522073574413</v>
      </c>
      <c r="W118" s="3">
        <v>0.13346162936732742</v>
      </c>
      <c r="X118" s="3">
        <v>9.3894757052802605E-2</v>
      </c>
      <c r="AB118">
        <v>1</v>
      </c>
      <c r="AC118">
        <v>0</v>
      </c>
      <c r="AD118">
        <v>1</v>
      </c>
    </row>
    <row r="119" spans="1:30" x14ac:dyDescent="0.3">
      <c r="A119" s="1">
        <v>45114</v>
      </c>
      <c r="B119" s="3">
        <v>8.9561356999999994E-2</v>
      </c>
      <c r="C119" s="3">
        <v>3.1694207000000002E-2</v>
      </c>
      <c r="D119" s="3">
        <v>0.113902384</v>
      </c>
      <c r="E119" s="3">
        <v>4.1253554999999997E-2</v>
      </c>
      <c r="F119" s="3">
        <v>0.113190731</v>
      </c>
      <c r="G119" s="3">
        <v>3.6979946E-2</v>
      </c>
      <c r="H119" s="3">
        <v>7.5303024999999996E-2</v>
      </c>
      <c r="I119" s="3">
        <v>5.0756034999999998E-2</v>
      </c>
      <c r="J119" s="3">
        <v>3.9753833000000002E-2</v>
      </c>
      <c r="K119" s="3">
        <v>3.5416652E-2</v>
      </c>
      <c r="L119" s="3">
        <v>4.3179922000000003E-2</v>
      </c>
      <c r="M119" s="3">
        <v>5.6011275999999999E-2</v>
      </c>
      <c r="N119" s="3">
        <v>2.7462957999999999E-2</v>
      </c>
      <c r="O119" s="3">
        <v>2.8423812999999999E-2</v>
      </c>
      <c r="P119" s="3">
        <v>6.1036271000000003E-2</v>
      </c>
      <c r="Q119" s="3">
        <v>3.5389213000000003E-2</v>
      </c>
      <c r="R119" s="3">
        <v>3.7827873999999997E-2</v>
      </c>
      <c r="S119" s="3">
        <v>3.8024777000000003E-2</v>
      </c>
      <c r="T119" s="3">
        <v>8.8297653000000004E-2</v>
      </c>
      <c r="U119" s="3">
        <v>3.6499399000000002E-2</v>
      </c>
      <c r="V119" s="3">
        <v>0.17354519465658427</v>
      </c>
      <c r="W119" s="3">
        <v>0.13438453692317681</v>
      </c>
      <c r="X119" s="3">
        <v>9.3892562008471403E-2</v>
      </c>
      <c r="AB119">
        <v>1</v>
      </c>
      <c r="AC119">
        <v>0</v>
      </c>
      <c r="AD119">
        <v>1</v>
      </c>
    </row>
    <row r="120" spans="1:30" x14ac:dyDescent="0.3">
      <c r="A120" s="1">
        <v>45117</v>
      </c>
      <c r="B120" s="3">
        <v>9.0124929000000006E-2</v>
      </c>
      <c r="C120" s="3">
        <v>4.2435712E-2</v>
      </c>
      <c r="D120" s="3">
        <v>8.7619614999999998E-2</v>
      </c>
      <c r="E120" s="3">
        <v>4.5605883E-2</v>
      </c>
      <c r="F120" s="3">
        <v>8.9561356999999994E-2</v>
      </c>
      <c r="G120" s="3">
        <v>3.1694207000000002E-2</v>
      </c>
      <c r="H120" s="3">
        <v>0.113902384</v>
      </c>
      <c r="I120" s="3">
        <v>4.1253554999999997E-2</v>
      </c>
      <c r="J120" s="3">
        <v>0.113190731</v>
      </c>
      <c r="K120" s="3">
        <v>3.6979946E-2</v>
      </c>
      <c r="L120" s="3">
        <v>7.5303024999999996E-2</v>
      </c>
      <c r="M120" s="3">
        <v>5.0756034999999998E-2</v>
      </c>
      <c r="N120" s="3">
        <v>3.9753833000000002E-2</v>
      </c>
      <c r="O120" s="3">
        <v>3.5416652E-2</v>
      </c>
      <c r="P120" s="3">
        <v>4.3179922000000003E-2</v>
      </c>
      <c r="Q120" s="3">
        <v>5.6011275999999999E-2</v>
      </c>
      <c r="R120" s="3">
        <v>2.7462957999999999E-2</v>
      </c>
      <c r="S120" s="3">
        <v>2.8423812999999999E-2</v>
      </c>
      <c r="T120" s="3">
        <v>6.1036271000000003E-2</v>
      </c>
      <c r="U120" s="3">
        <v>3.5389213000000003E-2</v>
      </c>
      <c r="V120" s="3">
        <v>0.15237483868634535</v>
      </c>
      <c r="W120" s="3">
        <v>0.13439910290695659</v>
      </c>
      <c r="X120" s="3">
        <v>9.3653091139700481E-2</v>
      </c>
      <c r="AB120">
        <v>1</v>
      </c>
      <c r="AC120">
        <v>0</v>
      </c>
      <c r="AD120">
        <v>1</v>
      </c>
    </row>
    <row r="121" spans="1:30" x14ac:dyDescent="0.3">
      <c r="A121" s="1">
        <v>45118</v>
      </c>
      <c r="B121" s="3">
        <v>4.2065612000000002E-2</v>
      </c>
      <c r="C121" s="3">
        <v>7.0454639999999999E-2</v>
      </c>
      <c r="D121" s="3">
        <v>0.115755117</v>
      </c>
      <c r="E121" s="3">
        <v>5.5173047000000003E-2</v>
      </c>
      <c r="F121" s="3">
        <v>9.0124929000000006E-2</v>
      </c>
      <c r="G121" s="3">
        <v>4.2435712E-2</v>
      </c>
      <c r="H121" s="3">
        <v>8.7619614999999998E-2</v>
      </c>
      <c r="I121" s="3">
        <v>4.5605883E-2</v>
      </c>
      <c r="J121" s="3">
        <v>8.9561356999999994E-2</v>
      </c>
      <c r="K121" s="3">
        <v>3.1694207000000002E-2</v>
      </c>
      <c r="L121" s="3">
        <v>0.113902384</v>
      </c>
      <c r="M121" s="3">
        <v>4.1253554999999997E-2</v>
      </c>
      <c r="N121" s="3">
        <v>0.113190731</v>
      </c>
      <c r="O121" s="3">
        <v>3.6979946E-2</v>
      </c>
      <c r="P121" s="3">
        <v>7.5303024999999996E-2</v>
      </c>
      <c r="Q121" s="3">
        <v>5.0756034999999998E-2</v>
      </c>
      <c r="R121" s="3">
        <v>3.9753833000000002E-2</v>
      </c>
      <c r="S121" s="3">
        <v>3.5416652E-2</v>
      </c>
      <c r="T121" s="3">
        <v>4.3179922000000003E-2</v>
      </c>
      <c r="U121" s="3">
        <v>5.6011275999999999E-2</v>
      </c>
      <c r="V121" s="3">
        <v>0.17354519465658427</v>
      </c>
      <c r="W121" s="3">
        <v>0.13701181209384403</v>
      </c>
      <c r="X121" s="3">
        <v>9.5013940776386016E-2</v>
      </c>
      <c r="AB121">
        <v>1</v>
      </c>
      <c r="AC121">
        <v>0</v>
      </c>
      <c r="AD121">
        <v>1</v>
      </c>
    </row>
    <row r="122" spans="1:30" x14ac:dyDescent="0.3">
      <c r="A122" s="1">
        <v>45119</v>
      </c>
      <c r="B122" s="3">
        <v>3.4954999E-2</v>
      </c>
      <c r="C122" s="3">
        <v>4.9153562999999997E-2</v>
      </c>
      <c r="D122" s="3">
        <v>9.0440120999999998E-2</v>
      </c>
      <c r="E122" s="3">
        <v>6.5727749000000002E-2</v>
      </c>
      <c r="F122" s="3">
        <v>4.2065612000000002E-2</v>
      </c>
      <c r="G122" s="3">
        <v>7.0454639999999999E-2</v>
      </c>
      <c r="H122" s="3">
        <v>0.115755117</v>
      </c>
      <c r="I122" s="3">
        <v>5.5173047000000003E-2</v>
      </c>
      <c r="J122" s="3">
        <v>9.0124929000000006E-2</v>
      </c>
      <c r="K122" s="3">
        <v>4.2435712E-2</v>
      </c>
      <c r="L122" s="3">
        <v>8.7619614999999998E-2</v>
      </c>
      <c r="M122" s="3">
        <v>4.5605883E-2</v>
      </c>
      <c r="N122" s="3">
        <v>8.9561356999999994E-2</v>
      </c>
      <c r="O122" s="3">
        <v>3.1694207000000002E-2</v>
      </c>
      <c r="P122" s="3">
        <v>0.113902384</v>
      </c>
      <c r="Q122" s="3">
        <v>4.1253554999999997E-2</v>
      </c>
      <c r="R122" s="3">
        <v>0.113190731</v>
      </c>
      <c r="S122" s="3">
        <v>3.6979946E-2</v>
      </c>
      <c r="T122" s="3">
        <v>7.5303024999999996E-2</v>
      </c>
      <c r="U122" s="3">
        <v>5.0756034999999998E-2</v>
      </c>
      <c r="V122" s="3">
        <v>0.17354519465658427</v>
      </c>
      <c r="W122" s="3">
        <v>0.13610253029459415</v>
      </c>
      <c r="X122" s="3">
        <v>9.4309060275139023E-2</v>
      </c>
      <c r="Y122" s="3">
        <v>0.27227727857566064</v>
      </c>
      <c r="Z122" s="3">
        <v>0.13798400425788618</v>
      </c>
      <c r="AA122" s="3">
        <v>9.8415830943157909E-2</v>
      </c>
      <c r="AB122">
        <v>0</v>
      </c>
      <c r="AC122">
        <v>0</v>
      </c>
      <c r="AD122">
        <v>0</v>
      </c>
    </row>
    <row r="123" spans="1:30" x14ac:dyDescent="0.3">
      <c r="A123" s="1">
        <v>45120</v>
      </c>
      <c r="B123" s="3">
        <v>0.16413599600000001</v>
      </c>
      <c r="C123" s="3">
        <v>5.7420760000000001E-2</v>
      </c>
      <c r="D123" s="3">
        <v>0.14421985700000001</v>
      </c>
      <c r="E123" s="3">
        <v>6.9009248999999995E-2</v>
      </c>
      <c r="F123" s="3">
        <v>3.4954999E-2</v>
      </c>
      <c r="G123" s="3">
        <v>4.9153562999999997E-2</v>
      </c>
      <c r="H123" s="3">
        <v>9.0440120999999998E-2</v>
      </c>
      <c r="I123" s="3">
        <v>6.5727749000000002E-2</v>
      </c>
      <c r="J123" s="3">
        <v>4.2065612000000002E-2</v>
      </c>
      <c r="K123" s="3">
        <v>7.0454639999999999E-2</v>
      </c>
      <c r="L123" s="3">
        <v>0.115755117</v>
      </c>
      <c r="M123" s="3">
        <v>5.5173047000000003E-2</v>
      </c>
      <c r="N123" s="3">
        <v>9.0124929000000006E-2</v>
      </c>
      <c r="O123" s="3">
        <v>4.2435712E-2</v>
      </c>
      <c r="P123" s="3">
        <v>8.7619614999999998E-2</v>
      </c>
      <c r="Q123" s="3">
        <v>4.5605883E-2</v>
      </c>
      <c r="R123" s="3">
        <v>8.9561356999999994E-2</v>
      </c>
      <c r="S123" s="3">
        <v>3.1694207000000002E-2</v>
      </c>
      <c r="T123" s="3">
        <v>0.113902384</v>
      </c>
      <c r="U123" s="3">
        <v>4.1253554999999997E-2</v>
      </c>
      <c r="V123" s="3">
        <v>0.17354519465658427</v>
      </c>
      <c r="W123" s="3">
        <v>0.1366463415114737</v>
      </c>
      <c r="X123" s="3">
        <v>9.5095634629568979E-2</v>
      </c>
      <c r="Y123" s="3">
        <v>0.29026878172508053</v>
      </c>
      <c r="Z123" s="3">
        <v>0.13814438712764368</v>
      </c>
      <c r="AA123" s="3">
        <v>9.8926909254883025E-2</v>
      </c>
      <c r="AB123">
        <v>0</v>
      </c>
      <c r="AC123">
        <v>0</v>
      </c>
      <c r="AD123">
        <v>0</v>
      </c>
    </row>
    <row r="124" spans="1:30" x14ac:dyDescent="0.3">
      <c r="A124" s="1">
        <v>45121</v>
      </c>
      <c r="B124" s="3">
        <v>0.100613546</v>
      </c>
      <c r="C124" s="3">
        <v>5.5573141999999999E-2</v>
      </c>
      <c r="D124" s="3">
        <v>0.190114965</v>
      </c>
      <c r="E124" s="3">
        <v>6.0110929E-2</v>
      </c>
      <c r="F124" s="3">
        <v>0.16413599600000001</v>
      </c>
      <c r="G124" s="3">
        <v>5.7420760000000001E-2</v>
      </c>
      <c r="H124" s="3">
        <v>0.14421985700000001</v>
      </c>
      <c r="I124" s="3">
        <v>6.9009248999999995E-2</v>
      </c>
      <c r="J124" s="3">
        <v>3.4954999E-2</v>
      </c>
      <c r="K124" s="3">
        <v>4.9153562999999997E-2</v>
      </c>
      <c r="L124" s="3">
        <v>9.0440120999999998E-2</v>
      </c>
      <c r="M124" s="3">
        <v>6.5727749000000002E-2</v>
      </c>
      <c r="N124" s="3">
        <v>4.2065612000000002E-2</v>
      </c>
      <c r="O124" s="3">
        <v>7.0454639999999999E-2</v>
      </c>
      <c r="P124" s="3">
        <v>0.115755117</v>
      </c>
      <c r="Q124" s="3">
        <v>5.5173047000000003E-2</v>
      </c>
      <c r="R124" s="3">
        <v>9.0124929000000006E-2</v>
      </c>
      <c r="S124" s="3">
        <v>4.2435712E-2</v>
      </c>
      <c r="T124" s="3">
        <v>8.7619614999999998E-2</v>
      </c>
      <c r="U124" s="3">
        <v>4.5605883E-2</v>
      </c>
      <c r="V124" s="3">
        <v>0.26053302648258847</v>
      </c>
      <c r="W124" s="3">
        <v>0.13866800139998336</v>
      </c>
      <c r="X124" s="3">
        <v>9.6755284207183184E-2</v>
      </c>
      <c r="Y124" s="3">
        <v>0.29026878172508053</v>
      </c>
      <c r="Z124" s="3">
        <v>0.13928475710644597</v>
      </c>
      <c r="AA124" s="3">
        <v>9.9412370813125067E-2</v>
      </c>
      <c r="AB124">
        <v>0</v>
      </c>
      <c r="AC124">
        <v>0</v>
      </c>
      <c r="AD124">
        <v>0</v>
      </c>
    </row>
    <row r="125" spans="1:30" x14ac:dyDescent="0.3">
      <c r="A125" s="1">
        <v>45124</v>
      </c>
      <c r="B125" s="3">
        <v>0.15187836099999999</v>
      </c>
      <c r="C125" s="3">
        <v>8.1967963000000005E-2</v>
      </c>
      <c r="D125" s="3">
        <v>0.22860022499999999</v>
      </c>
      <c r="E125" s="3">
        <v>9.2326670999999999E-2</v>
      </c>
      <c r="F125" s="3">
        <v>0.100613546</v>
      </c>
      <c r="G125" s="3">
        <v>5.5573141999999999E-2</v>
      </c>
      <c r="H125" s="3">
        <v>0.190114965</v>
      </c>
      <c r="I125" s="3">
        <v>6.0110929E-2</v>
      </c>
      <c r="J125" s="3">
        <v>0.16413599600000001</v>
      </c>
      <c r="K125" s="3">
        <v>5.7420760000000001E-2</v>
      </c>
      <c r="L125" s="3">
        <v>0.14421985700000001</v>
      </c>
      <c r="M125" s="3">
        <v>6.9009248999999995E-2</v>
      </c>
      <c r="N125" s="3">
        <v>3.4954999E-2</v>
      </c>
      <c r="O125" s="3">
        <v>4.9153562999999997E-2</v>
      </c>
      <c r="P125" s="3">
        <v>9.0440120999999998E-2</v>
      </c>
      <c r="Q125" s="3">
        <v>6.5727749000000002E-2</v>
      </c>
      <c r="R125" s="3">
        <v>4.2065612000000002E-2</v>
      </c>
      <c r="S125" s="3">
        <v>7.0454639999999999E-2</v>
      </c>
      <c r="T125" s="3">
        <v>0.115755117</v>
      </c>
      <c r="U125" s="3">
        <v>5.5173047000000003E-2</v>
      </c>
      <c r="V125" s="3">
        <v>0.34526627922817099</v>
      </c>
      <c r="W125" s="3">
        <v>0.13737240147343546</v>
      </c>
      <c r="X125" s="3">
        <v>9.628264898800061E-2</v>
      </c>
      <c r="Y125" s="3">
        <v>0.29026878172508053</v>
      </c>
      <c r="Z125" s="3">
        <v>0.13912159169780841</v>
      </c>
      <c r="AA125" s="3">
        <v>9.9131010024559568E-2</v>
      </c>
      <c r="AB125">
        <v>0</v>
      </c>
      <c r="AC125">
        <v>1</v>
      </c>
      <c r="AD125">
        <v>1</v>
      </c>
    </row>
    <row r="126" spans="1:30" x14ac:dyDescent="0.3">
      <c r="A126" s="1">
        <v>45125</v>
      </c>
      <c r="B126" s="3">
        <v>0.23183130599999999</v>
      </c>
      <c r="C126" s="3">
        <v>0.11042669200000001</v>
      </c>
      <c r="D126" s="3">
        <v>0.18719593300000001</v>
      </c>
      <c r="E126" s="3">
        <v>0.16816002299999999</v>
      </c>
      <c r="F126" s="3">
        <v>0.15187836099999999</v>
      </c>
      <c r="G126" s="3">
        <v>8.1967963000000005E-2</v>
      </c>
      <c r="H126" s="3">
        <v>0.22860022499999999</v>
      </c>
      <c r="I126" s="3">
        <v>9.2326670999999999E-2</v>
      </c>
      <c r="J126" s="3">
        <v>0.100613546</v>
      </c>
      <c r="K126" s="3">
        <v>5.5573141999999999E-2</v>
      </c>
      <c r="L126" s="3">
        <v>0.190114965</v>
      </c>
      <c r="M126" s="3">
        <v>6.0110929E-2</v>
      </c>
      <c r="N126" s="3">
        <v>0.16413599600000001</v>
      </c>
      <c r="O126" s="3">
        <v>5.7420760000000001E-2</v>
      </c>
      <c r="P126" s="3">
        <v>0.14421985700000001</v>
      </c>
      <c r="Q126" s="3">
        <v>6.9009248999999995E-2</v>
      </c>
      <c r="R126" s="3">
        <v>3.4954999E-2</v>
      </c>
      <c r="S126" s="3">
        <v>4.9153562999999997E-2</v>
      </c>
      <c r="T126" s="3">
        <v>9.0440120999999998E-2</v>
      </c>
      <c r="U126" s="3">
        <v>6.5727749000000002E-2</v>
      </c>
      <c r="V126" s="3">
        <v>0.34526627922817099</v>
      </c>
      <c r="W126" s="3">
        <v>0.13800025374654643</v>
      </c>
      <c r="X126" s="3">
        <v>9.679870235744506E-2</v>
      </c>
      <c r="Y126" s="3">
        <v>0.27227727857566064</v>
      </c>
      <c r="Z126" s="3">
        <v>0.13753560058817757</v>
      </c>
      <c r="AA126" s="3">
        <v>9.8159043074365696E-2</v>
      </c>
      <c r="AB126">
        <v>0</v>
      </c>
      <c r="AC126">
        <v>0</v>
      </c>
      <c r="AD126">
        <v>0</v>
      </c>
    </row>
    <row r="127" spans="1:30" x14ac:dyDescent="0.3">
      <c r="A127" s="1">
        <v>45126</v>
      </c>
      <c r="B127" s="3">
        <v>3.6704287000000002E-2</v>
      </c>
      <c r="C127" s="3">
        <v>2.6296982999999999E-2</v>
      </c>
      <c r="D127" s="3">
        <v>2.2584098E-2</v>
      </c>
      <c r="E127" s="3">
        <v>4.1215702E-2</v>
      </c>
      <c r="F127" s="3">
        <v>0.23183130599999999</v>
      </c>
      <c r="G127" s="3">
        <v>0.11042669200000001</v>
      </c>
      <c r="H127" s="3">
        <v>0.18719593300000001</v>
      </c>
      <c r="I127" s="3">
        <v>0.16816002299999999</v>
      </c>
      <c r="J127" s="3">
        <v>0.15187836099999999</v>
      </c>
      <c r="K127" s="3">
        <v>8.1967963000000005E-2</v>
      </c>
      <c r="L127" s="3">
        <v>0.22860022499999999</v>
      </c>
      <c r="M127" s="3">
        <v>9.2326670999999999E-2</v>
      </c>
      <c r="N127" s="3">
        <v>0.100613546</v>
      </c>
      <c r="O127" s="3">
        <v>5.5573141999999999E-2</v>
      </c>
      <c r="P127" s="3">
        <v>0.190114965</v>
      </c>
      <c r="Q127" s="3">
        <v>6.0110929E-2</v>
      </c>
      <c r="R127" s="3">
        <v>0.16413599600000001</v>
      </c>
      <c r="S127" s="3">
        <v>5.7420760000000001E-2</v>
      </c>
      <c r="T127" s="3">
        <v>0.14421985700000001</v>
      </c>
      <c r="U127" s="3">
        <v>6.9009248999999995E-2</v>
      </c>
      <c r="V127" s="3">
        <v>0.34526627922817099</v>
      </c>
      <c r="W127" s="3">
        <v>0.1379338930016871</v>
      </c>
      <c r="X127" s="3">
        <v>9.6737065676859413E-2</v>
      </c>
      <c r="Y127" s="3">
        <v>0.26436623727951547</v>
      </c>
      <c r="Z127" s="3">
        <v>0.13807777557823681</v>
      </c>
      <c r="AA127" s="3">
        <v>9.8176906801725902E-2</v>
      </c>
      <c r="AB127">
        <v>0</v>
      </c>
      <c r="AC127">
        <v>0</v>
      </c>
      <c r="AD127">
        <v>0</v>
      </c>
    </row>
    <row r="128" spans="1:30" x14ac:dyDescent="0.3">
      <c r="A128" s="1">
        <v>45127</v>
      </c>
      <c r="B128" s="3">
        <v>6.4768854000000001E-2</v>
      </c>
      <c r="C128" s="3">
        <v>2.3393491999999998E-2</v>
      </c>
      <c r="D128" s="3">
        <v>9.4939746000000005E-2</v>
      </c>
      <c r="E128" s="3">
        <v>2.3865845E-2</v>
      </c>
      <c r="F128" s="3">
        <v>3.6704287000000002E-2</v>
      </c>
      <c r="G128" s="3">
        <v>2.6296982999999999E-2</v>
      </c>
      <c r="H128" s="3">
        <v>2.2584098E-2</v>
      </c>
      <c r="I128" s="3">
        <v>4.1215702E-2</v>
      </c>
      <c r="J128" s="3">
        <v>0.23183130599999999</v>
      </c>
      <c r="K128" s="3">
        <v>0.11042669200000001</v>
      </c>
      <c r="L128" s="3">
        <v>0.18719593300000001</v>
      </c>
      <c r="M128" s="3">
        <v>0.16816002299999999</v>
      </c>
      <c r="N128" s="3">
        <v>0.15187836099999999</v>
      </c>
      <c r="O128" s="3">
        <v>8.1967963000000005E-2</v>
      </c>
      <c r="P128" s="3">
        <v>0.22860022499999999</v>
      </c>
      <c r="Q128" s="3">
        <v>9.2326670999999999E-2</v>
      </c>
      <c r="R128" s="3">
        <v>0.100613546</v>
      </c>
      <c r="S128" s="3">
        <v>5.5573141999999999E-2</v>
      </c>
      <c r="T128" s="3">
        <v>0.190114965</v>
      </c>
      <c r="U128" s="3">
        <v>6.0110929E-2</v>
      </c>
      <c r="V128" s="3">
        <v>0.36341156328966667</v>
      </c>
      <c r="W128" s="3">
        <v>0.13797317867158632</v>
      </c>
      <c r="X128" s="3">
        <v>9.7057228575747542E-2</v>
      </c>
      <c r="Y128" s="3">
        <v>0.27227727857566064</v>
      </c>
      <c r="Z128" s="3">
        <v>0.13790369986302889</v>
      </c>
      <c r="AA128" s="3">
        <v>9.8408782917235746E-2</v>
      </c>
      <c r="AB128">
        <v>0</v>
      </c>
      <c r="AC128">
        <v>0</v>
      </c>
      <c r="AD128">
        <v>0</v>
      </c>
    </row>
    <row r="129" spans="1:30" x14ac:dyDescent="0.3">
      <c r="A129" s="1">
        <v>45128</v>
      </c>
      <c r="B129" s="3">
        <v>5.7684303999999999E-2</v>
      </c>
      <c r="C129" s="3">
        <v>2.8505777E-2</v>
      </c>
      <c r="D129" s="3">
        <v>8.8648474000000005E-2</v>
      </c>
      <c r="E129" s="3">
        <v>3.5812160000000003E-2</v>
      </c>
      <c r="F129" s="3">
        <v>6.4768854000000001E-2</v>
      </c>
      <c r="G129" s="3">
        <v>2.3393491999999998E-2</v>
      </c>
      <c r="H129" s="3">
        <v>9.4939746000000005E-2</v>
      </c>
      <c r="I129" s="3">
        <v>2.3865845E-2</v>
      </c>
      <c r="J129" s="3">
        <v>3.6704287000000002E-2</v>
      </c>
      <c r="K129" s="3">
        <v>2.6296982999999999E-2</v>
      </c>
      <c r="L129" s="3">
        <v>2.2584098E-2</v>
      </c>
      <c r="M129" s="3">
        <v>4.1215702E-2</v>
      </c>
      <c r="N129" s="3">
        <v>0.23183130599999999</v>
      </c>
      <c r="O129" s="3">
        <v>0.11042669200000001</v>
      </c>
      <c r="P129" s="3">
        <v>0.18719593300000001</v>
      </c>
      <c r="Q129" s="3">
        <v>0.16816002299999999</v>
      </c>
      <c r="R129" s="3">
        <v>0.15187836099999999</v>
      </c>
      <c r="S129" s="3">
        <v>8.1967963000000005E-2</v>
      </c>
      <c r="T129" s="3">
        <v>0.22860022499999999</v>
      </c>
      <c r="U129" s="3">
        <v>9.2326670999999999E-2</v>
      </c>
      <c r="V129" s="3">
        <v>0.36341156328966667</v>
      </c>
      <c r="W129" s="3">
        <v>0.13254305937279479</v>
      </c>
      <c r="X129" s="3">
        <v>9.086694474169088E-2</v>
      </c>
      <c r="Y129" s="3">
        <v>0.27227727857566064</v>
      </c>
      <c r="Z129" s="3">
        <v>0.13869800883350183</v>
      </c>
      <c r="AA129" s="3">
        <v>9.8965959516484139E-2</v>
      </c>
      <c r="AB129">
        <v>1</v>
      </c>
      <c r="AC129">
        <v>0</v>
      </c>
      <c r="AD129">
        <v>1</v>
      </c>
    </row>
    <row r="130" spans="1:30" x14ac:dyDescent="0.3">
      <c r="A130" s="1">
        <v>45131</v>
      </c>
      <c r="B130" s="3">
        <v>4.6326826000000002E-2</v>
      </c>
      <c r="C130" s="3">
        <v>3.2160371E-2</v>
      </c>
      <c r="D130" s="3">
        <v>7.0173066000000006E-2</v>
      </c>
      <c r="E130" s="3">
        <v>2.3206098000000001E-2</v>
      </c>
      <c r="F130" s="3">
        <v>5.7684303999999999E-2</v>
      </c>
      <c r="G130" s="3">
        <v>2.8505777E-2</v>
      </c>
      <c r="H130" s="3">
        <v>8.8648474000000005E-2</v>
      </c>
      <c r="I130" s="3">
        <v>3.5812160000000003E-2</v>
      </c>
      <c r="J130" s="3">
        <v>6.4768854000000001E-2</v>
      </c>
      <c r="K130" s="3">
        <v>2.3393491999999998E-2</v>
      </c>
      <c r="L130" s="3">
        <v>9.4939746000000005E-2</v>
      </c>
      <c r="M130" s="3">
        <v>2.3865845E-2</v>
      </c>
      <c r="N130" s="3">
        <v>3.6704287000000002E-2</v>
      </c>
      <c r="O130" s="3">
        <v>2.6296982999999999E-2</v>
      </c>
      <c r="P130" s="3">
        <v>2.2584098E-2</v>
      </c>
      <c r="Q130" s="3">
        <v>4.1215702E-2</v>
      </c>
      <c r="R130" s="3">
        <v>0.23183130599999999</v>
      </c>
      <c r="S130" s="3">
        <v>0.11042669200000001</v>
      </c>
      <c r="T130" s="3">
        <v>0.18719593300000001</v>
      </c>
      <c r="U130" s="3">
        <v>0.16816002299999999</v>
      </c>
      <c r="V130" s="3">
        <v>0.36341156328966667</v>
      </c>
      <c r="W130" s="3">
        <v>0.13255310011012339</v>
      </c>
      <c r="X130" s="3">
        <v>9.0854062043003322E-2</v>
      </c>
      <c r="Y130" s="3">
        <v>0.26436623727951547</v>
      </c>
      <c r="Z130" s="3">
        <v>0.13838137819619206</v>
      </c>
      <c r="AA130" s="3">
        <v>9.8456412125487794E-2</v>
      </c>
      <c r="AB130">
        <v>0</v>
      </c>
      <c r="AC130">
        <v>0</v>
      </c>
      <c r="AD130">
        <v>0</v>
      </c>
    </row>
    <row r="131" spans="1:30" x14ac:dyDescent="0.3">
      <c r="A131" s="1">
        <v>45132</v>
      </c>
      <c r="B131" s="3">
        <v>3.7562290999999998E-2</v>
      </c>
      <c r="C131" s="3">
        <v>3.6233372999999999E-2</v>
      </c>
      <c r="D131" s="3">
        <v>6.0527483999999999E-2</v>
      </c>
      <c r="E131" s="3">
        <v>3.4647839999999999E-2</v>
      </c>
      <c r="F131" s="3">
        <v>4.6326826000000002E-2</v>
      </c>
      <c r="G131" s="3">
        <v>3.2160371E-2</v>
      </c>
      <c r="H131" s="3">
        <v>7.0173066000000006E-2</v>
      </c>
      <c r="I131" s="3">
        <v>2.3206098000000001E-2</v>
      </c>
      <c r="J131" s="3">
        <v>5.7684303999999999E-2</v>
      </c>
      <c r="K131" s="3">
        <v>2.8505777E-2</v>
      </c>
      <c r="L131" s="3">
        <v>8.8648474000000005E-2</v>
      </c>
      <c r="M131" s="3">
        <v>3.5812160000000003E-2</v>
      </c>
      <c r="N131" s="3">
        <v>6.4768854000000001E-2</v>
      </c>
      <c r="O131" s="3">
        <v>2.3393491999999998E-2</v>
      </c>
      <c r="P131" s="3">
        <v>9.4939746000000005E-2</v>
      </c>
      <c r="Q131" s="3">
        <v>2.3865845E-2</v>
      </c>
      <c r="R131" s="3">
        <v>3.6704287000000002E-2</v>
      </c>
      <c r="S131" s="3">
        <v>2.6296982999999999E-2</v>
      </c>
      <c r="T131" s="3">
        <v>2.2584098E-2</v>
      </c>
      <c r="U131" s="3">
        <v>4.1215702E-2</v>
      </c>
      <c r="V131" s="3">
        <v>0.36341156328966667</v>
      </c>
      <c r="W131" s="3">
        <v>0.13403693988639484</v>
      </c>
      <c r="X131" s="3">
        <v>9.2138492929526597E-2</v>
      </c>
      <c r="Y131" s="3">
        <v>0.26436623727951547</v>
      </c>
      <c r="Z131" s="3">
        <v>0.13912873892109193</v>
      </c>
      <c r="AA131" s="3">
        <v>9.893348589131884E-2</v>
      </c>
      <c r="AB131">
        <v>0</v>
      </c>
      <c r="AC131">
        <v>0</v>
      </c>
      <c r="AD131">
        <v>0</v>
      </c>
    </row>
    <row r="132" spans="1:30" x14ac:dyDescent="0.3">
      <c r="A132" s="1">
        <v>45133</v>
      </c>
      <c r="B132" s="3">
        <v>3.6131048999999998E-2</v>
      </c>
      <c r="C132" s="3">
        <v>3.2555737000000001E-2</v>
      </c>
      <c r="D132" s="3">
        <v>2.9269827000000002E-2</v>
      </c>
      <c r="E132" s="3">
        <v>4.0324528999999998E-2</v>
      </c>
      <c r="F132" s="3">
        <v>3.7562290999999998E-2</v>
      </c>
      <c r="G132" s="3">
        <v>3.6233372999999999E-2</v>
      </c>
      <c r="H132" s="3">
        <v>6.0527483999999999E-2</v>
      </c>
      <c r="I132" s="3">
        <v>3.4647839999999999E-2</v>
      </c>
      <c r="J132" s="3">
        <v>4.6326826000000002E-2</v>
      </c>
      <c r="K132" s="3">
        <v>3.2160371E-2</v>
      </c>
      <c r="L132" s="3">
        <v>7.0173066000000006E-2</v>
      </c>
      <c r="M132" s="3">
        <v>2.3206098000000001E-2</v>
      </c>
      <c r="N132" s="3">
        <v>5.7684303999999999E-2</v>
      </c>
      <c r="O132" s="3">
        <v>2.8505777E-2</v>
      </c>
      <c r="P132" s="3">
        <v>8.8648474000000005E-2</v>
      </c>
      <c r="Q132" s="3">
        <v>3.5812160000000003E-2</v>
      </c>
      <c r="R132" s="3">
        <v>6.4768854000000001E-2</v>
      </c>
      <c r="S132" s="3">
        <v>2.3393491999999998E-2</v>
      </c>
      <c r="T132" s="3">
        <v>9.4939746000000005E-2</v>
      </c>
      <c r="U132" s="3">
        <v>2.3865845E-2</v>
      </c>
      <c r="V132" s="3">
        <v>0.34526627922817099</v>
      </c>
      <c r="W132" s="3">
        <v>0.13236781020329302</v>
      </c>
      <c r="X132" s="3">
        <v>9.0292324779402966E-2</v>
      </c>
      <c r="Y132" s="3">
        <v>0.26436623727951547</v>
      </c>
      <c r="Z132" s="3">
        <v>0.13922435663402905</v>
      </c>
      <c r="AA132" s="3">
        <v>9.8854469925920327E-2</v>
      </c>
      <c r="AB132">
        <v>0</v>
      </c>
      <c r="AC132">
        <v>1</v>
      </c>
      <c r="AD132">
        <v>1</v>
      </c>
    </row>
    <row r="133" spans="1:30" x14ac:dyDescent="0.3">
      <c r="A133" s="1">
        <v>45134</v>
      </c>
      <c r="B133" s="3">
        <v>6.8523690999999998E-2</v>
      </c>
      <c r="C133" s="3">
        <v>3.1295590999999998E-2</v>
      </c>
      <c r="D133" s="3">
        <v>0.101282846</v>
      </c>
      <c r="E133" s="3">
        <v>3.3608779999999998E-2</v>
      </c>
      <c r="F133" s="3">
        <v>3.6131048999999998E-2</v>
      </c>
      <c r="G133" s="3">
        <v>3.2555737000000001E-2</v>
      </c>
      <c r="H133" s="3">
        <v>2.9269827000000002E-2</v>
      </c>
      <c r="I133" s="3">
        <v>4.0324528999999998E-2</v>
      </c>
      <c r="J133" s="3">
        <v>3.7562290999999998E-2</v>
      </c>
      <c r="K133" s="3">
        <v>3.6233372999999999E-2</v>
      </c>
      <c r="L133" s="3">
        <v>6.0527483999999999E-2</v>
      </c>
      <c r="M133" s="3">
        <v>3.4647839999999999E-2</v>
      </c>
      <c r="N133" s="3">
        <v>4.6326826000000002E-2</v>
      </c>
      <c r="O133" s="3">
        <v>3.2160371E-2</v>
      </c>
      <c r="P133" s="3">
        <v>7.0173066000000006E-2</v>
      </c>
      <c r="Q133" s="3">
        <v>2.3206098000000001E-2</v>
      </c>
      <c r="R133" s="3">
        <v>5.7684303999999999E-2</v>
      </c>
      <c r="S133" s="3">
        <v>2.8505777E-2</v>
      </c>
      <c r="T133" s="3">
        <v>8.8648474000000005E-2</v>
      </c>
      <c r="U133" s="3">
        <v>3.5812160000000003E-2</v>
      </c>
      <c r="V133" s="3">
        <v>0.36341156328966667</v>
      </c>
      <c r="W133" s="3">
        <v>0.13259192811714843</v>
      </c>
      <c r="X133" s="3">
        <v>9.0786388381181762E-2</v>
      </c>
      <c r="Y133" s="3">
        <v>0.26436623727951547</v>
      </c>
      <c r="Z133" s="3">
        <v>0.13840710699378211</v>
      </c>
      <c r="AA133" s="3">
        <v>9.8378950425575665E-2</v>
      </c>
      <c r="AB133">
        <v>0</v>
      </c>
      <c r="AC133">
        <v>1</v>
      </c>
      <c r="AD133">
        <v>1</v>
      </c>
    </row>
    <row r="134" spans="1:30" x14ac:dyDescent="0.3">
      <c r="A134" s="1">
        <v>45135</v>
      </c>
      <c r="B134" s="3">
        <v>6.2168858E-2</v>
      </c>
      <c r="C134" s="3">
        <v>2.4703959000000001E-2</v>
      </c>
      <c r="D134" s="3">
        <v>8.8584661999999995E-2</v>
      </c>
      <c r="E134" s="3">
        <v>2.9636948E-2</v>
      </c>
      <c r="F134" s="3">
        <v>6.8523690999999998E-2</v>
      </c>
      <c r="G134" s="3">
        <v>3.1295590999999998E-2</v>
      </c>
      <c r="H134" s="3">
        <v>0.101282846</v>
      </c>
      <c r="I134" s="3">
        <v>3.3608779999999998E-2</v>
      </c>
      <c r="J134" s="3">
        <v>3.6131048999999998E-2</v>
      </c>
      <c r="K134" s="3">
        <v>3.2555737000000001E-2</v>
      </c>
      <c r="L134" s="3">
        <v>2.9269827000000002E-2</v>
      </c>
      <c r="M134" s="3">
        <v>4.0324528999999998E-2</v>
      </c>
      <c r="N134" s="3">
        <v>3.7562290999999998E-2</v>
      </c>
      <c r="O134" s="3">
        <v>3.6233372999999999E-2</v>
      </c>
      <c r="P134" s="3">
        <v>6.0527483999999999E-2</v>
      </c>
      <c r="Q134" s="3">
        <v>3.4647839999999999E-2</v>
      </c>
      <c r="R134" s="3">
        <v>4.6326826000000002E-2</v>
      </c>
      <c r="S134" s="3">
        <v>3.2160371E-2</v>
      </c>
      <c r="T134" s="3">
        <v>7.0173066000000006E-2</v>
      </c>
      <c r="U134" s="3">
        <v>2.3206098000000001E-2</v>
      </c>
      <c r="V134" s="3">
        <v>0.38476769585131998</v>
      </c>
      <c r="W134" s="3">
        <v>0.13151798740789827</v>
      </c>
      <c r="X134" s="3">
        <v>9.0654511105325658E-2</v>
      </c>
      <c r="Y134" s="3">
        <v>0.27227727857566064</v>
      </c>
      <c r="Z134" s="3">
        <v>0.13567907726550082</v>
      </c>
      <c r="AA134" s="3">
        <v>9.6005184929838408E-2</v>
      </c>
      <c r="AB134">
        <v>0</v>
      </c>
      <c r="AC134">
        <v>1</v>
      </c>
      <c r="AD134">
        <v>1</v>
      </c>
    </row>
    <row r="135" spans="1:30" x14ac:dyDescent="0.3">
      <c r="A135" s="1">
        <v>45138</v>
      </c>
      <c r="B135" s="3">
        <v>8.9635908E-2</v>
      </c>
      <c r="C135" s="3">
        <v>3.8743734000000002E-2</v>
      </c>
      <c r="D135" s="3">
        <v>4.4343153000000003E-2</v>
      </c>
      <c r="E135" s="3">
        <v>4.4041802999999997E-2</v>
      </c>
      <c r="F135" s="3">
        <v>6.2168858E-2</v>
      </c>
      <c r="G135" s="3">
        <v>2.4703959000000001E-2</v>
      </c>
      <c r="H135" s="3">
        <v>8.8584661999999995E-2</v>
      </c>
      <c r="I135" s="3">
        <v>2.9636948E-2</v>
      </c>
      <c r="J135" s="3">
        <v>6.8523690999999998E-2</v>
      </c>
      <c r="K135" s="3">
        <v>3.1295590999999998E-2</v>
      </c>
      <c r="L135" s="3">
        <v>0.101282846</v>
      </c>
      <c r="M135" s="3">
        <v>3.3608779999999998E-2</v>
      </c>
      <c r="N135" s="3">
        <v>3.6131048999999998E-2</v>
      </c>
      <c r="O135" s="3">
        <v>3.2555737000000001E-2</v>
      </c>
      <c r="P135" s="3">
        <v>2.9269827000000002E-2</v>
      </c>
      <c r="Q135" s="3">
        <v>4.0324528999999998E-2</v>
      </c>
      <c r="R135" s="3">
        <v>3.7562290999999998E-2</v>
      </c>
      <c r="S135" s="3">
        <v>3.6233372999999999E-2</v>
      </c>
      <c r="T135" s="3">
        <v>6.0527483999999999E-2</v>
      </c>
      <c r="U135" s="3">
        <v>3.4647839999999999E-2</v>
      </c>
      <c r="V135" s="3">
        <v>0.36341156328966667</v>
      </c>
      <c r="W135" s="3">
        <v>0.1324237379710243</v>
      </c>
      <c r="X135" s="3">
        <v>9.0575607772013303E-2</v>
      </c>
      <c r="Y135" s="3">
        <v>0.26436623727951547</v>
      </c>
      <c r="Z135" s="3">
        <v>0.13510667628668782</v>
      </c>
      <c r="AA135" s="3">
        <v>9.5271544205742992E-2</v>
      </c>
      <c r="AB135">
        <v>0</v>
      </c>
      <c r="AC135">
        <v>1</v>
      </c>
      <c r="AD135">
        <v>1</v>
      </c>
    </row>
    <row r="136" spans="1:30" x14ac:dyDescent="0.3">
      <c r="A136" s="1">
        <v>45139</v>
      </c>
      <c r="B136" s="3">
        <v>3.8297932999999999E-2</v>
      </c>
      <c r="C136" s="3">
        <v>3.0634966999999999E-2</v>
      </c>
      <c r="D136" s="3">
        <v>7.8454362E-2</v>
      </c>
      <c r="E136" s="3">
        <v>3.7351223000000003E-2</v>
      </c>
      <c r="F136" s="3">
        <v>8.9635908E-2</v>
      </c>
      <c r="G136" s="3">
        <v>3.8743734000000002E-2</v>
      </c>
      <c r="H136" s="3">
        <v>4.4343153000000003E-2</v>
      </c>
      <c r="I136" s="3">
        <v>4.4041802999999997E-2</v>
      </c>
      <c r="J136" s="3">
        <v>6.2168858E-2</v>
      </c>
      <c r="K136" s="3">
        <v>2.4703959000000001E-2</v>
      </c>
      <c r="L136" s="3">
        <v>8.8584661999999995E-2</v>
      </c>
      <c r="M136" s="3">
        <v>2.9636948E-2</v>
      </c>
      <c r="N136" s="3">
        <v>6.8523690999999998E-2</v>
      </c>
      <c r="O136" s="3">
        <v>3.1295590999999998E-2</v>
      </c>
      <c r="P136" s="3">
        <v>0.101282846</v>
      </c>
      <c r="Q136" s="3">
        <v>3.3608779999999998E-2</v>
      </c>
      <c r="R136" s="3">
        <v>3.6131048999999998E-2</v>
      </c>
      <c r="S136" s="3">
        <v>3.2555737000000001E-2</v>
      </c>
      <c r="T136" s="3">
        <v>2.9269827000000002E-2</v>
      </c>
      <c r="U136" s="3">
        <v>4.0324528999999998E-2</v>
      </c>
      <c r="V136" s="3">
        <v>0.36341156328966667</v>
      </c>
      <c r="W136" s="3">
        <v>0.13255274190378419</v>
      </c>
      <c r="X136" s="3">
        <v>9.1075003590921924E-2</v>
      </c>
      <c r="Y136" s="3">
        <v>0.26436623727951547</v>
      </c>
      <c r="Z136" s="3">
        <v>0.13396498507369931</v>
      </c>
      <c r="AA136" s="3">
        <v>9.4647609635573116E-2</v>
      </c>
      <c r="AB136">
        <v>0</v>
      </c>
      <c r="AC136">
        <v>1</v>
      </c>
      <c r="AD136">
        <v>1</v>
      </c>
    </row>
    <row r="137" spans="1:30" x14ac:dyDescent="0.3">
      <c r="A137" s="1">
        <v>45140</v>
      </c>
      <c r="B137" s="3">
        <v>6.6510011999999993E-2</v>
      </c>
      <c r="C137" s="3">
        <v>5.0429498000000003E-2</v>
      </c>
      <c r="D137" s="3">
        <v>3.5343878000000002E-2</v>
      </c>
      <c r="E137" s="3">
        <v>5.9766386999999997E-2</v>
      </c>
      <c r="F137" s="3">
        <v>3.8297932999999999E-2</v>
      </c>
      <c r="G137" s="3">
        <v>3.0634966999999999E-2</v>
      </c>
      <c r="H137" s="3">
        <v>7.8454362E-2</v>
      </c>
      <c r="I137" s="3">
        <v>3.7351223000000003E-2</v>
      </c>
      <c r="J137" s="3">
        <v>8.9635908E-2</v>
      </c>
      <c r="K137" s="3">
        <v>3.8743734000000002E-2</v>
      </c>
      <c r="L137" s="3">
        <v>4.4343153000000003E-2</v>
      </c>
      <c r="M137" s="3">
        <v>4.4041802999999997E-2</v>
      </c>
      <c r="N137" s="3">
        <v>6.2168858E-2</v>
      </c>
      <c r="O137" s="3">
        <v>2.4703959000000001E-2</v>
      </c>
      <c r="P137" s="3">
        <v>8.8584661999999995E-2</v>
      </c>
      <c r="Q137" s="3">
        <v>2.9636948E-2</v>
      </c>
      <c r="R137" s="3">
        <v>6.8523690999999998E-2</v>
      </c>
      <c r="S137" s="3">
        <v>3.1295590999999998E-2</v>
      </c>
      <c r="T137" s="3">
        <v>0.101282846</v>
      </c>
      <c r="U137" s="3">
        <v>3.3608779999999998E-2</v>
      </c>
      <c r="V137" s="3">
        <v>0.25827844740216682</v>
      </c>
      <c r="W137" s="3">
        <v>0.14162302769384702</v>
      </c>
      <c r="X137" s="3">
        <v>0.10017244782154211</v>
      </c>
      <c r="Y137" s="3">
        <v>0.26436623727951547</v>
      </c>
      <c r="Z137" s="3">
        <v>0.13820908009954602</v>
      </c>
      <c r="AA137" s="3">
        <v>9.8952620367243074E-2</v>
      </c>
      <c r="AB137">
        <v>0</v>
      </c>
      <c r="AC137">
        <v>1</v>
      </c>
      <c r="AD137">
        <v>1</v>
      </c>
    </row>
    <row r="138" spans="1:30" x14ac:dyDescent="0.3">
      <c r="A138" s="1">
        <v>45142</v>
      </c>
      <c r="B138" s="3">
        <v>0.10631373600000001</v>
      </c>
      <c r="C138" s="3">
        <v>4.0728838000000003E-2</v>
      </c>
      <c r="D138" s="3">
        <v>0.15058917199999999</v>
      </c>
      <c r="E138" s="3">
        <v>4.5248150000000001E-2</v>
      </c>
      <c r="F138" s="3">
        <v>6.6510011999999993E-2</v>
      </c>
      <c r="G138" s="3">
        <v>5.0429498000000003E-2</v>
      </c>
      <c r="H138" s="3">
        <v>3.5343878000000002E-2</v>
      </c>
      <c r="I138" s="3">
        <v>5.9766386999999997E-2</v>
      </c>
      <c r="J138" s="3">
        <v>3.8297932999999999E-2</v>
      </c>
      <c r="K138" s="3">
        <v>3.0634966999999999E-2</v>
      </c>
      <c r="L138" s="3">
        <v>7.8454362E-2</v>
      </c>
      <c r="M138" s="3">
        <v>3.7351223000000003E-2</v>
      </c>
      <c r="N138" s="3">
        <v>8.9635908E-2</v>
      </c>
      <c r="O138" s="3">
        <v>3.8743734000000002E-2</v>
      </c>
      <c r="P138" s="3">
        <v>4.4343153000000003E-2</v>
      </c>
      <c r="Q138" s="3">
        <v>4.4041802999999997E-2</v>
      </c>
      <c r="R138" s="3">
        <v>6.2168858E-2</v>
      </c>
      <c r="S138" s="3">
        <v>2.4703959000000001E-2</v>
      </c>
      <c r="T138" s="3">
        <v>8.8584661999999995E-2</v>
      </c>
      <c r="U138" s="3">
        <v>2.9636948E-2</v>
      </c>
      <c r="V138" s="3">
        <v>0.15237483868634535</v>
      </c>
      <c r="W138" s="3">
        <v>0.14184735435199886</v>
      </c>
      <c r="X138" s="3">
        <v>9.9826984524687801E-2</v>
      </c>
      <c r="Y138" s="3">
        <v>0.26436623727951547</v>
      </c>
      <c r="Z138" s="3">
        <v>0.13749717026006802</v>
      </c>
      <c r="AA138" s="3">
        <v>9.8442708914305344E-2</v>
      </c>
      <c r="AB138">
        <v>0</v>
      </c>
      <c r="AC138">
        <v>0</v>
      </c>
      <c r="AD138">
        <v>0</v>
      </c>
    </row>
    <row r="139" spans="1:30" x14ac:dyDescent="0.3">
      <c r="A139" s="1">
        <v>45145</v>
      </c>
      <c r="B139" s="3">
        <v>6.9599304000000001E-2</v>
      </c>
      <c r="C139" s="3">
        <v>5.6413981000000002E-2</v>
      </c>
      <c r="D139" s="3">
        <v>0.14133284900000001</v>
      </c>
      <c r="E139" s="3">
        <v>4.5289004000000001E-2</v>
      </c>
      <c r="F139" s="3">
        <v>0.10631373600000001</v>
      </c>
      <c r="G139" s="3">
        <v>4.0728838000000003E-2</v>
      </c>
      <c r="H139" s="3">
        <v>0.15058917199999999</v>
      </c>
      <c r="I139" s="3">
        <v>4.5248150000000001E-2</v>
      </c>
      <c r="J139" s="3">
        <v>6.6510011999999993E-2</v>
      </c>
      <c r="K139" s="3">
        <v>5.0429498000000003E-2</v>
      </c>
      <c r="L139" s="3">
        <v>3.5343878000000002E-2</v>
      </c>
      <c r="M139" s="3">
        <v>5.9766386999999997E-2</v>
      </c>
      <c r="N139" s="3">
        <v>3.8297932999999999E-2</v>
      </c>
      <c r="O139" s="3">
        <v>3.0634966999999999E-2</v>
      </c>
      <c r="P139" s="3">
        <v>7.8454362E-2</v>
      </c>
      <c r="Q139" s="3">
        <v>3.7351223000000003E-2</v>
      </c>
      <c r="R139" s="3">
        <v>8.9635908E-2</v>
      </c>
      <c r="S139" s="3">
        <v>3.8743734000000002E-2</v>
      </c>
      <c r="T139" s="3">
        <v>4.4343153000000003E-2</v>
      </c>
      <c r="U139" s="3">
        <v>4.4041802999999997E-2</v>
      </c>
      <c r="V139" s="3">
        <v>0.25827844740216682</v>
      </c>
      <c r="W139" s="3">
        <v>0.14121017657279447</v>
      </c>
      <c r="X139" s="3">
        <v>0.10030023285068954</v>
      </c>
      <c r="Y139" s="3">
        <v>0.27227727857566064</v>
      </c>
      <c r="Z139" s="3">
        <v>0.13772437120356296</v>
      </c>
      <c r="AA139" s="3">
        <v>9.8831019450135824E-2</v>
      </c>
      <c r="AB139">
        <v>0</v>
      </c>
      <c r="AC139">
        <v>1</v>
      </c>
      <c r="AD139">
        <v>1</v>
      </c>
    </row>
    <row r="140" spans="1:30" x14ac:dyDescent="0.3">
      <c r="A140" s="1">
        <v>45146</v>
      </c>
      <c r="B140" s="3">
        <v>0.10016434</v>
      </c>
      <c r="C140" s="3">
        <v>5.6722769999999999E-2</v>
      </c>
      <c r="D140" s="3">
        <v>8.9246694000000001E-2</v>
      </c>
      <c r="E140" s="3">
        <v>6.3510431000000006E-2</v>
      </c>
      <c r="F140" s="3">
        <v>6.9599304000000001E-2</v>
      </c>
      <c r="G140" s="3">
        <v>5.6413981000000002E-2</v>
      </c>
      <c r="H140" s="3">
        <v>0.14133284900000001</v>
      </c>
      <c r="I140" s="3">
        <v>4.5289004000000001E-2</v>
      </c>
      <c r="J140" s="3">
        <v>0.10631373600000001</v>
      </c>
      <c r="K140" s="3">
        <v>4.0728838000000003E-2</v>
      </c>
      <c r="L140" s="3">
        <v>0.15058917199999999</v>
      </c>
      <c r="M140" s="3">
        <v>4.5248150000000001E-2</v>
      </c>
      <c r="N140" s="3">
        <v>6.6510011999999993E-2</v>
      </c>
      <c r="O140" s="3">
        <v>5.0429498000000003E-2</v>
      </c>
      <c r="P140" s="3">
        <v>3.5343878000000002E-2</v>
      </c>
      <c r="Q140" s="3">
        <v>5.9766386999999997E-2</v>
      </c>
      <c r="R140" s="3">
        <v>3.8297932999999999E-2</v>
      </c>
      <c r="S140" s="3">
        <v>3.0634966999999999E-2</v>
      </c>
      <c r="T140" s="3">
        <v>7.8454362E-2</v>
      </c>
      <c r="U140" s="3">
        <v>3.7351223000000003E-2</v>
      </c>
      <c r="V140" s="3">
        <v>0.25827844740216682</v>
      </c>
      <c r="W140" s="3">
        <v>0.14076503966009246</v>
      </c>
      <c r="X140" s="3">
        <v>9.9878750263735577E-2</v>
      </c>
      <c r="Y140" s="3">
        <v>0.26436623727951547</v>
      </c>
      <c r="Z140" s="3">
        <v>0.13636810475474739</v>
      </c>
      <c r="AA140" s="3">
        <v>9.797872176607135E-2</v>
      </c>
      <c r="AB140">
        <v>0</v>
      </c>
      <c r="AC140">
        <v>1</v>
      </c>
      <c r="AD140">
        <v>1</v>
      </c>
    </row>
    <row r="141" spans="1:30" x14ac:dyDescent="0.3">
      <c r="A141" s="1">
        <v>45147</v>
      </c>
      <c r="B141" s="3">
        <v>6.0663621000000001E-2</v>
      </c>
      <c r="C141" s="3">
        <v>6.1564577000000002E-2</v>
      </c>
      <c r="D141" s="3">
        <v>8.4758920000000001E-2</v>
      </c>
      <c r="E141" s="3">
        <v>6.3565440000000001E-2</v>
      </c>
      <c r="F141" s="3">
        <v>0.10016434</v>
      </c>
      <c r="G141" s="3">
        <v>5.6722769999999999E-2</v>
      </c>
      <c r="H141" s="3">
        <v>8.9246694000000001E-2</v>
      </c>
      <c r="I141" s="3">
        <v>6.3510431000000006E-2</v>
      </c>
      <c r="J141" s="3">
        <v>6.9599304000000001E-2</v>
      </c>
      <c r="K141" s="3">
        <v>5.6413981000000002E-2</v>
      </c>
      <c r="L141" s="3">
        <v>0.14133284900000001</v>
      </c>
      <c r="M141" s="3">
        <v>4.5289004000000001E-2</v>
      </c>
      <c r="N141" s="3">
        <v>0.10631373600000001</v>
      </c>
      <c r="O141" s="3">
        <v>4.0728838000000003E-2</v>
      </c>
      <c r="P141" s="3">
        <v>0.15058917199999999</v>
      </c>
      <c r="Q141" s="3">
        <v>4.5248150000000001E-2</v>
      </c>
      <c r="R141" s="3">
        <v>6.6510011999999993E-2</v>
      </c>
      <c r="S141" s="3">
        <v>5.0429498000000003E-2</v>
      </c>
      <c r="T141" s="3">
        <v>3.5343878000000002E-2</v>
      </c>
      <c r="U141" s="3">
        <v>5.9766386999999997E-2</v>
      </c>
      <c r="V141" s="3">
        <v>0.25827844740216682</v>
      </c>
      <c r="W141" s="3">
        <v>0.14072899573406328</v>
      </c>
      <c r="X141" s="3">
        <v>9.9902262662493246E-2</v>
      </c>
      <c r="Y141" s="3">
        <v>0.26436623727951547</v>
      </c>
      <c r="Z141" s="3">
        <v>0.13634161912235357</v>
      </c>
      <c r="AA141" s="3">
        <v>9.8015800875341716E-2</v>
      </c>
      <c r="AB141">
        <v>0</v>
      </c>
      <c r="AC141">
        <v>1</v>
      </c>
      <c r="AD141">
        <v>1</v>
      </c>
    </row>
    <row r="142" spans="1:30" x14ac:dyDescent="0.3">
      <c r="A142" s="1">
        <v>45148</v>
      </c>
      <c r="B142" s="3">
        <v>0.19688228199999999</v>
      </c>
      <c r="C142" s="3">
        <v>6.5834434999999997E-2</v>
      </c>
      <c r="D142" s="3">
        <v>0.15277816899999999</v>
      </c>
      <c r="E142" s="3">
        <v>9.1443154999999998E-2</v>
      </c>
      <c r="F142" s="3">
        <v>6.0663621000000001E-2</v>
      </c>
      <c r="G142" s="3">
        <v>6.1564577000000002E-2</v>
      </c>
      <c r="H142" s="3">
        <v>8.4758920000000001E-2</v>
      </c>
      <c r="I142" s="3">
        <v>6.3565440000000001E-2</v>
      </c>
      <c r="J142" s="3">
        <v>0.10016434</v>
      </c>
      <c r="K142" s="3">
        <v>5.6722769999999999E-2</v>
      </c>
      <c r="L142" s="3">
        <v>8.9246694000000001E-2</v>
      </c>
      <c r="M142" s="3">
        <v>6.3510431000000006E-2</v>
      </c>
      <c r="N142" s="3">
        <v>6.9599304000000001E-2</v>
      </c>
      <c r="O142" s="3">
        <v>5.6413981000000002E-2</v>
      </c>
      <c r="P142" s="3">
        <v>0.14133284900000001</v>
      </c>
      <c r="Q142" s="3">
        <v>4.5289004000000001E-2</v>
      </c>
      <c r="R142" s="3">
        <v>0.10631373600000001</v>
      </c>
      <c r="S142" s="3">
        <v>4.0728838000000003E-2</v>
      </c>
      <c r="T142" s="3">
        <v>0.15058917199999999</v>
      </c>
      <c r="U142" s="3">
        <v>4.5248150000000001E-2</v>
      </c>
      <c r="V142" s="3">
        <v>0.25827844740216682</v>
      </c>
      <c r="W142" s="3">
        <v>0.14569718618732758</v>
      </c>
      <c r="X142" s="3">
        <v>0.10451703165663208</v>
      </c>
      <c r="Y142" s="3">
        <v>0.26436623727951547</v>
      </c>
      <c r="Z142" s="3">
        <v>0.13869410197796447</v>
      </c>
      <c r="AA142" s="3">
        <v>0.10014400075839813</v>
      </c>
      <c r="AB142">
        <v>0</v>
      </c>
      <c r="AC142">
        <v>0</v>
      </c>
      <c r="AD142">
        <v>0</v>
      </c>
    </row>
    <row r="143" spans="1:30" x14ac:dyDescent="0.3">
      <c r="A143" s="1">
        <v>45149</v>
      </c>
      <c r="B143" s="3">
        <v>0.185594327</v>
      </c>
      <c r="C143" s="3">
        <v>5.0696647999999997E-2</v>
      </c>
      <c r="D143" s="3">
        <v>0.14623778400000001</v>
      </c>
      <c r="E143" s="3">
        <v>9.9289418000000004E-2</v>
      </c>
      <c r="F143" s="3">
        <v>0.19688228199999999</v>
      </c>
      <c r="G143" s="3">
        <v>6.5834434999999997E-2</v>
      </c>
      <c r="H143" s="3">
        <v>0.15277816899999999</v>
      </c>
      <c r="I143" s="3">
        <v>9.1443154999999998E-2</v>
      </c>
      <c r="J143" s="3">
        <v>6.0663621000000001E-2</v>
      </c>
      <c r="K143" s="3">
        <v>6.1564577000000002E-2</v>
      </c>
      <c r="L143" s="3">
        <v>8.4758920000000001E-2</v>
      </c>
      <c r="M143" s="3">
        <v>6.3565440000000001E-2</v>
      </c>
      <c r="N143" s="3">
        <v>0.10016434</v>
      </c>
      <c r="O143" s="3">
        <v>5.6722769999999999E-2</v>
      </c>
      <c r="P143" s="3">
        <v>8.9246694000000001E-2</v>
      </c>
      <c r="Q143" s="3">
        <v>6.3510431000000006E-2</v>
      </c>
      <c r="R143" s="3">
        <v>6.9599304000000001E-2</v>
      </c>
      <c r="S143" s="3">
        <v>5.6413981000000002E-2</v>
      </c>
      <c r="T143" s="3">
        <v>0.14133284900000001</v>
      </c>
      <c r="U143" s="3">
        <v>4.5289004000000001E-2</v>
      </c>
      <c r="V143" s="3">
        <v>0.15237483868634535</v>
      </c>
      <c r="W143" s="3">
        <v>0.14292237556081031</v>
      </c>
      <c r="X143" s="3">
        <v>0.10228076509112588</v>
      </c>
      <c r="Y143" s="3">
        <v>0.26436623727951547</v>
      </c>
      <c r="Z143" s="3">
        <v>0.13871567548161778</v>
      </c>
      <c r="AA143" s="3">
        <v>0.10013687335719582</v>
      </c>
      <c r="AB143">
        <v>0</v>
      </c>
      <c r="AC143">
        <v>0</v>
      </c>
      <c r="AD143">
        <v>0</v>
      </c>
    </row>
    <row r="144" spans="1:30" x14ac:dyDescent="0.3">
      <c r="A144" s="1">
        <v>45152</v>
      </c>
      <c r="B144" s="3">
        <v>0.25234494899999999</v>
      </c>
      <c r="C144" s="3">
        <v>0.108899551</v>
      </c>
      <c r="D144" s="3">
        <v>0.17303696399999999</v>
      </c>
      <c r="E144" s="3">
        <v>0.15163068699999999</v>
      </c>
      <c r="F144" s="3">
        <v>0.185594327</v>
      </c>
      <c r="G144" s="3">
        <v>5.0696647999999997E-2</v>
      </c>
      <c r="H144" s="3">
        <v>0.14623778400000001</v>
      </c>
      <c r="I144" s="3">
        <v>9.9289418000000004E-2</v>
      </c>
      <c r="J144" s="3">
        <v>0.19688228199999999</v>
      </c>
      <c r="K144" s="3">
        <v>6.5834434999999997E-2</v>
      </c>
      <c r="L144" s="3">
        <v>0.15277816899999999</v>
      </c>
      <c r="M144" s="3">
        <v>9.1443154999999998E-2</v>
      </c>
      <c r="N144" s="3">
        <v>6.0663621000000001E-2</v>
      </c>
      <c r="O144" s="3">
        <v>6.1564577000000002E-2</v>
      </c>
      <c r="P144" s="3">
        <v>8.4758920000000001E-2</v>
      </c>
      <c r="Q144" s="3">
        <v>6.3565440000000001E-2</v>
      </c>
      <c r="R144" s="3">
        <v>0.10016434</v>
      </c>
      <c r="S144" s="3">
        <v>5.6722769999999999E-2</v>
      </c>
      <c r="T144" s="3">
        <v>8.9246694000000001E-2</v>
      </c>
      <c r="U144" s="3">
        <v>6.3510431000000006E-2</v>
      </c>
      <c r="V144" s="3">
        <v>9.9238142992526535E-2</v>
      </c>
      <c r="W144" s="3">
        <v>0.13922154895168523</v>
      </c>
      <c r="X144" s="3">
        <v>0.1002718067672824</v>
      </c>
      <c r="Y144" s="3">
        <v>0.24361404964574562</v>
      </c>
      <c r="Z144" s="3">
        <v>0.13886046491713971</v>
      </c>
      <c r="AA144" s="3">
        <v>9.9822807318444715E-2</v>
      </c>
      <c r="AB144">
        <v>0</v>
      </c>
      <c r="AC144">
        <v>0</v>
      </c>
      <c r="AD144">
        <v>0</v>
      </c>
    </row>
    <row r="145" spans="1:30" x14ac:dyDescent="0.3">
      <c r="A145" s="1">
        <v>45153</v>
      </c>
      <c r="B145" s="3">
        <v>0.244092595</v>
      </c>
      <c r="C145" s="3">
        <v>0.15144622599999999</v>
      </c>
      <c r="D145" s="3">
        <v>0.25002462199999997</v>
      </c>
      <c r="E145" s="3">
        <v>0.20560008599999999</v>
      </c>
      <c r="F145" s="3">
        <v>0.25234494899999999</v>
      </c>
      <c r="G145" s="3">
        <v>0.108899551</v>
      </c>
      <c r="H145" s="3">
        <v>0.17303696399999999</v>
      </c>
      <c r="I145" s="3">
        <v>0.15163068699999999</v>
      </c>
      <c r="J145" s="3">
        <v>0.185594327</v>
      </c>
      <c r="K145" s="3">
        <v>5.0696647999999997E-2</v>
      </c>
      <c r="L145" s="3">
        <v>0.14623778400000001</v>
      </c>
      <c r="M145" s="3">
        <v>9.9289418000000004E-2</v>
      </c>
      <c r="N145" s="3">
        <v>0.19688228199999999</v>
      </c>
      <c r="O145" s="3">
        <v>6.5834434999999997E-2</v>
      </c>
      <c r="P145" s="3">
        <v>0.15277816899999999</v>
      </c>
      <c r="Q145" s="3">
        <v>9.1443154999999998E-2</v>
      </c>
      <c r="R145" s="3">
        <v>6.0663621000000001E-2</v>
      </c>
      <c r="S145" s="3">
        <v>6.1564577000000002E-2</v>
      </c>
      <c r="T145" s="3">
        <v>8.4758920000000001E-2</v>
      </c>
      <c r="U145" s="3">
        <v>6.3565440000000001E-2</v>
      </c>
      <c r="V145" s="3">
        <v>9.9238142992526535E-2</v>
      </c>
      <c r="W145" s="3">
        <v>0.13694790272232435</v>
      </c>
      <c r="X145" s="3">
        <v>9.9051139095841179E-2</v>
      </c>
      <c r="Y145" s="3">
        <v>0.26436623727951547</v>
      </c>
      <c r="Z145" s="3">
        <v>0.1366027460556713</v>
      </c>
      <c r="AA145" s="3">
        <v>9.8039770037385052E-2</v>
      </c>
      <c r="AB145">
        <v>0</v>
      </c>
      <c r="AC145">
        <v>0</v>
      </c>
      <c r="AD145">
        <v>0</v>
      </c>
    </row>
    <row r="146" spans="1:30" x14ac:dyDescent="0.3">
      <c r="A146" s="1">
        <v>45154</v>
      </c>
      <c r="B146" s="3">
        <v>1.7114864E-2</v>
      </c>
      <c r="C146" s="3">
        <v>3.6373430999999998E-2</v>
      </c>
      <c r="D146" s="3">
        <v>4.7805577000000002E-2</v>
      </c>
      <c r="E146" s="3">
        <v>3.0165470999999999E-2</v>
      </c>
      <c r="F146" s="3">
        <v>0.244092595</v>
      </c>
      <c r="G146" s="3">
        <v>0.15144622599999999</v>
      </c>
      <c r="H146" s="3">
        <v>0.25002462199999997</v>
      </c>
      <c r="I146" s="3">
        <v>0.20560008599999999</v>
      </c>
      <c r="J146" s="3">
        <v>0.25234494899999999</v>
      </c>
      <c r="K146" s="3">
        <v>0.108899551</v>
      </c>
      <c r="L146" s="3">
        <v>0.17303696399999999</v>
      </c>
      <c r="M146" s="3">
        <v>0.15163068699999999</v>
      </c>
      <c r="N146" s="3">
        <v>0.185594327</v>
      </c>
      <c r="O146" s="3">
        <v>5.0696647999999997E-2</v>
      </c>
      <c r="P146" s="3">
        <v>0.14623778400000001</v>
      </c>
      <c r="Q146" s="3">
        <v>9.9289418000000004E-2</v>
      </c>
      <c r="R146" s="3">
        <v>0.19688228199999999</v>
      </c>
      <c r="S146" s="3">
        <v>6.5834434999999997E-2</v>
      </c>
      <c r="T146" s="3">
        <v>0.15277816899999999</v>
      </c>
      <c r="U146" s="3">
        <v>9.1443154999999998E-2</v>
      </c>
      <c r="V146" s="3">
        <v>4.9824550916951559E-2</v>
      </c>
      <c r="W146" s="3">
        <v>0.13656375728876022</v>
      </c>
      <c r="X146" s="3">
        <v>9.8239221296696044E-2</v>
      </c>
      <c r="Y146" s="3">
        <v>0.24361404964574562</v>
      </c>
      <c r="Z146" s="3">
        <v>0.13603214381538747</v>
      </c>
      <c r="AA146" s="3">
        <v>9.7376508141293644E-2</v>
      </c>
      <c r="AB146">
        <v>0</v>
      </c>
      <c r="AC146">
        <v>0</v>
      </c>
      <c r="AD146">
        <v>0</v>
      </c>
    </row>
    <row r="147" spans="1:30" x14ac:dyDescent="0.3">
      <c r="A147" s="1">
        <v>45155</v>
      </c>
      <c r="B147" s="3">
        <v>4.8379624000000003E-2</v>
      </c>
      <c r="C147" s="3">
        <v>4.9628943000000002E-2</v>
      </c>
      <c r="D147" s="3">
        <v>9.8207555000000002E-2</v>
      </c>
      <c r="E147" s="3">
        <v>4.7661413999999999E-2</v>
      </c>
      <c r="F147" s="3">
        <v>1.7114864E-2</v>
      </c>
      <c r="G147" s="3">
        <v>3.6373430999999998E-2</v>
      </c>
      <c r="H147" s="3">
        <v>4.7805577000000002E-2</v>
      </c>
      <c r="I147" s="3">
        <v>3.0165470999999999E-2</v>
      </c>
      <c r="J147" s="3">
        <v>0.244092595</v>
      </c>
      <c r="K147" s="3">
        <v>0.15144622599999999</v>
      </c>
      <c r="L147" s="3">
        <v>0.25002462199999997</v>
      </c>
      <c r="M147" s="3">
        <v>0.20560008599999999</v>
      </c>
      <c r="N147" s="3">
        <v>0.25234494899999999</v>
      </c>
      <c r="O147" s="3">
        <v>0.108899551</v>
      </c>
      <c r="P147" s="3">
        <v>0.17303696399999999</v>
      </c>
      <c r="Q147" s="3">
        <v>0.15163068699999999</v>
      </c>
      <c r="R147" s="3">
        <v>0.185594327</v>
      </c>
      <c r="S147" s="3">
        <v>5.0696647999999997E-2</v>
      </c>
      <c r="T147" s="3">
        <v>0.14623778400000001</v>
      </c>
      <c r="U147" s="3">
        <v>9.9289418000000004E-2</v>
      </c>
      <c r="V147" s="3">
        <v>9.9238142992526535E-2</v>
      </c>
      <c r="W147" s="3">
        <v>0.13691160996624638</v>
      </c>
      <c r="X147" s="3">
        <v>9.8908298148145807E-2</v>
      </c>
      <c r="Y147" s="3">
        <v>0.26436623727951547</v>
      </c>
      <c r="Z147" s="3">
        <v>0.13591734359015167</v>
      </c>
      <c r="AA147" s="3">
        <v>9.7723277044666712E-2</v>
      </c>
      <c r="AB147">
        <v>1</v>
      </c>
      <c r="AC147">
        <v>0</v>
      </c>
      <c r="AD147">
        <v>1</v>
      </c>
    </row>
    <row r="148" spans="1:30" x14ac:dyDescent="0.3">
      <c r="A148" s="1">
        <v>45156</v>
      </c>
      <c r="B148" s="3">
        <v>7.4098282000000001E-2</v>
      </c>
      <c r="C148" s="3">
        <v>3.0593337000000002E-2</v>
      </c>
      <c r="D148" s="3">
        <v>6.6887893000000004E-2</v>
      </c>
      <c r="E148" s="3">
        <v>4.5190016E-2</v>
      </c>
      <c r="F148" s="3">
        <v>4.8379624000000003E-2</v>
      </c>
      <c r="G148" s="3">
        <v>4.9628943000000002E-2</v>
      </c>
      <c r="H148" s="3">
        <v>9.8207555000000002E-2</v>
      </c>
      <c r="I148" s="3">
        <v>4.7661413999999999E-2</v>
      </c>
      <c r="J148" s="3">
        <v>1.7114864E-2</v>
      </c>
      <c r="K148" s="3">
        <v>3.6373430999999998E-2</v>
      </c>
      <c r="L148" s="3">
        <v>4.7805577000000002E-2</v>
      </c>
      <c r="M148" s="3">
        <v>3.0165470999999999E-2</v>
      </c>
      <c r="N148" s="3">
        <v>0.244092595</v>
      </c>
      <c r="O148" s="3">
        <v>0.15144622599999999</v>
      </c>
      <c r="P148" s="3">
        <v>0.25002462199999997</v>
      </c>
      <c r="Q148" s="3">
        <v>0.20560008599999999</v>
      </c>
      <c r="R148" s="3">
        <v>0.25234494899999999</v>
      </c>
      <c r="S148" s="3">
        <v>0.108899551</v>
      </c>
      <c r="T148" s="3">
        <v>0.17303696399999999</v>
      </c>
      <c r="U148" s="3">
        <v>0.15163068699999999</v>
      </c>
      <c r="V148" s="3">
        <v>3.776929925494852E-2</v>
      </c>
      <c r="W148" s="3">
        <v>0.13853637112263939</v>
      </c>
      <c r="X148" s="3">
        <v>9.9667487217075523E-2</v>
      </c>
      <c r="Y148" s="3">
        <v>0.24361404964574562</v>
      </c>
      <c r="Z148" s="3">
        <v>0.13669933234944309</v>
      </c>
      <c r="AA148" s="3">
        <v>9.7974261307880187E-2</v>
      </c>
      <c r="AB148">
        <v>0</v>
      </c>
      <c r="AC148">
        <v>0</v>
      </c>
      <c r="AD148">
        <v>0</v>
      </c>
    </row>
    <row r="149" spans="1:30" x14ac:dyDescent="0.3">
      <c r="A149" s="1">
        <v>45159</v>
      </c>
      <c r="B149" s="3">
        <v>5.5268348000000002E-2</v>
      </c>
      <c r="C149" s="3">
        <v>2.4426765999999999E-2</v>
      </c>
      <c r="D149" s="3">
        <v>6.5701488000000002E-2</v>
      </c>
      <c r="E149" s="3">
        <v>3.3533228999999998E-2</v>
      </c>
      <c r="F149" s="3">
        <v>7.4098282000000001E-2</v>
      </c>
      <c r="G149" s="3">
        <v>3.0593337000000002E-2</v>
      </c>
      <c r="H149" s="3">
        <v>6.6887893000000004E-2</v>
      </c>
      <c r="I149" s="3">
        <v>4.5190016E-2</v>
      </c>
      <c r="J149" s="3">
        <v>4.8379624000000003E-2</v>
      </c>
      <c r="K149" s="3">
        <v>4.9628943000000002E-2</v>
      </c>
      <c r="L149" s="3">
        <v>9.8207555000000002E-2</v>
      </c>
      <c r="M149" s="3">
        <v>4.7661413999999999E-2</v>
      </c>
      <c r="N149" s="3">
        <v>1.7114864E-2</v>
      </c>
      <c r="O149" s="3">
        <v>3.6373430999999998E-2</v>
      </c>
      <c r="P149" s="3">
        <v>4.7805577000000002E-2</v>
      </c>
      <c r="Q149" s="3">
        <v>3.0165470999999999E-2</v>
      </c>
      <c r="R149" s="3">
        <v>0.244092595</v>
      </c>
      <c r="S149" s="3">
        <v>0.15144622599999999</v>
      </c>
      <c r="T149" s="3">
        <v>0.25002462199999997</v>
      </c>
      <c r="U149" s="3">
        <v>0.20560008599999999</v>
      </c>
      <c r="V149" s="3">
        <v>3.776929925494852E-2</v>
      </c>
      <c r="W149" s="3">
        <v>0.1384484058962038</v>
      </c>
      <c r="X149" s="3">
        <v>9.9848490404295984E-2</v>
      </c>
      <c r="Y149" s="3">
        <v>0.20648438067724439</v>
      </c>
      <c r="Z149" s="3">
        <v>0.13669895763541667</v>
      </c>
      <c r="AA149" s="3">
        <v>9.791334264024891E-2</v>
      </c>
      <c r="AB149">
        <v>0</v>
      </c>
      <c r="AC149">
        <v>0</v>
      </c>
      <c r="AD149">
        <v>0</v>
      </c>
    </row>
    <row r="150" spans="1:30" x14ac:dyDescent="0.3">
      <c r="A150" s="1">
        <v>45160</v>
      </c>
      <c r="B150" s="3">
        <v>4.1012626000000003E-2</v>
      </c>
      <c r="C150" s="3">
        <v>2.7743061999999999E-2</v>
      </c>
      <c r="D150" s="3">
        <v>5.4196835999999998E-2</v>
      </c>
      <c r="E150" s="3">
        <v>3.9452265E-2</v>
      </c>
      <c r="F150" s="3">
        <v>5.5268348000000002E-2</v>
      </c>
      <c r="G150" s="3">
        <v>2.4426765999999999E-2</v>
      </c>
      <c r="H150" s="3">
        <v>6.5701488000000002E-2</v>
      </c>
      <c r="I150" s="3">
        <v>3.3533228999999998E-2</v>
      </c>
      <c r="J150" s="3">
        <v>7.4098282000000001E-2</v>
      </c>
      <c r="K150" s="3">
        <v>3.0593337000000002E-2</v>
      </c>
      <c r="L150" s="3">
        <v>6.6887893000000004E-2</v>
      </c>
      <c r="M150" s="3">
        <v>4.5190016E-2</v>
      </c>
      <c r="N150" s="3">
        <v>4.8379624000000003E-2</v>
      </c>
      <c r="O150" s="3">
        <v>4.9628943000000002E-2</v>
      </c>
      <c r="P150" s="3">
        <v>9.8207555000000002E-2</v>
      </c>
      <c r="Q150" s="3">
        <v>4.7661413999999999E-2</v>
      </c>
      <c r="R150" s="3">
        <v>1.7114864E-2</v>
      </c>
      <c r="S150" s="3">
        <v>3.6373430999999998E-2</v>
      </c>
      <c r="T150" s="3">
        <v>4.7805577000000002E-2</v>
      </c>
      <c r="U150" s="3">
        <v>3.0165470999999999E-2</v>
      </c>
      <c r="V150" s="3">
        <v>3.776929925494852E-2</v>
      </c>
      <c r="W150" s="3">
        <v>0.13725232515632127</v>
      </c>
      <c r="X150" s="3">
        <v>9.9049883973842859E-2</v>
      </c>
      <c r="Y150" s="3">
        <v>0.24361404964574562</v>
      </c>
      <c r="Z150" s="3">
        <v>0.13573737241617845</v>
      </c>
      <c r="AA150" s="3">
        <v>9.7505927362428427E-2</v>
      </c>
      <c r="AB150">
        <v>0</v>
      </c>
      <c r="AC150">
        <v>0</v>
      </c>
      <c r="AD150">
        <v>0</v>
      </c>
    </row>
    <row r="151" spans="1:30" x14ac:dyDescent="0.3">
      <c r="A151" s="1">
        <v>45161</v>
      </c>
      <c r="B151" s="3">
        <v>1.7807363E-2</v>
      </c>
      <c r="C151" s="3">
        <v>3.4061007999999997E-2</v>
      </c>
      <c r="D151" s="3">
        <v>4.9689018000000001E-2</v>
      </c>
      <c r="E151" s="3">
        <v>3.9840247000000002E-2</v>
      </c>
      <c r="F151" s="3">
        <v>4.1012626000000003E-2</v>
      </c>
      <c r="G151" s="3">
        <v>2.7743061999999999E-2</v>
      </c>
      <c r="H151" s="3">
        <v>5.4196835999999998E-2</v>
      </c>
      <c r="I151" s="3">
        <v>3.9452265E-2</v>
      </c>
      <c r="J151" s="3">
        <v>5.5268348000000002E-2</v>
      </c>
      <c r="K151" s="3">
        <v>2.4426765999999999E-2</v>
      </c>
      <c r="L151" s="3">
        <v>6.5701488000000002E-2</v>
      </c>
      <c r="M151" s="3">
        <v>3.3533228999999998E-2</v>
      </c>
      <c r="N151" s="3">
        <v>7.4098282000000001E-2</v>
      </c>
      <c r="O151" s="3">
        <v>3.0593337000000002E-2</v>
      </c>
      <c r="P151" s="3">
        <v>6.6887893000000004E-2</v>
      </c>
      <c r="Q151" s="3">
        <v>4.5190016E-2</v>
      </c>
      <c r="R151" s="3">
        <v>4.8379624000000003E-2</v>
      </c>
      <c r="S151" s="3">
        <v>4.9628943000000002E-2</v>
      </c>
      <c r="T151" s="3">
        <v>9.8207555000000002E-2</v>
      </c>
      <c r="U151" s="3">
        <v>4.7661413999999999E-2</v>
      </c>
      <c r="V151" s="3">
        <v>3.776929925494852E-2</v>
      </c>
      <c r="W151" s="3">
        <v>0.13505969199239057</v>
      </c>
      <c r="X151" s="3">
        <v>9.8290236677427353E-2</v>
      </c>
      <c r="Y151" s="3">
        <v>0.24361404964574562</v>
      </c>
      <c r="Z151" s="3">
        <v>0.13476643095362623</v>
      </c>
      <c r="AA151" s="3">
        <v>9.7154070996723491E-2</v>
      </c>
      <c r="AB151">
        <v>0</v>
      </c>
      <c r="AC151">
        <v>0</v>
      </c>
      <c r="AD151">
        <v>0</v>
      </c>
    </row>
    <row r="152" spans="1:30" x14ac:dyDescent="0.3">
      <c r="A152" s="1">
        <v>45162</v>
      </c>
      <c r="B152" s="3">
        <v>5.7608319999999998E-2</v>
      </c>
      <c r="C152" s="3">
        <v>3.0515176000000001E-2</v>
      </c>
      <c r="D152" s="3">
        <v>0.108697877</v>
      </c>
      <c r="E152" s="3">
        <v>4.4069966000000002E-2</v>
      </c>
      <c r="F152" s="3">
        <v>1.7807363E-2</v>
      </c>
      <c r="G152" s="3">
        <v>3.4061007999999997E-2</v>
      </c>
      <c r="H152" s="3">
        <v>4.9689018000000001E-2</v>
      </c>
      <c r="I152" s="3">
        <v>3.9840247000000002E-2</v>
      </c>
      <c r="J152" s="3">
        <v>4.1012626000000003E-2</v>
      </c>
      <c r="K152" s="3">
        <v>2.7743061999999999E-2</v>
      </c>
      <c r="L152" s="3">
        <v>5.4196835999999998E-2</v>
      </c>
      <c r="M152" s="3">
        <v>3.9452265E-2</v>
      </c>
      <c r="N152" s="3">
        <v>5.5268348000000002E-2</v>
      </c>
      <c r="O152" s="3">
        <v>2.4426765999999999E-2</v>
      </c>
      <c r="P152" s="3">
        <v>6.5701488000000002E-2</v>
      </c>
      <c r="Q152" s="3">
        <v>3.3533228999999998E-2</v>
      </c>
      <c r="R152" s="3">
        <v>7.4098282000000001E-2</v>
      </c>
      <c r="S152" s="3">
        <v>3.0593337000000002E-2</v>
      </c>
      <c r="T152" s="3">
        <v>6.6887893000000004E-2</v>
      </c>
      <c r="U152" s="3">
        <v>4.5190016E-2</v>
      </c>
      <c r="V152" s="3">
        <v>3.776929925494852E-2</v>
      </c>
      <c r="W152" s="3">
        <v>0.13761101953731161</v>
      </c>
      <c r="X152" s="3">
        <v>9.9469973125691474E-2</v>
      </c>
      <c r="Y152" s="3">
        <v>0.26436623727951547</v>
      </c>
      <c r="Z152" s="3">
        <v>0.13550259437852652</v>
      </c>
      <c r="AA152" s="3">
        <v>9.7792813491888619E-2</v>
      </c>
      <c r="AB152">
        <v>0</v>
      </c>
      <c r="AC152">
        <v>0</v>
      </c>
      <c r="AD152">
        <v>0</v>
      </c>
    </row>
    <row r="153" spans="1:30" x14ac:dyDescent="0.3">
      <c r="A153" s="1">
        <v>45163</v>
      </c>
      <c r="B153" s="3">
        <v>8.5860361999999996E-2</v>
      </c>
      <c r="C153" s="3">
        <v>2.9339546000000001E-2</v>
      </c>
      <c r="D153" s="3">
        <v>5.9336811000000003E-2</v>
      </c>
      <c r="E153" s="3">
        <v>4.2725156E-2</v>
      </c>
      <c r="F153" s="3">
        <v>5.7608319999999998E-2</v>
      </c>
      <c r="G153" s="3">
        <v>3.0515176000000001E-2</v>
      </c>
      <c r="H153" s="3">
        <v>0.108697877</v>
      </c>
      <c r="I153" s="3">
        <v>4.4069966000000002E-2</v>
      </c>
      <c r="J153" s="3">
        <v>1.7807363E-2</v>
      </c>
      <c r="K153" s="3">
        <v>3.4061007999999997E-2</v>
      </c>
      <c r="L153" s="3">
        <v>4.9689018000000001E-2</v>
      </c>
      <c r="M153" s="3">
        <v>3.9840247000000002E-2</v>
      </c>
      <c r="N153" s="3">
        <v>4.1012626000000003E-2</v>
      </c>
      <c r="O153" s="3">
        <v>2.7743061999999999E-2</v>
      </c>
      <c r="P153" s="3">
        <v>5.4196835999999998E-2</v>
      </c>
      <c r="Q153" s="3">
        <v>3.9452265E-2</v>
      </c>
      <c r="R153" s="3">
        <v>5.5268348000000002E-2</v>
      </c>
      <c r="S153" s="3">
        <v>2.4426765999999999E-2</v>
      </c>
      <c r="T153" s="3">
        <v>6.5701488000000002E-2</v>
      </c>
      <c r="U153" s="3">
        <v>3.3533228999999998E-2</v>
      </c>
      <c r="V153" s="3">
        <v>3.776929925494852E-2</v>
      </c>
      <c r="W153" s="3">
        <v>0.14428458438532113</v>
      </c>
      <c r="X153" s="3">
        <v>0.10571673714332108</v>
      </c>
      <c r="Y153" s="3">
        <v>0.24361404964574562</v>
      </c>
      <c r="Z153" s="3">
        <v>0.13902710697423429</v>
      </c>
      <c r="AA153" s="3">
        <v>0.10103441149252541</v>
      </c>
      <c r="AB153">
        <v>0</v>
      </c>
      <c r="AC153">
        <v>0</v>
      </c>
      <c r="AD153">
        <v>0</v>
      </c>
    </row>
    <row r="154" spans="1:30" x14ac:dyDescent="0.3">
      <c r="A154" s="1">
        <v>45166</v>
      </c>
      <c r="B154" s="3">
        <v>7.0027985000000001E-2</v>
      </c>
      <c r="C154" s="3">
        <v>5.5184074999999999E-2</v>
      </c>
      <c r="D154" s="3">
        <v>8.6583291000000007E-2</v>
      </c>
      <c r="E154" s="3">
        <v>4.4198379000000003E-2</v>
      </c>
      <c r="F154" s="3">
        <v>8.5860361999999996E-2</v>
      </c>
      <c r="G154" s="3">
        <v>2.9339546000000001E-2</v>
      </c>
      <c r="H154" s="3">
        <v>5.9336811000000003E-2</v>
      </c>
      <c r="I154" s="3">
        <v>4.2725156E-2</v>
      </c>
      <c r="J154" s="3">
        <v>5.7608319999999998E-2</v>
      </c>
      <c r="K154" s="3">
        <v>3.0515176000000001E-2</v>
      </c>
      <c r="L154" s="3">
        <v>0.108697877</v>
      </c>
      <c r="M154" s="3">
        <v>4.4069966000000002E-2</v>
      </c>
      <c r="N154" s="3">
        <v>1.7807363E-2</v>
      </c>
      <c r="O154" s="3">
        <v>3.4061007999999997E-2</v>
      </c>
      <c r="P154" s="3">
        <v>4.9689018000000001E-2</v>
      </c>
      <c r="Q154" s="3">
        <v>3.9840247000000002E-2</v>
      </c>
      <c r="R154" s="3">
        <v>4.1012626000000003E-2</v>
      </c>
      <c r="S154" s="3">
        <v>2.7743061999999999E-2</v>
      </c>
      <c r="T154" s="3">
        <v>5.4196835999999998E-2</v>
      </c>
      <c r="U154" s="3">
        <v>3.9452265E-2</v>
      </c>
      <c r="V154" s="3">
        <v>9.9238142992526535E-2</v>
      </c>
      <c r="W154" s="3">
        <v>0.14416297624352911</v>
      </c>
      <c r="X154" s="3">
        <v>0.10612074780191215</v>
      </c>
      <c r="Y154" s="3">
        <v>0.24361404964574562</v>
      </c>
      <c r="Z154" s="3">
        <v>0.13902862048589076</v>
      </c>
      <c r="AA154" s="3">
        <v>0.10111034379113534</v>
      </c>
      <c r="AB154">
        <v>1</v>
      </c>
      <c r="AC154">
        <v>0</v>
      </c>
      <c r="AD154">
        <v>1</v>
      </c>
    </row>
    <row r="155" spans="1:30" x14ac:dyDescent="0.3">
      <c r="A155" s="1">
        <v>45167</v>
      </c>
      <c r="B155" s="3">
        <v>2.9699485000000001E-2</v>
      </c>
      <c r="C155" s="3">
        <v>3.6889539999999998E-2</v>
      </c>
      <c r="D155" s="3">
        <v>6.3523278000000002E-2</v>
      </c>
      <c r="E155" s="3">
        <v>3.6657532999999999E-2</v>
      </c>
      <c r="F155" s="3">
        <v>7.0027985000000001E-2</v>
      </c>
      <c r="G155" s="3">
        <v>5.5184074999999999E-2</v>
      </c>
      <c r="H155" s="3">
        <v>8.6583291000000007E-2</v>
      </c>
      <c r="I155" s="3">
        <v>4.4198379000000003E-2</v>
      </c>
      <c r="J155" s="3">
        <v>8.5860361999999996E-2</v>
      </c>
      <c r="K155" s="3">
        <v>2.9339546000000001E-2</v>
      </c>
      <c r="L155" s="3">
        <v>5.9336811000000003E-2</v>
      </c>
      <c r="M155" s="3">
        <v>4.2725156E-2</v>
      </c>
      <c r="N155" s="3">
        <v>5.7608319999999998E-2</v>
      </c>
      <c r="O155" s="3">
        <v>3.0515176000000001E-2</v>
      </c>
      <c r="P155" s="3">
        <v>0.108697877</v>
      </c>
      <c r="Q155" s="3">
        <v>4.4069966000000002E-2</v>
      </c>
      <c r="R155" s="3">
        <v>1.7807363E-2</v>
      </c>
      <c r="S155" s="3">
        <v>3.4061007999999997E-2</v>
      </c>
      <c r="T155" s="3">
        <v>4.9689018000000001E-2</v>
      </c>
      <c r="U155" s="3">
        <v>3.9840247000000002E-2</v>
      </c>
      <c r="V155" s="3">
        <v>0.17394330429154867</v>
      </c>
      <c r="W155" s="3">
        <v>0.14480575076305502</v>
      </c>
      <c r="X155" s="3">
        <v>0.10743705793904038</v>
      </c>
      <c r="Y155" s="3">
        <v>0.26436623727951547</v>
      </c>
      <c r="Z155" s="3">
        <v>0.13948715257940589</v>
      </c>
      <c r="AA155" s="3">
        <v>0.10162752445420381</v>
      </c>
      <c r="AB155">
        <v>0</v>
      </c>
      <c r="AC155">
        <v>0</v>
      </c>
      <c r="AD155">
        <v>0</v>
      </c>
    </row>
    <row r="156" spans="1:30" x14ac:dyDescent="0.3">
      <c r="A156" s="1">
        <v>45168</v>
      </c>
      <c r="B156" s="3">
        <v>2.5800627999999999E-2</v>
      </c>
      <c r="C156" s="3">
        <v>3.2381432000000002E-2</v>
      </c>
      <c r="D156" s="3">
        <v>4.7035611999999997E-2</v>
      </c>
      <c r="E156" s="3">
        <v>4.6665007000000001E-2</v>
      </c>
      <c r="F156" s="3">
        <v>2.9699485000000001E-2</v>
      </c>
      <c r="G156" s="3">
        <v>3.6889539999999998E-2</v>
      </c>
      <c r="H156" s="3">
        <v>6.3523278000000002E-2</v>
      </c>
      <c r="I156" s="3">
        <v>3.6657532999999999E-2</v>
      </c>
      <c r="J156" s="3">
        <v>7.0027985000000001E-2</v>
      </c>
      <c r="K156" s="3">
        <v>5.5184074999999999E-2</v>
      </c>
      <c r="L156" s="3">
        <v>8.6583291000000007E-2</v>
      </c>
      <c r="M156" s="3">
        <v>4.4198379000000003E-2</v>
      </c>
      <c r="N156" s="3">
        <v>8.5860361999999996E-2</v>
      </c>
      <c r="O156" s="3">
        <v>2.9339546000000001E-2</v>
      </c>
      <c r="P156" s="3">
        <v>5.9336811000000003E-2</v>
      </c>
      <c r="Q156" s="3">
        <v>4.2725156E-2</v>
      </c>
      <c r="R156" s="3">
        <v>5.7608319999999998E-2</v>
      </c>
      <c r="S156" s="3">
        <v>3.0515176000000001E-2</v>
      </c>
      <c r="T156" s="3">
        <v>0.108697877</v>
      </c>
      <c r="U156" s="3">
        <v>4.4069966000000002E-2</v>
      </c>
      <c r="V156" s="3">
        <v>0.17394330429154867</v>
      </c>
      <c r="W156" s="3">
        <v>0.14260689540101812</v>
      </c>
      <c r="X156" s="3">
        <v>0.10647104855537505</v>
      </c>
      <c r="Y156" s="3">
        <v>0.26436623727951547</v>
      </c>
      <c r="Z156" s="3">
        <v>0.13949410036882834</v>
      </c>
      <c r="AA156" s="3">
        <v>0.10163247683789439</v>
      </c>
      <c r="AB156">
        <v>0</v>
      </c>
      <c r="AC156">
        <v>0</v>
      </c>
      <c r="AD156">
        <v>0</v>
      </c>
    </row>
    <row r="157" spans="1:30" x14ac:dyDescent="0.3">
      <c r="A157" s="1">
        <v>45169</v>
      </c>
      <c r="B157" s="3">
        <v>8.2651286000000004E-2</v>
      </c>
      <c r="C157" s="3">
        <v>2.8055453000000001E-2</v>
      </c>
      <c r="D157" s="3">
        <v>7.6289929000000006E-2</v>
      </c>
      <c r="E157" s="3">
        <v>3.1944741999999998E-2</v>
      </c>
      <c r="F157" s="3">
        <v>2.5800627999999999E-2</v>
      </c>
      <c r="G157" s="3">
        <v>3.2381432000000002E-2</v>
      </c>
      <c r="H157" s="3">
        <v>4.7035611999999997E-2</v>
      </c>
      <c r="I157" s="3">
        <v>4.6665007000000001E-2</v>
      </c>
      <c r="J157" s="3">
        <v>2.9699485000000001E-2</v>
      </c>
      <c r="K157" s="3">
        <v>3.6889539999999998E-2</v>
      </c>
      <c r="L157" s="3">
        <v>6.3523278000000002E-2</v>
      </c>
      <c r="M157" s="3">
        <v>3.6657532999999999E-2</v>
      </c>
      <c r="N157" s="3">
        <v>7.0027985000000001E-2</v>
      </c>
      <c r="O157" s="3">
        <v>5.5184074999999999E-2</v>
      </c>
      <c r="P157" s="3">
        <v>8.6583291000000007E-2</v>
      </c>
      <c r="Q157" s="3">
        <v>4.4198379000000003E-2</v>
      </c>
      <c r="R157" s="3">
        <v>8.5860361999999996E-2</v>
      </c>
      <c r="S157" s="3">
        <v>2.9339546000000001E-2</v>
      </c>
      <c r="T157" s="3">
        <v>5.9336811000000003E-2</v>
      </c>
      <c r="U157" s="3">
        <v>4.2725156E-2</v>
      </c>
      <c r="V157" s="3">
        <v>0.17394330429154867</v>
      </c>
      <c r="W157" s="3">
        <v>0.14317661703688431</v>
      </c>
      <c r="X157" s="3">
        <v>0.10634446779229792</v>
      </c>
      <c r="Y157" s="3">
        <v>0.23224332923028881</v>
      </c>
      <c r="Z157" s="3">
        <v>0.1394949593332758</v>
      </c>
      <c r="AA157" s="3">
        <v>0.10117707874100648</v>
      </c>
      <c r="AB157">
        <v>0</v>
      </c>
      <c r="AC157">
        <v>0</v>
      </c>
      <c r="AD157">
        <v>0</v>
      </c>
    </row>
    <row r="158" spans="1:30" x14ac:dyDescent="0.3">
      <c r="A158" s="1">
        <v>45170</v>
      </c>
      <c r="B158" s="3">
        <v>7.5106245000000002E-2</v>
      </c>
      <c r="C158" s="3">
        <v>2.4558499000000001E-2</v>
      </c>
      <c r="D158" s="3">
        <v>7.5231698999999999E-2</v>
      </c>
      <c r="E158" s="3">
        <v>3.4266814E-2</v>
      </c>
      <c r="F158" s="3">
        <v>8.2651286000000004E-2</v>
      </c>
      <c r="G158" s="3">
        <v>2.8055453000000001E-2</v>
      </c>
      <c r="H158" s="3">
        <v>7.6289929000000006E-2</v>
      </c>
      <c r="I158" s="3">
        <v>3.1944741999999998E-2</v>
      </c>
      <c r="J158" s="3">
        <v>2.5800627999999999E-2</v>
      </c>
      <c r="K158" s="3">
        <v>3.2381432000000002E-2</v>
      </c>
      <c r="L158" s="3">
        <v>4.7035611999999997E-2</v>
      </c>
      <c r="M158" s="3">
        <v>4.6665007000000001E-2</v>
      </c>
      <c r="N158" s="3">
        <v>2.9699485000000001E-2</v>
      </c>
      <c r="O158" s="3">
        <v>3.6889539999999998E-2</v>
      </c>
      <c r="P158" s="3">
        <v>6.3523278000000002E-2</v>
      </c>
      <c r="Q158" s="3">
        <v>3.6657532999999999E-2</v>
      </c>
      <c r="R158" s="3">
        <v>7.0027985000000001E-2</v>
      </c>
      <c r="S158" s="3">
        <v>5.5184074999999999E-2</v>
      </c>
      <c r="T158" s="3">
        <v>8.6583291000000007E-2</v>
      </c>
      <c r="U158" s="3">
        <v>4.4198379000000003E-2</v>
      </c>
      <c r="V158" s="3">
        <v>0.17394330429154867</v>
      </c>
      <c r="W158" s="3">
        <v>0.14300893853914004</v>
      </c>
      <c r="X158" s="3">
        <v>0.10598228980349512</v>
      </c>
      <c r="Y158" s="3">
        <v>0.24455586555600894</v>
      </c>
      <c r="Z158" s="3">
        <v>0.13940283168106105</v>
      </c>
      <c r="AA158" s="3">
        <v>0.10130949766719839</v>
      </c>
      <c r="AB158">
        <v>0</v>
      </c>
      <c r="AC158">
        <v>0</v>
      </c>
      <c r="AD158">
        <v>0</v>
      </c>
    </row>
    <row r="159" spans="1:30" x14ac:dyDescent="0.3">
      <c r="A159" s="1">
        <v>45173</v>
      </c>
      <c r="B159" s="3">
        <v>3.3163047000000001E-2</v>
      </c>
      <c r="C159" s="3">
        <v>3.5501299E-2</v>
      </c>
      <c r="D159" s="3">
        <v>9.0850504999999998E-2</v>
      </c>
      <c r="E159" s="3">
        <v>4.0933202000000002E-2</v>
      </c>
      <c r="F159" s="3">
        <v>7.5106245000000002E-2</v>
      </c>
      <c r="G159" s="3">
        <v>2.4558499000000001E-2</v>
      </c>
      <c r="H159" s="3">
        <v>7.5231698999999999E-2</v>
      </c>
      <c r="I159" s="3">
        <v>3.4266814E-2</v>
      </c>
      <c r="J159" s="3">
        <v>8.2651286000000004E-2</v>
      </c>
      <c r="K159" s="3">
        <v>2.8055453000000001E-2</v>
      </c>
      <c r="L159" s="3">
        <v>7.6289929000000006E-2</v>
      </c>
      <c r="M159" s="3">
        <v>3.1944741999999998E-2</v>
      </c>
      <c r="N159" s="3">
        <v>2.5800627999999999E-2</v>
      </c>
      <c r="O159" s="3">
        <v>3.2381432000000002E-2</v>
      </c>
      <c r="P159" s="3">
        <v>4.7035611999999997E-2</v>
      </c>
      <c r="Q159" s="3">
        <v>4.6665007000000001E-2</v>
      </c>
      <c r="R159" s="3">
        <v>2.9699485000000001E-2</v>
      </c>
      <c r="S159" s="3">
        <v>3.6889539999999998E-2</v>
      </c>
      <c r="T159" s="3">
        <v>6.3523278000000002E-2</v>
      </c>
      <c r="U159" s="3">
        <v>3.6657532999999999E-2</v>
      </c>
      <c r="V159" s="3">
        <v>0.17394330429154867</v>
      </c>
      <c r="W159" s="3">
        <v>0.14155041065761398</v>
      </c>
      <c r="X159" s="3">
        <v>0.10523424022990215</v>
      </c>
      <c r="Y159" s="3">
        <v>0.26436623727951547</v>
      </c>
      <c r="Z159" s="3">
        <v>0.13949985709010504</v>
      </c>
      <c r="AA159" s="3">
        <v>0.10178995894109508</v>
      </c>
      <c r="AB159">
        <v>0</v>
      </c>
      <c r="AC159">
        <v>1</v>
      </c>
      <c r="AD159">
        <v>1</v>
      </c>
    </row>
    <row r="160" spans="1:30" x14ac:dyDescent="0.3">
      <c r="A160" s="1">
        <v>45174</v>
      </c>
      <c r="B160" s="3">
        <v>3.7878071999999999E-2</v>
      </c>
      <c r="C160" s="3">
        <v>3.6563232000000001E-2</v>
      </c>
      <c r="D160" s="3">
        <v>6.5772601E-2</v>
      </c>
      <c r="E160" s="3">
        <v>4.4898452999999998E-2</v>
      </c>
      <c r="F160" s="3">
        <v>3.3163047000000001E-2</v>
      </c>
      <c r="G160" s="3">
        <v>3.5501299E-2</v>
      </c>
      <c r="H160" s="3">
        <v>9.0850504999999998E-2</v>
      </c>
      <c r="I160" s="3">
        <v>4.0933202000000002E-2</v>
      </c>
      <c r="J160" s="3">
        <v>7.5106245000000002E-2</v>
      </c>
      <c r="K160" s="3">
        <v>2.4558499000000001E-2</v>
      </c>
      <c r="L160" s="3">
        <v>7.5231698999999999E-2</v>
      </c>
      <c r="M160" s="3">
        <v>3.4266814E-2</v>
      </c>
      <c r="N160" s="3">
        <v>8.2651286000000004E-2</v>
      </c>
      <c r="O160" s="3">
        <v>2.8055453000000001E-2</v>
      </c>
      <c r="P160" s="3">
        <v>7.6289929000000006E-2</v>
      </c>
      <c r="Q160" s="3">
        <v>3.1944741999999998E-2</v>
      </c>
      <c r="R160" s="3">
        <v>2.5800627999999999E-2</v>
      </c>
      <c r="S160" s="3">
        <v>3.2381432000000002E-2</v>
      </c>
      <c r="T160" s="3">
        <v>4.7035611999999997E-2</v>
      </c>
      <c r="U160" s="3">
        <v>4.6665007000000001E-2</v>
      </c>
      <c r="V160" s="3">
        <v>0.17394330429154867</v>
      </c>
      <c r="W160" s="3">
        <v>0.13879446844124263</v>
      </c>
      <c r="X160" s="3">
        <v>0.10343385343543898</v>
      </c>
      <c r="Y160" s="3">
        <v>0.26436623727951547</v>
      </c>
      <c r="Z160" s="3">
        <v>0.13659895896261309</v>
      </c>
      <c r="AA160" s="3">
        <v>9.9129840671839706E-2</v>
      </c>
      <c r="AB160">
        <v>0</v>
      </c>
      <c r="AC160">
        <v>0</v>
      </c>
      <c r="AD160">
        <v>0</v>
      </c>
    </row>
    <row r="161" spans="1:30" x14ac:dyDescent="0.3">
      <c r="A161" s="1">
        <v>45175</v>
      </c>
      <c r="B161" s="3">
        <v>3.8574041000000003E-2</v>
      </c>
      <c r="C161" s="3">
        <v>3.3421886999999997E-2</v>
      </c>
      <c r="D161" s="3">
        <v>4.4386041000000001E-2</v>
      </c>
      <c r="E161" s="3">
        <v>4.4499024999999998E-2</v>
      </c>
      <c r="F161" s="3">
        <v>3.7878071999999999E-2</v>
      </c>
      <c r="G161" s="3">
        <v>3.6563232000000001E-2</v>
      </c>
      <c r="H161" s="3">
        <v>6.5772601E-2</v>
      </c>
      <c r="I161" s="3">
        <v>4.4898452999999998E-2</v>
      </c>
      <c r="J161" s="3">
        <v>3.3163047000000001E-2</v>
      </c>
      <c r="K161" s="3">
        <v>3.5501299E-2</v>
      </c>
      <c r="L161" s="3">
        <v>9.0850504999999998E-2</v>
      </c>
      <c r="M161" s="3">
        <v>4.0933202000000002E-2</v>
      </c>
      <c r="N161" s="3">
        <v>7.5106245000000002E-2</v>
      </c>
      <c r="O161" s="3">
        <v>2.4558499000000001E-2</v>
      </c>
      <c r="P161" s="3">
        <v>7.5231698999999999E-2</v>
      </c>
      <c r="Q161" s="3">
        <v>3.4266814E-2</v>
      </c>
      <c r="R161" s="3">
        <v>8.2651286000000004E-2</v>
      </c>
      <c r="S161" s="3">
        <v>2.8055453000000001E-2</v>
      </c>
      <c r="T161" s="3">
        <v>7.6289929000000006E-2</v>
      </c>
      <c r="U161" s="3">
        <v>3.1944741999999998E-2</v>
      </c>
      <c r="V161" s="3">
        <v>9.2731177250474153E-2</v>
      </c>
      <c r="W161" s="3">
        <v>0.13714445312834719</v>
      </c>
      <c r="X161" s="3">
        <v>0.10174932328850496</v>
      </c>
      <c r="Y161" s="3">
        <v>0.24455586555600894</v>
      </c>
      <c r="Z161" s="3">
        <v>0.13675386293511685</v>
      </c>
      <c r="AA161" s="3">
        <v>9.8980996916135239E-2</v>
      </c>
      <c r="AB161">
        <v>0</v>
      </c>
      <c r="AC161">
        <v>0</v>
      </c>
      <c r="AD161">
        <v>0</v>
      </c>
    </row>
    <row r="162" spans="1:30" x14ac:dyDescent="0.3">
      <c r="A162" s="1">
        <v>45176</v>
      </c>
      <c r="B162" s="3">
        <v>9.4735527999999999E-2</v>
      </c>
      <c r="C162" s="3">
        <v>2.6840192999999998E-2</v>
      </c>
      <c r="D162" s="3">
        <v>9.5082208000000001E-2</v>
      </c>
      <c r="E162" s="3">
        <v>2.7472816000000001E-2</v>
      </c>
      <c r="F162" s="3">
        <v>3.8574041000000003E-2</v>
      </c>
      <c r="G162" s="3">
        <v>3.3421886999999997E-2</v>
      </c>
      <c r="H162" s="3">
        <v>4.4386041000000001E-2</v>
      </c>
      <c r="I162" s="3">
        <v>4.4499024999999998E-2</v>
      </c>
      <c r="J162" s="3">
        <v>3.7878071999999999E-2</v>
      </c>
      <c r="K162" s="3">
        <v>3.6563232000000001E-2</v>
      </c>
      <c r="L162" s="3">
        <v>6.5772601E-2</v>
      </c>
      <c r="M162" s="3">
        <v>4.4898452999999998E-2</v>
      </c>
      <c r="N162" s="3">
        <v>3.3163047000000001E-2</v>
      </c>
      <c r="O162" s="3">
        <v>3.5501299E-2</v>
      </c>
      <c r="P162" s="3">
        <v>9.0850504999999998E-2</v>
      </c>
      <c r="Q162" s="3">
        <v>4.0933202000000002E-2</v>
      </c>
      <c r="R162" s="3">
        <v>7.5106245000000002E-2</v>
      </c>
      <c r="S162" s="3">
        <v>2.4558499000000001E-2</v>
      </c>
      <c r="T162" s="3">
        <v>7.5231698999999999E-2</v>
      </c>
      <c r="U162" s="3">
        <v>3.4266814E-2</v>
      </c>
      <c r="V162" s="3">
        <v>3.1262333512896152E-2</v>
      </c>
      <c r="W162" s="3">
        <v>0.13806587524076153</v>
      </c>
      <c r="X162" s="3">
        <v>0.10163228835926523</v>
      </c>
      <c r="Y162" s="3">
        <v>0.24455586555600894</v>
      </c>
      <c r="Z162" s="3">
        <v>0.13536230188282089</v>
      </c>
      <c r="AA162" s="3">
        <v>9.7551866691508837E-2</v>
      </c>
      <c r="AB162">
        <v>0</v>
      </c>
      <c r="AC162">
        <v>0</v>
      </c>
      <c r="AD162">
        <v>0</v>
      </c>
    </row>
    <row r="163" spans="1:30" x14ac:dyDescent="0.3">
      <c r="A163" s="1">
        <v>45177</v>
      </c>
      <c r="B163" s="3">
        <v>7.6565458000000003E-2</v>
      </c>
      <c r="C163" s="3">
        <v>3.1163208000000001E-2</v>
      </c>
      <c r="D163" s="3">
        <v>0.108295856</v>
      </c>
      <c r="E163" s="3">
        <v>4.5202020000000002E-2</v>
      </c>
      <c r="F163" s="3">
        <v>9.4735527999999999E-2</v>
      </c>
      <c r="G163" s="3">
        <v>2.6840192999999998E-2</v>
      </c>
      <c r="H163" s="3">
        <v>9.5082208000000001E-2</v>
      </c>
      <c r="I163" s="3">
        <v>2.7472816000000001E-2</v>
      </c>
      <c r="J163" s="3">
        <v>3.8574041000000003E-2</v>
      </c>
      <c r="K163" s="3">
        <v>3.3421886999999997E-2</v>
      </c>
      <c r="L163" s="3">
        <v>4.4386041000000001E-2</v>
      </c>
      <c r="M163" s="3">
        <v>4.4499024999999998E-2</v>
      </c>
      <c r="N163" s="3">
        <v>3.7878071999999999E-2</v>
      </c>
      <c r="O163" s="3">
        <v>3.6563232000000001E-2</v>
      </c>
      <c r="P163" s="3">
        <v>6.5772601E-2</v>
      </c>
      <c r="Q163" s="3">
        <v>4.4898452999999998E-2</v>
      </c>
      <c r="R163" s="3">
        <v>3.3163047000000001E-2</v>
      </c>
      <c r="S163" s="3">
        <v>3.5501299E-2</v>
      </c>
      <c r="T163" s="3">
        <v>9.0850504999999998E-2</v>
      </c>
      <c r="U163" s="3">
        <v>4.0933202000000002E-2</v>
      </c>
      <c r="V163" s="3">
        <v>1.1062017212598427E-2</v>
      </c>
      <c r="W163" s="3">
        <v>0.13249908386464609</v>
      </c>
      <c r="X163" s="3">
        <v>9.8850438505255087E-2</v>
      </c>
      <c r="Y163" s="3">
        <v>0.2164743050820524</v>
      </c>
      <c r="Z163" s="3">
        <v>0.13546282816265068</v>
      </c>
      <c r="AA163" s="3">
        <v>9.7347544151150586E-2</v>
      </c>
      <c r="AB163">
        <v>1</v>
      </c>
      <c r="AC163">
        <v>0</v>
      </c>
      <c r="AD163">
        <v>1</v>
      </c>
    </row>
    <row r="164" spans="1:30" x14ac:dyDescent="0.3">
      <c r="A164" s="1">
        <v>45180</v>
      </c>
      <c r="B164" s="3">
        <v>9.6432380999999998E-2</v>
      </c>
      <c r="C164" s="3">
        <v>3.9213418E-2</v>
      </c>
      <c r="D164" s="3">
        <v>6.9435378000000006E-2</v>
      </c>
      <c r="E164" s="3">
        <v>6.8524146999999994E-2</v>
      </c>
      <c r="F164" s="3">
        <v>7.6565458000000003E-2</v>
      </c>
      <c r="G164" s="3">
        <v>3.1163208000000001E-2</v>
      </c>
      <c r="H164" s="3">
        <v>0.108295856</v>
      </c>
      <c r="I164" s="3">
        <v>4.5202020000000002E-2</v>
      </c>
      <c r="J164" s="3">
        <v>9.4735527999999999E-2</v>
      </c>
      <c r="K164" s="3">
        <v>2.6840192999999998E-2</v>
      </c>
      <c r="L164" s="3">
        <v>9.5082208000000001E-2</v>
      </c>
      <c r="M164" s="3">
        <v>2.7472816000000001E-2</v>
      </c>
      <c r="N164" s="3">
        <v>3.8574041000000003E-2</v>
      </c>
      <c r="O164" s="3">
        <v>3.3421886999999997E-2</v>
      </c>
      <c r="P164" s="3">
        <v>4.4386041000000001E-2</v>
      </c>
      <c r="Q164" s="3">
        <v>4.4499024999999998E-2</v>
      </c>
      <c r="R164" s="3">
        <v>3.7878071999999999E-2</v>
      </c>
      <c r="S164" s="3">
        <v>3.6563232000000001E-2</v>
      </c>
      <c r="T164" s="3">
        <v>6.5772601E-2</v>
      </c>
      <c r="U164" s="3">
        <v>4.4898452999999998E-2</v>
      </c>
      <c r="V164" s="3">
        <v>-4.0998464875190092E-2</v>
      </c>
      <c r="W164" s="3">
        <v>0.13285384159812641</v>
      </c>
      <c r="X164" s="3">
        <v>9.8406444019004294E-2</v>
      </c>
      <c r="Y164" s="3">
        <v>0.2164743050820524</v>
      </c>
      <c r="Z164" s="3">
        <v>0.1343212917223309</v>
      </c>
      <c r="AA164" s="3">
        <v>9.6261679729932062E-2</v>
      </c>
      <c r="AB164">
        <v>1</v>
      </c>
      <c r="AC164">
        <v>0</v>
      </c>
      <c r="AD164">
        <v>1</v>
      </c>
    </row>
    <row r="165" spans="1:30" x14ac:dyDescent="0.3">
      <c r="A165" s="1">
        <v>45181</v>
      </c>
      <c r="B165" s="3">
        <v>4.1517302999999998E-2</v>
      </c>
      <c r="C165" s="3">
        <v>4.7790662999999997E-2</v>
      </c>
      <c r="D165" s="3">
        <v>0.101797132</v>
      </c>
      <c r="E165" s="3">
        <v>6.9450356000000005E-2</v>
      </c>
      <c r="F165" s="3">
        <v>9.6432380999999998E-2</v>
      </c>
      <c r="G165" s="3">
        <v>3.9213418E-2</v>
      </c>
      <c r="H165" s="3">
        <v>6.9435378000000006E-2</v>
      </c>
      <c r="I165" s="3">
        <v>6.8524146999999994E-2</v>
      </c>
      <c r="J165" s="3">
        <v>7.6565458000000003E-2</v>
      </c>
      <c r="K165" s="3">
        <v>3.1163208000000001E-2</v>
      </c>
      <c r="L165" s="3">
        <v>0.108295856</v>
      </c>
      <c r="M165" s="3">
        <v>4.5202020000000002E-2</v>
      </c>
      <c r="N165" s="3">
        <v>9.4735527999999999E-2</v>
      </c>
      <c r="O165" s="3">
        <v>2.6840192999999998E-2</v>
      </c>
      <c r="P165" s="3">
        <v>9.5082208000000001E-2</v>
      </c>
      <c r="Q165" s="3">
        <v>2.7472816000000001E-2</v>
      </c>
      <c r="R165" s="3">
        <v>3.8574041000000003E-2</v>
      </c>
      <c r="S165" s="3">
        <v>3.3421886999999997E-2</v>
      </c>
      <c r="T165" s="3">
        <v>4.4386041000000001E-2</v>
      </c>
      <c r="U165" s="3">
        <v>4.4499024999999998E-2</v>
      </c>
      <c r="V165" s="3">
        <v>-4.0998464875190092E-2</v>
      </c>
      <c r="W165" s="3">
        <v>0.13388108576881816</v>
      </c>
      <c r="X165" s="3">
        <v>9.8880843901761342E-2</v>
      </c>
      <c r="Y165" s="3">
        <v>0.2164743050820524</v>
      </c>
      <c r="Z165" s="3">
        <v>0.13261200804968687</v>
      </c>
      <c r="AA165" s="3">
        <v>9.5705972846830967E-2</v>
      </c>
      <c r="AB165">
        <v>0</v>
      </c>
      <c r="AC165">
        <v>0</v>
      </c>
      <c r="AD165">
        <v>0</v>
      </c>
    </row>
    <row r="166" spans="1:30" x14ac:dyDescent="0.3">
      <c r="A166" s="1">
        <v>45182</v>
      </c>
      <c r="B166" s="3">
        <v>5.2970380999999997E-2</v>
      </c>
      <c r="C166" s="3">
        <v>6.0485193999999999E-2</v>
      </c>
      <c r="D166" s="3">
        <v>6.4250089999999996E-2</v>
      </c>
      <c r="E166" s="3">
        <v>6.5226033000000003E-2</v>
      </c>
      <c r="F166" s="3">
        <v>4.1517302999999998E-2</v>
      </c>
      <c r="G166" s="3">
        <v>4.7790662999999997E-2</v>
      </c>
      <c r="H166" s="3">
        <v>0.101797132</v>
      </c>
      <c r="I166" s="3">
        <v>6.9450356000000005E-2</v>
      </c>
      <c r="J166" s="3">
        <v>9.6432380999999998E-2</v>
      </c>
      <c r="K166" s="3">
        <v>3.9213418E-2</v>
      </c>
      <c r="L166" s="3">
        <v>6.9435378000000006E-2</v>
      </c>
      <c r="M166" s="3">
        <v>6.8524146999999994E-2</v>
      </c>
      <c r="N166" s="3">
        <v>7.6565458000000003E-2</v>
      </c>
      <c r="O166" s="3">
        <v>3.1163208000000001E-2</v>
      </c>
      <c r="P166" s="3">
        <v>0.108295856</v>
      </c>
      <c r="Q166" s="3">
        <v>4.5202020000000002E-2</v>
      </c>
      <c r="R166" s="3">
        <v>9.4735527999999999E-2</v>
      </c>
      <c r="S166" s="3">
        <v>2.6840192999999998E-2</v>
      </c>
      <c r="T166" s="3">
        <v>9.5082208000000001E-2</v>
      </c>
      <c r="U166" s="3">
        <v>2.7472816000000001E-2</v>
      </c>
      <c r="V166" s="3">
        <v>1.1062017212598427E-2</v>
      </c>
      <c r="W166" s="3">
        <v>0.13381816487179171</v>
      </c>
      <c r="X166" s="3">
        <v>9.9282109524997622E-2</v>
      </c>
      <c r="Y166" s="3">
        <v>0.2164743050820524</v>
      </c>
      <c r="Z166" s="3">
        <v>0.13257381605348462</v>
      </c>
      <c r="AA166" s="3">
        <v>9.5800439780001329E-2</v>
      </c>
      <c r="AB166">
        <v>0</v>
      </c>
      <c r="AC166">
        <v>0</v>
      </c>
      <c r="AD166">
        <v>0</v>
      </c>
    </row>
    <row r="167" spans="1:30" x14ac:dyDescent="0.3">
      <c r="A167" s="1">
        <v>45183</v>
      </c>
      <c r="B167" s="3">
        <v>0.104156416</v>
      </c>
      <c r="C167" s="3">
        <v>8.5191445000000005E-2</v>
      </c>
      <c r="D167" s="3">
        <v>0.193491527</v>
      </c>
      <c r="E167" s="3">
        <v>0.12654363099999999</v>
      </c>
      <c r="F167" s="3">
        <v>5.2970380999999997E-2</v>
      </c>
      <c r="G167" s="3">
        <v>6.0485193999999999E-2</v>
      </c>
      <c r="H167" s="3">
        <v>6.4250089999999996E-2</v>
      </c>
      <c r="I167" s="3">
        <v>6.5226033000000003E-2</v>
      </c>
      <c r="J167" s="3">
        <v>4.1517302999999998E-2</v>
      </c>
      <c r="K167" s="3">
        <v>4.7790662999999997E-2</v>
      </c>
      <c r="L167" s="3">
        <v>0.101797132</v>
      </c>
      <c r="M167" s="3">
        <v>6.9450356000000005E-2</v>
      </c>
      <c r="N167" s="3">
        <v>9.6432380999999998E-2</v>
      </c>
      <c r="O167" s="3">
        <v>3.9213418E-2</v>
      </c>
      <c r="P167" s="3">
        <v>6.9435378000000006E-2</v>
      </c>
      <c r="Q167" s="3">
        <v>6.8524146999999994E-2</v>
      </c>
      <c r="R167" s="3">
        <v>7.6565458000000003E-2</v>
      </c>
      <c r="S167" s="3">
        <v>3.1163208000000001E-2</v>
      </c>
      <c r="T167" s="3">
        <v>0.108295856</v>
      </c>
      <c r="U167" s="3">
        <v>4.5202020000000002E-2</v>
      </c>
      <c r="V167" s="3">
        <v>3.1262333512896152E-2</v>
      </c>
      <c r="W167" s="3">
        <v>0.13829697087141682</v>
      </c>
      <c r="X167" s="3">
        <v>0.10160164265457912</v>
      </c>
      <c r="Y167" s="3">
        <v>0.2164743050820524</v>
      </c>
      <c r="Z167" s="3">
        <v>0.1341547837932347</v>
      </c>
      <c r="AA167" s="3">
        <v>9.6424880365409832E-2</v>
      </c>
      <c r="AB167">
        <v>0</v>
      </c>
      <c r="AC167">
        <v>1</v>
      </c>
      <c r="AD167">
        <v>1</v>
      </c>
    </row>
    <row r="168" spans="1:30" x14ac:dyDescent="0.3">
      <c r="A168" s="1">
        <v>45184</v>
      </c>
      <c r="B168" s="3">
        <v>0.102315563</v>
      </c>
      <c r="C168" s="3">
        <v>6.4902641999999997E-2</v>
      </c>
      <c r="D168" s="3">
        <v>0.173967029</v>
      </c>
      <c r="E168" s="3">
        <v>7.4488901999999996E-2</v>
      </c>
      <c r="F168" s="3">
        <v>0.104156416</v>
      </c>
      <c r="G168" s="3">
        <v>8.5191445000000005E-2</v>
      </c>
      <c r="H168" s="3">
        <v>0.193491527</v>
      </c>
      <c r="I168" s="3">
        <v>0.12654363099999999</v>
      </c>
      <c r="J168" s="3">
        <v>5.2970380999999997E-2</v>
      </c>
      <c r="K168" s="3">
        <v>6.0485193999999999E-2</v>
      </c>
      <c r="L168" s="3">
        <v>6.4250089999999996E-2</v>
      </c>
      <c r="M168" s="3">
        <v>6.5226033000000003E-2</v>
      </c>
      <c r="N168" s="3">
        <v>4.1517302999999998E-2</v>
      </c>
      <c r="O168" s="3">
        <v>4.7790662999999997E-2</v>
      </c>
      <c r="P168" s="3">
        <v>0.101797132</v>
      </c>
      <c r="Q168" s="3">
        <v>6.9450356000000005E-2</v>
      </c>
      <c r="R168" s="3">
        <v>9.6432380999999998E-2</v>
      </c>
      <c r="S168" s="3">
        <v>3.9213418E-2</v>
      </c>
      <c r="T168" s="3">
        <v>6.9435378000000006E-2</v>
      </c>
      <c r="U168" s="3">
        <v>6.8524146999999994E-2</v>
      </c>
      <c r="V168" s="3">
        <v>9.2731177250474153E-2</v>
      </c>
      <c r="W168" s="3">
        <v>0.13884979215795623</v>
      </c>
      <c r="X168" s="3">
        <v>0.1028577013151192</v>
      </c>
      <c r="Y168" s="3">
        <v>0.2164743050820524</v>
      </c>
      <c r="Z168" s="3">
        <v>0.13192798028306849</v>
      </c>
      <c r="AA168" s="3">
        <v>9.5669369540733309E-2</v>
      </c>
      <c r="AB168">
        <v>0</v>
      </c>
      <c r="AC168">
        <v>1</v>
      </c>
      <c r="AD168">
        <v>1</v>
      </c>
    </row>
    <row r="169" spans="1:30" x14ac:dyDescent="0.3">
      <c r="A169" s="1">
        <v>45187</v>
      </c>
      <c r="B169" s="3">
        <v>0.21917138799999999</v>
      </c>
      <c r="C169" s="3">
        <v>0.13373964299999999</v>
      </c>
      <c r="D169" s="3">
        <v>0.124523623</v>
      </c>
      <c r="E169" s="3">
        <v>0.12924987199999999</v>
      </c>
      <c r="F169" s="3">
        <v>0.102315563</v>
      </c>
      <c r="G169" s="3">
        <v>6.4902641999999997E-2</v>
      </c>
      <c r="H169" s="3">
        <v>0.173967029</v>
      </c>
      <c r="I169" s="3">
        <v>7.4488901999999996E-2</v>
      </c>
      <c r="J169" s="3">
        <v>0.104156416</v>
      </c>
      <c r="K169" s="3">
        <v>8.5191445000000005E-2</v>
      </c>
      <c r="L169" s="3">
        <v>0.193491527</v>
      </c>
      <c r="M169" s="3">
        <v>0.12654363099999999</v>
      </c>
      <c r="N169" s="3">
        <v>5.2970380999999997E-2</v>
      </c>
      <c r="O169" s="3">
        <v>6.0485193999999999E-2</v>
      </c>
      <c r="P169" s="3">
        <v>6.4250089999999996E-2</v>
      </c>
      <c r="Q169" s="3">
        <v>6.5226033000000003E-2</v>
      </c>
      <c r="R169" s="3">
        <v>4.1517302999999998E-2</v>
      </c>
      <c r="S169" s="3">
        <v>4.7790662999999997E-2</v>
      </c>
      <c r="T169" s="3">
        <v>0.101797132</v>
      </c>
      <c r="U169" s="3">
        <v>6.9450356000000005E-2</v>
      </c>
      <c r="V169" s="3">
        <v>3.1262333512896152E-2</v>
      </c>
      <c r="W169" s="3">
        <v>0.14002768334315177</v>
      </c>
      <c r="X169" s="3">
        <v>0.10303028408996351</v>
      </c>
      <c r="Y169" s="3">
        <v>0.19896146475163615</v>
      </c>
      <c r="Z169" s="3">
        <v>0.13228085884143562</v>
      </c>
      <c r="AA169" s="3">
        <v>9.5549218606312492E-2</v>
      </c>
      <c r="AB169">
        <v>0</v>
      </c>
      <c r="AC169">
        <v>0</v>
      </c>
      <c r="AD169">
        <v>0</v>
      </c>
    </row>
    <row r="170" spans="1:30" x14ac:dyDescent="0.3">
      <c r="A170" s="1">
        <v>45188</v>
      </c>
      <c r="B170" s="3">
        <v>0.230321638</v>
      </c>
      <c r="C170" s="3">
        <v>0.20812475</v>
      </c>
      <c r="D170" s="3">
        <v>0.13344004800000001</v>
      </c>
      <c r="E170" s="3">
        <v>0.17619595399999999</v>
      </c>
      <c r="F170" s="3">
        <v>0.21917138799999999</v>
      </c>
      <c r="G170" s="3">
        <v>0.13373964299999999</v>
      </c>
      <c r="H170" s="3">
        <v>0.124523623</v>
      </c>
      <c r="I170" s="3">
        <v>0.12924987199999999</v>
      </c>
      <c r="J170" s="3">
        <v>0.102315563</v>
      </c>
      <c r="K170" s="3">
        <v>6.4902641999999997E-2</v>
      </c>
      <c r="L170" s="3">
        <v>0.173967029</v>
      </c>
      <c r="M170" s="3">
        <v>7.4488901999999996E-2</v>
      </c>
      <c r="N170" s="3">
        <v>0.104156416</v>
      </c>
      <c r="O170" s="3">
        <v>8.5191445000000005E-2</v>
      </c>
      <c r="P170" s="3">
        <v>0.193491527</v>
      </c>
      <c r="Q170" s="3">
        <v>0.12654363099999999</v>
      </c>
      <c r="R170" s="3">
        <v>5.2970380999999997E-2</v>
      </c>
      <c r="S170" s="3">
        <v>6.0485193999999999E-2</v>
      </c>
      <c r="T170" s="3">
        <v>6.4250089999999996E-2</v>
      </c>
      <c r="U170" s="3">
        <v>6.5226033000000003E-2</v>
      </c>
      <c r="V170" s="3">
        <v>3.1262333512896152E-2</v>
      </c>
      <c r="W170" s="3">
        <v>0.14002433743959658</v>
      </c>
      <c r="X170" s="3">
        <v>0.10302955527014813</v>
      </c>
      <c r="Y170" s="3">
        <v>0.18991335625709146</v>
      </c>
      <c r="Z170" s="3">
        <v>0.13239162668347657</v>
      </c>
      <c r="AA170" s="3">
        <v>9.5245032851478853E-2</v>
      </c>
      <c r="AB170">
        <v>0</v>
      </c>
      <c r="AC170">
        <v>1</v>
      </c>
      <c r="AD170">
        <v>1</v>
      </c>
    </row>
    <row r="171" spans="1:30" x14ac:dyDescent="0.3">
      <c r="A171" s="1">
        <v>45189</v>
      </c>
      <c r="B171" s="3">
        <v>3.8899214000000001E-2</v>
      </c>
      <c r="C171" s="3">
        <v>4.8267496999999999E-2</v>
      </c>
      <c r="D171" s="3">
        <v>2.3458260000000002E-2</v>
      </c>
      <c r="E171" s="3">
        <v>4.9881368000000002E-2</v>
      </c>
      <c r="F171" s="3">
        <v>0.230321638</v>
      </c>
      <c r="G171" s="3">
        <v>0.20812475</v>
      </c>
      <c r="H171" s="3">
        <v>0.13344004800000001</v>
      </c>
      <c r="I171" s="3">
        <v>0.17619595399999999</v>
      </c>
      <c r="J171" s="3">
        <v>0.21917138799999999</v>
      </c>
      <c r="K171" s="3">
        <v>0.13373964299999999</v>
      </c>
      <c r="L171" s="3">
        <v>0.124523623</v>
      </c>
      <c r="M171" s="3">
        <v>0.12924987199999999</v>
      </c>
      <c r="N171" s="3">
        <v>0.102315563</v>
      </c>
      <c r="O171" s="3">
        <v>6.4902641999999997E-2</v>
      </c>
      <c r="P171" s="3">
        <v>0.173967029</v>
      </c>
      <c r="Q171" s="3">
        <v>7.4488901999999996E-2</v>
      </c>
      <c r="R171" s="3">
        <v>0.104156416</v>
      </c>
      <c r="S171" s="3">
        <v>8.5191445000000005E-2</v>
      </c>
      <c r="T171" s="3">
        <v>0.193491527</v>
      </c>
      <c r="U171" s="3">
        <v>0.12654363099999999</v>
      </c>
      <c r="V171" s="3">
        <v>3.1262333512896152E-2</v>
      </c>
      <c r="W171" s="3">
        <v>0.1386459615614728</v>
      </c>
      <c r="X171" s="3">
        <v>0.10185329115774577</v>
      </c>
      <c r="Y171" s="3">
        <v>0.18991335625709146</v>
      </c>
      <c r="Z171" s="3">
        <v>0.13274402055564463</v>
      </c>
      <c r="AA171" s="3">
        <v>9.5474129900203444E-2</v>
      </c>
      <c r="AB171">
        <v>0</v>
      </c>
      <c r="AC171">
        <v>0</v>
      </c>
      <c r="AD171">
        <v>0</v>
      </c>
    </row>
    <row r="172" spans="1:30" x14ac:dyDescent="0.3">
      <c r="A172" s="1">
        <v>45190</v>
      </c>
      <c r="B172" s="3">
        <v>9.2169476E-2</v>
      </c>
      <c r="C172" s="3">
        <v>5.2193265000000003E-2</v>
      </c>
      <c r="D172" s="3">
        <v>6.5106354000000005E-2</v>
      </c>
      <c r="E172" s="3">
        <v>3.4973047E-2</v>
      </c>
      <c r="F172" s="3">
        <v>3.8899214000000001E-2</v>
      </c>
      <c r="G172" s="3">
        <v>4.8267496999999999E-2</v>
      </c>
      <c r="H172" s="3">
        <v>2.3458260000000002E-2</v>
      </c>
      <c r="I172" s="3">
        <v>4.9881368000000002E-2</v>
      </c>
      <c r="J172" s="3">
        <v>0.230321638</v>
      </c>
      <c r="K172" s="3">
        <v>0.20812475</v>
      </c>
      <c r="L172" s="3">
        <v>0.13344004800000001</v>
      </c>
      <c r="M172" s="3">
        <v>0.17619595399999999</v>
      </c>
      <c r="N172" s="3">
        <v>0.21917138799999999</v>
      </c>
      <c r="O172" s="3">
        <v>0.13373964299999999</v>
      </c>
      <c r="P172" s="3">
        <v>0.124523623</v>
      </c>
      <c r="Q172" s="3">
        <v>0.12924987199999999</v>
      </c>
      <c r="R172" s="3">
        <v>0.102315563</v>
      </c>
      <c r="S172" s="3">
        <v>6.4902641999999997E-2</v>
      </c>
      <c r="T172" s="3">
        <v>0.173967029</v>
      </c>
      <c r="U172" s="3">
        <v>7.4488901999999996E-2</v>
      </c>
      <c r="V172" s="3">
        <v>1.1062017212598427E-2</v>
      </c>
      <c r="W172" s="3">
        <v>0.14207720043790889</v>
      </c>
      <c r="X172" s="3">
        <v>0.10403991388399766</v>
      </c>
      <c r="Y172" s="3">
        <v>0.18991335625709146</v>
      </c>
      <c r="Z172" s="3">
        <v>0.13404472290799052</v>
      </c>
      <c r="AA172" s="3">
        <v>9.6835110907701527E-2</v>
      </c>
      <c r="AB172">
        <v>0</v>
      </c>
      <c r="AC172">
        <v>0</v>
      </c>
      <c r="AD172">
        <v>0</v>
      </c>
    </row>
    <row r="173" spans="1:30" x14ac:dyDescent="0.3">
      <c r="A173" s="1">
        <v>45191</v>
      </c>
      <c r="B173" s="3">
        <v>5.6537327999999998E-2</v>
      </c>
      <c r="C173" s="3">
        <v>3.3325441999999997E-2</v>
      </c>
      <c r="D173" s="3">
        <v>9.1298454000000001E-2</v>
      </c>
      <c r="E173" s="3">
        <v>3.2673589000000003E-2</v>
      </c>
      <c r="F173" s="3">
        <v>9.2169476E-2</v>
      </c>
      <c r="G173" s="3">
        <v>5.2193265000000003E-2</v>
      </c>
      <c r="H173" s="3">
        <v>6.5106354000000005E-2</v>
      </c>
      <c r="I173" s="3">
        <v>3.4973047E-2</v>
      </c>
      <c r="J173" s="3">
        <v>3.8899214000000001E-2</v>
      </c>
      <c r="K173" s="3">
        <v>4.8267496999999999E-2</v>
      </c>
      <c r="L173" s="3">
        <v>2.3458260000000002E-2</v>
      </c>
      <c r="M173" s="3">
        <v>4.9881368000000002E-2</v>
      </c>
      <c r="N173" s="3">
        <v>0.230321638</v>
      </c>
      <c r="O173" s="3">
        <v>0.20812475</v>
      </c>
      <c r="P173" s="3">
        <v>0.13344004800000001</v>
      </c>
      <c r="Q173" s="3">
        <v>0.17619595399999999</v>
      </c>
      <c r="R173" s="3">
        <v>0.21917138799999999</v>
      </c>
      <c r="S173" s="3">
        <v>0.13373964299999999</v>
      </c>
      <c r="T173" s="3">
        <v>0.124523623</v>
      </c>
      <c r="U173" s="3">
        <v>0.12924987199999999</v>
      </c>
      <c r="V173" s="3">
        <v>1.1062017212598427E-2</v>
      </c>
      <c r="W173" s="3">
        <v>0.14216628849915938</v>
      </c>
      <c r="X173" s="3">
        <v>0.10426242720435516</v>
      </c>
      <c r="Y173" s="3">
        <v>0.18991335625709146</v>
      </c>
      <c r="Z173" s="3">
        <v>0.13388189123905664</v>
      </c>
      <c r="AA173" s="3">
        <v>9.6614695112611351E-2</v>
      </c>
      <c r="AB173">
        <v>0</v>
      </c>
      <c r="AC173">
        <v>0</v>
      </c>
      <c r="AD173">
        <v>0</v>
      </c>
    </row>
    <row r="174" spans="1:30" x14ac:dyDescent="0.3">
      <c r="A174" s="1">
        <v>45194</v>
      </c>
      <c r="B174" s="3">
        <v>3.8702093E-2</v>
      </c>
      <c r="C174" s="3">
        <v>2.8727899000000001E-2</v>
      </c>
      <c r="D174" s="3">
        <v>7.9951567000000001E-2</v>
      </c>
      <c r="E174" s="3">
        <v>3.6487692000000002E-2</v>
      </c>
      <c r="F174" s="3">
        <v>5.6537327999999998E-2</v>
      </c>
      <c r="G174" s="3">
        <v>3.3325441999999997E-2</v>
      </c>
      <c r="H174" s="3">
        <v>9.1298454000000001E-2</v>
      </c>
      <c r="I174" s="3">
        <v>3.2673589000000003E-2</v>
      </c>
      <c r="J174" s="3">
        <v>9.2169476E-2</v>
      </c>
      <c r="K174" s="3">
        <v>5.2193265000000003E-2</v>
      </c>
      <c r="L174" s="3">
        <v>6.5106354000000005E-2</v>
      </c>
      <c r="M174" s="3">
        <v>3.4973047E-2</v>
      </c>
      <c r="N174" s="3">
        <v>3.8899214000000001E-2</v>
      </c>
      <c r="O174" s="3">
        <v>4.8267496999999999E-2</v>
      </c>
      <c r="P174" s="3">
        <v>2.3458260000000002E-2</v>
      </c>
      <c r="Q174" s="3">
        <v>4.9881368000000002E-2</v>
      </c>
      <c r="R174" s="3">
        <v>0.230321638</v>
      </c>
      <c r="S174" s="3">
        <v>0.20812475</v>
      </c>
      <c r="T174" s="3">
        <v>0.13344004800000001</v>
      </c>
      <c r="U174" s="3">
        <v>0.17619595399999999</v>
      </c>
      <c r="V174" s="3">
        <v>3.1262333512896152E-2</v>
      </c>
      <c r="W174" s="3">
        <v>0.1425319897571814</v>
      </c>
      <c r="X174" s="3">
        <v>0.10513926355605555</v>
      </c>
      <c r="Y174" s="3">
        <v>0.18991335625709146</v>
      </c>
      <c r="Z174" s="3">
        <v>0.13376456540279685</v>
      </c>
      <c r="AA174" s="3">
        <v>9.651066979410948E-2</v>
      </c>
      <c r="AB174">
        <v>0</v>
      </c>
      <c r="AC174">
        <v>0</v>
      </c>
      <c r="AD174">
        <v>0</v>
      </c>
    </row>
    <row r="175" spans="1:30" x14ac:dyDescent="0.3">
      <c r="A175" s="1">
        <v>45195</v>
      </c>
      <c r="B175" s="3">
        <v>6.6759697000000007E-2</v>
      </c>
      <c r="C175" s="3">
        <v>5.3356242999999998E-2</v>
      </c>
      <c r="D175" s="3">
        <v>4.1271198000000002E-2</v>
      </c>
      <c r="E175" s="3">
        <v>5.2045038000000002E-2</v>
      </c>
      <c r="F175" s="3">
        <v>3.8702093E-2</v>
      </c>
      <c r="G175" s="3">
        <v>2.8727899000000001E-2</v>
      </c>
      <c r="H175" s="3">
        <v>7.9951567000000001E-2</v>
      </c>
      <c r="I175" s="3">
        <v>3.6487692000000002E-2</v>
      </c>
      <c r="J175" s="3">
        <v>5.6537327999999998E-2</v>
      </c>
      <c r="K175" s="3">
        <v>3.3325441999999997E-2</v>
      </c>
      <c r="L175" s="3">
        <v>9.1298454000000001E-2</v>
      </c>
      <c r="M175" s="3">
        <v>3.2673589000000003E-2</v>
      </c>
      <c r="N175" s="3">
        <v>9.2169476E-2</v>
      </c>
      <c r="O175" s="3">
        <v>5.2193265000000003E-2</v>
      </c>
      <c r="P175" s="3">
        <v>6.5106354000000005E-2</v>
      </c>
      <c r="Q175" s="3">
        <v>3.4973047E-2</v>
      </c>
      <c r="R175" s="3">
        <v>3.8899214000000001E-2</v>
      </c>
      <c r="S175" s="3">
        <v>4.8267496999999999E-2</v>
      </c>
      <c r="T175" s="3">
        <v>2.3458260000000002E-2</v>
      </c>
      <c r="U175" s="3">
        <v>4.9881368000000002E-2</v>
      </c>
      <c r="V175" s="3">
        <v>1.1062017212598427E-2</v>
      </c>
      <c r="W175" s="3">
        <v>0.14393293331008244</v>
      </c>
      <c r="X175" s="3">
        <v>0.10533065381568196</v>
      </c>
      <c r="Y175" s="3">
        <v>0.17354519465658427</v>
      </c>
      <c r="Z175" s="3">
        <v>0.13513939963719526</v>
      </c>
      <c r="AA175" s="3">
        <v>9.7414098816652639E-2</v>
      </c>
      <c r="AB175">
        <v>0</v>
      </c>
      <c r="AC175">
        <v>0</v>
      </c>
      <c r="AD175">
        <v>0</v>
      </c>
    </row>
    <row r="176" spans="1:30" x14ac:dyDescent="0.3">
      <c r="A176" s="1">
        <v>45196</v>
      </c>
      <c r="B176" s="3">
        <v>2.2167571E-2</v>
      </c>
      <c r="C176" s="3">
        <v>3.9521529E-2</v>
      </c>
      <c r="D176" s="3">
        <v>5.2474389000000003E-2</v>
      </c>
      <c r="E176" s="3">
        <v>4.4827345999999997E-2</v>
      </c>
      <c r="F176" s="3">
        <v>6.6759697000000007E-2</v>
      </c>
      <c r="G176" s="3">
        <v>5.3356242999999998E-2</v>
      </c>
      <c r="H176" s="3">
        <v>4.1271198000000002E-2</v>
      </c>
      <c r="I176" s="3">
        <v>5.2045038000000002E-2</v>
      </c>
      <c r="J176" s="3">
        <v>3.8702093E-2</v>
      </c>
      <c r="K176" s="3">
        <v>2.8727899000000001E-2</v>
      </c>
      <c r="L176" s="3">
        <v>7.9951567000000001E-2</v>
      </c>
      <c r="M176" s="3">
        <v>3.6487692000000002E-2</v>
      </c>
      <c r="N176" s="3">
        <v>5.6537327999999998E-2</v>
      </c>
      <c r="O176" s="3">
        <v>3.3325441999999997E-2</v>
      </c>
      <c r="P176" s="3">
        <v>9.1298454000000001E-2</v>
      </c>
      <c r="Q176" s="3">
        <v>3.2673589000000003E-2</v>
      </c>
      <c r="R176" s="3">
        <v>9.2169476E-2</v>
      </c>
      <c r="S176" s="3">
        <v>5.2193265000000003E-2</v>
      </c>
      <c r="T176" s="3">
        <v>6.5106354000000005E-2</v>
      </c>
      <c r="U176" s="3">
        <v>3.4973047E-2</v>
      </c>
      <c r="V176" s="3">
        <v>1.1062017212598427E-2</v>
      </c>
      <c r="W176" s="3">
        <v>0.14375704997177505</v>
      </c>
      <c r="X176" s="3">
        <v>0.10512349607567847</v>
      </c>
      <c r="Y176" s="3">
        <v>0.18991335625709146</v>
      </c>
      <c r="Z176" s="3">
        <v>0.13514724462794622</v>
      </c>
      <c r="AA176" s="3">
        <v>9.7670146639406139E-2</v>
      </c>
      <c r="AB176">
        <v>0</v>
      </c>
      <c r="AC176">
        <v>0</v>
      </c>
      <c r="AD176">
        <v>0</v>
      </c>
    </row>
    <row r="177" spans="1:30" x14ac:dyDescent="0.3">
      <c r="A177" s="1">
        <v>45197</v>
      </c>
      <c r="B177" s="3">
        <v>6.8246554000000001E-2</v>
      </c>
      <c r="C177" s="3">
        <v>2.2701453E-2</v>
      </c>
      <c r="D177" s="3">
        <v>9.4706147000000004E-2</v>
      </c>
      <c r="E177" s="3">
        <v>3.1313997000000003E-2</v>
      </c>
      <c r="F177" s="3">
        <v>2.2167571E-2</v>
      </c>
      <c r="G177" s="3">
        <v>3.9521529E-2</v>
      </c>
      <c r="H177" s="3">
        <v>5.2474389000000003E-2</v>
      </c>
      <c r="I177" s="3">
        <v>4.4827345999999997E-2</v>
      </c>
      <c r="J177" s="3">
        <v>6.6759697000000007E-2</v>
      </c>
      <c r="K177" s="3">
        <v>5.3356242999999998E-2</v>
      </c>
      <c r="L177" s="3">
        <v>4.1271198000000002E-2</v>
      </c>
      <c r="M177" s="3">
        <v>5.2045038000000002E-2</v>
      </c>
      <c r="N177" s="3">
        <v>3.8702093E-2</v>
      </c>
      <c r="O177" s="3">
        <v>2.8727899000000001E-2</v>
      </c>
      <c r="P177" s="3">
        <v>7.9951567000000001E-2</v>
      </c>
      <c r="Q177" s="3">
        <v>3.6487692000000002E-2</v>
      </c>
      <c r="R177" s="3">
        <v>5.6537327999999998E-2</v>
      </c>
      <c r="S177" s="3">
        <v>3.3325441999999997E-2</v>
      </c>
      <c r="T177" s="3">
        <v>9.1298454000000001E-2</v>
      </c>
      <c r="U177" s="3">
        <v>3.2673589000000003E-2</v>
      </c>
      <c r="V177" s="3">
        <v>3.1262333512896152E-2</v>
      </c>
      <c r="W177" s="3">
        <v>0.14359625508898585</v>
      </c>
      <c r="X177" s="3">
        <v>0.10589338648984845</v>
      </c>
      <c r="Y177" s="3">
        <v>0.18991335625709146</v>
      </c>
      <c r="Z177" s="3">
        <v>0.13519175902891709</v>
      </c>
      <c r="AA177" s="3">
        <v>9.7756571183245988E-2</v>
      </c>
      <c r="AB177">
        <v>0</v>
      </c>
      <c r="AC177">
        <v>0</v>
      </c>
      <c r="AD177">
        <v>0</v>
      </c>
    </row>
    <row r="178" spans="1:30" x14ac:dyDescent="0.3">
      <c r="A178" s="1">
        <v>45201</v>
      </c>
      <c r="B178" s="3">
        <v>4.5244523000000002E-2</v>
      </c>
      <c r="C178" s="3">
        <v>4.0374360999999998E-2</v>
      </c>
      <c r="D178" s="3">
        <v>9.0665079999999995E-2</v>
      </c>
      <c r="E178" s="3">
        <v>4.6606307E-2</v>
      </c>
      <c r="F178" s="3">
        <v>6.8246554000000001E-2</v>
      </c>
      <c r="G178" s="3">
        <v>2.2701453E-2</v>
      </c>
      <c r="H178" s="3">
        <v>9.4706147000000004E-2</v>
      </c>
      <c r="I178" s="3">
        <v>3.1313997000000003E-2</v>
      </c>
      <c r="J178" s="3">
        <v>2.2167571E-2</v>
      </c>
      <c r="K178" s="3">
        <v>3.9521529E-2</v>
      </c>
      <c r="L178" s="3">
        <v>5.2474389000000003E-2</v>
      </c>
      <c r="M178" s="3">
        <v>4.4827345999999997E-2</v>
      </c>
      <c r="N178" s="3">
        <v>6.6759697000000007E-2</v>
      </c>
      <c r="O178" s="3">
        <v>5.3356242999999998E-2</v>
      </c>
      <c r="P178" s="3">
        <v>4.1271198000000002E-2</v>
      </c>
      <c r="Q178" s="3">
        <v>5.2045038000000002E-2</v>
      </c>
      <c r="R178" s="3">
        <v>3.8702093E-2</v>
      </c>
      <c r="S178" s="3">
        <v>2.8727899000000001E-2</v>
      </c>
      <c r="T178" s="3">
        <v>7.9951567000000001E-2</v>
      </c>
      <c r="U178" s="3">
        <v>3.6487692000000002E-2</v>
      </c>
      <c r="V178" s="3">
        <v>0.11774933771056165</v>
      </c>
      <c r="W178" s="3">
        <v>0.13818735528216494</v>
      </c>
      <c r="X178" s="3">
        <v>0.10141639542408289</v>
      </c>
      <c r="Y178" s="3">
        <v>0.18991335625709146</v>
      </c>
      <c r="Z178" s="3">
        <v>0.13557353874218478</v>
      </c>
      <c r="AA178" s="3">
        <v>9.8155009357090608E-2</v>
      </c>
      <c r="AB178">
        <v>0</v>
      </c>
      <c r="AC178">
        <v>0</v>
      </c>
      <c r="AD178">
        <v>0</v>
      </c>
    </row>
    <row r="179" spans="1:30" x14ac:dyDescent="0.3">
      <c r="A179" s="1">
        <v>45202</v>
      </c>
      <c r="B179" s="3">
        <v>6.124454E-2</v>
      </c>
      <c r="C179" s="3">
        <v>3.7161619E-2</v>
      </c>
      <c r="D179" s="3">
        <v>4.9150695000000001E-2</v>
      </c>
      <c r="E179" s="3">
        <v>4.9350836000000002E-2</v>
      </c>
      <c r="F179" s="3">
        <v>4.5244523000000002E-2</v>
      </c>
      <c r="G179" s="3">
        <v>4.0374360999999998E-2</v>
      </c>
      <c r="H179" s="3">
        <v>9.0665079999999995E-2</v>
      </c>
      <c r="I179" s="3">
        <v>4.6606307E-2</v>
      </c>
      <c r="J179" s="3">
        <v>6.8246554000000001E-2</v>
      </c>
      <c r="K179" s="3">
        <v>2.2701453E-2</v>
      </c>
      <c r="L179" s="3">
        <v>9.4706147000000004E-2</v>
      </c>
      <c r="M179" s="3">
        <v>3.1313997000000003E-2</v>
      </c>
      <c r="N179" s="3">
        <v>2.2167571E-2</v>
      </c>
      <c r="O179" s="3">
        <v>3.9521529E-2</v>
      </c>
      <c r="P179" s="3">
        <v>5.2474389000000003E-2</v>
      </c>
      <c r="Q179" s="3">
        <v>4.4827345999999997E-2</v>
      </c>
      <c r="R179" s="3">
        <v>6.6759697000000007E-2</v>
      </c>
      <c r="S179" s="3">
        <v>5.3356242999999998E-2</v>
      </c>
      <c r="T179" s="3">
        <v>4.1271198000000002E-2</v>
      </c>
      <c r="U179" s="3">
        <v>5.2045038000000002E-2</v>
      </c>
      <c r="V179" s="3">
        <v>0.11774933771056165</v>
      </c>
      <c r="W179" s="3">
        <v>0.13828621593149928</v>
      </c>
      <c r="X179" s="3">
        <v>0.10148437918820558</v>
      </c>
      <c r="Y179" s="3">
        <v>0.17354519465658427</v>
      </c>
      <c r="Z179" s="3">
        <v>0.13599709850205396</v>
      </c>
      <c r="AA179" s="3">
        <v>9.8078810178512596E-2</v>
      </c>
      <c r="AB179">
        <v>1</v>
      </c>
      <c r="AC179">
        <v>0</v>
      </c>
      <c r="AD179">
        <v>1</v>
      </c>
    </row>
    <row r="180" spans="1:30" x14ac:dyDescent="0.3">
      <c r="A180" s="1">
        <v>45203</v>
      </c>
      <c r="B180" s="3">
        <v>6.0021602E-2</v>
      </c>
      <c r="C180" s="3">
        <v>5.0901809999999999E-2</v>
      </c>
      <c r="D180" s="3">
        <v>3.8652625000000003E-2</v>
      </c>
      <c r="E180" s="3">
        <v>5.0345031999999998E-2</v>
      </c>
      <c r="F180" s="3">
        <v>6.124454E-2</v>
      </c>
      <c r="G180" s="3">
        <v>3.7161619E-2</v>
      </c>
      <c r="H180" s="3">
        <v>4.9150695000000001E-2</v>
      </c>
      <c r="I180" s="3">
        <v>4.9350836000000002E-2</v>
      </c>
      <c r="J180" s="3">
        <v>4.5244523000000002E-2</v>
      </c>
      <c r="K180" s="3">
        <v>4.0374360999999998E-2</v>
      </c>
      <c r="L180" s="3">
        <v>9.0665079999999995E-2</v>
      </c>
      <c r="M180" s="3">
        <v>4.6606307E-2</v>
      </c>
      <c r="N180" s="3">
        <v>6.8246554000000001E-2</v>
      </c>
      <c r="O180" s="3">
        <v>2.2701453E-2</v>
      </c>
      <c r="P180" s="3">
        <v>9.4706147000000004E-2</v>
      </c>
      <c r="Q180" s="3">
        <v>3.1313997000000003E-2</v>
      </c>
      <c r="R180" s="3">
        <v>2.2167571E-2</v>
      </c>
      <c r="S180" s="3">
        <v>3.9521529E-2</v>
      </c>
      <c r="T180" s="3">
        <v>5.2474389000000003E-2</v>
      </c>
      <c r="U180" s="3">
        <v>4.4827345999999997E-2</v>
      </c>
      <c r="V180" s="3">
        <v>0.11774933771056165</v>
      </c>
      <c r="W180" s="3">
        <v>0.14085837664924628</v>
      </c>
      <c r="X180" s="3">
        <v>0.10309547662839252</v>
      </c>
      <c r="Y180" s="3">
        <v>0.15237483868634535</v>
      </c>
      <c r="Z180" s="3">
        <v>0.13739635007352391</v>
      </c>
      <c r="AA180" s="3">
        <v>9.8976484028919134E-2</v>
      </c>
      <c r="AB180">
        <v>1</v>
      </c>
      <c r="AC180">
        <v>0</v>
      </c>
      <c r="AD180">
        <v>1</v>
      </c>
    </row>
    <row r="181" spans="1:30" x14ac:dyDescent="0.3">
      <c r="A181" s="1">
        <v>45204</v>
      </c>
      <c r="B181" s="3">
        <v>9.3939915999999998E-2</v>
      </c>
      <c r="C181" s="3">
        <v>0.10753868499999999</v>
      </c>
      <c r="D181" s="3">
        <v>0.134211264</v>
      </c>
      <c r="E181" s="3">
        <v>6.3167459999999995E-2</v>
      </c>
      <c r="F181" s="3">
        <v>6.0021602E-2</v>
      </c>
      <c r="G181" s="3">
        <v>5.0901809999999999E-2</v>
      </c>
      <c r="H181" s="3">
        <v>3.8652625000000003E-2</v>
      </c>
      <c r="I181" s="3">
        <v>5.0345031999999998E-2</v>
      </c>
      <c r="J181" s="3">
        <v>6.124454E-2</v>
      </c>
      <c r="K181" s="3">
        <v>3.7161619E-2</v>
      </c>
      <c r="L181" s="3">
        <v>4.9150695000000001E-2</v>
      </c>
      <c r="M181" s="3">
        <v>4.9350836000000002E-2</v>
      </c>
      <c r="N181" s="3">
        <v>4.5244523000000002E-2</v>
      </c>
      <c r="O181" s="3">
        <v>4.0374360999999998E-2</v>
      </c>
      <c r="P181" s="3">
        <v>9.0665079999999995E-2</v>
      </c>
      <c r="Q181" s="3">
        <v>4.6606307E-2</v>
      </c>
      <c r="R181" s="3">
        <v>6.8246554000000001E-2</v>
      </c>
      <c r="S181" s="3">
        <v>2.2701453E-2</v>
      </c>
      <c r="T181" s="3">
        <v>9.4706147000000004E-2</v>
      </c>
      <c r="U181" s="3">
        <v>3.1313997000000003E-2</v>
      </c>
      <c r="V181" s="3">
        <v>0.11774933771056165</v>
      </c>
      <c r="W181" s="3">
        <v>0.13871195976288936</v>
      </c>
      <c r="X181" s="3">
        <v>0.10245879202408571</v>
      </c>
      <c r="Y181" s="3">
        <v>0.17354519465658427</v>
      </c>
      <c r="Z181" s="3">
        <v>0.13794011553438346</v>
      </c>
      <c r="AA181" s="3">
        <v>9.9558751642886439E-2</v>
      </c>
      <c r="AB181">
        <v>0</v>
      </c>
      <c r="AC181">
        <v>0</v>
      </c>
      <c r="AD181">
        <v>0</v>
      </c>
    </row>
    <row r="182" spans="1:30" x14ac:dyDescent="0.3">
      <c r="A182" s="1">
        <v>45205</v>
      </c>
      <c r="B182" s="3">
        <v>8.0577502999999995E-2</v>
      </c>
      <c r="C182" s="3">
        <v>4.8362115999999997E-2</v>
      </c>
      <c r="D182" s="3">
        <v>0.10708258499999999</v>
      </c>
      <c r="E182" s="3">
        <v>3.3687160000000001E-2</v>
      </c>
      <c r="F182" s="3">
        <v>9.3939915999999998E-2</v>
      </c>
      <c r="G182" s="3">
        <v>0.10753868499999999</v>
      </c>
      <c r="H182" s="3">
        <v>0.134211264</v>
      </c>
      <c r="I182" s="3">
        <v>6.3167459999999995E-2</v>
      </c>
      <c r="J182" s="3">
        <v>6.0021602E-2</v>
      </c>
      <c r="K182" s="3">
        <v>5.0901809999999999E-2</v>
      </c>
      <c r="L182" s="3">
        <v>3.8652625000000003E-2</v>
      </c>
      <c r="M182" s="3">
        <v>5.0345031999999998E-2</v>
      </c>
      <c r="N182" s="3">
        <v>6.124454E-2</v>
      </c>
      <c r="O182" s="3">
        <v>3.7161619E-2</v>
      </c>
      <c r="P182" s="3">
        <v>4.9150695000000001E-2</v>
      </c>
      <c r="Q182" s="3">
        <v>4.9350836000000002E-2</v>
      </c>
      <c r="R182" s="3">
        <v>4.5244523000000002E-2</v>
      </c>
      <c r="S182" s="3">
        <v>4.0374360999999998E-2</v>
      </c>
      <c r="T182" s="3">
        <v>9.0665079999999995E-2</v>
      </c>
      <c r="U182" s="3">
        <v>4.6606307E-2</v>
      </c>
      <c r="V182" s="3">
        <v>0.11774933771056165</v>
      </c>
      <c r="W182" s="3">
        <v>0.13877733307841228</v>
      </c>
      <c r="X182" s="3">
        <v>0.10251759445834695</v>
      </c>
      <c r="Y182" s="3">
        <v>0.17354519465658427</v>
      </c>
      <c r="Z182" s="3">
        <v>0.13745784044645304</v>
      </c>
      <c r="AA182" s="3">
        <v>9.923627269045833E-2</v>
      </c>
      <c r="AB182">
        <v>0</v>
      </c>
      <c r="AC182">
        <v>0</v>
      </c>
      <c r="AD182">
        <v>0</v>
      </c>
    </row>
    <row r="183" spans="1:30" x14ac:dyDescent="0.3">
      <c r="A183" s="1">
        <v>45210</v>
      </c>
      <c r="B183" s="3">
        <v>7.3419801000000007E-2</v>
      </c>
      <c r="C183" s="3">
        <v>6.5777762000000004E-2</v>
      </c>
      <c r="D183" s="3">
        <v>9.2670398000000001E-2</v>
      </c>
      <c r="E183" s="3">
        <v>8.4586156999999995E-2</v>
      </c>
      <c r="F183" s="3">
        <v>8.0577502999999995E-2</v>
      </c>
      <c r="G183" s="3">
        <v>4.8362115999999997E-2</v>
      </c>
      <c r="H183" s="3">
        <v>0.10708258499999999</v>
      </c>
      <c r="I183" s="3">
        <v>3.3687160000000001E-2</v>
      </c>
      <c r="J183" s="3">
        <v>9.3939915999999998E-2</v>
      </c>
      <c r="K183" s="3">
        <v>0.10753868499999999</v>
      </c>
      <c r="L183" s="3">
        <v>0.134211264</v>
      </c>
      <c r="M183" s="3">
        <v>6.3167459999999995E-2</v>
      </c>
      <c r="N183" s="3">
        <v>6.0021602E-2</v>
      </c>
      <c r="O183" s="3">
        <v>5.0901809999999999E-2</v>
      </c>
      <c r="P183" s="3">
        <v>3.8652625000000003E-2</v>
      </c>
      <c r="Q183" s="3">
        <v>5.0345031999999998E-2</v>
      </c>
      <c r="R183" s="3">
        <v>6.124454E-2</v>
      </c>
      <c r="S183" s="3">
        <v>3.7161619E-2</v>
      </c>
      <c r="T183" s="3">
        <v>4.9150695000000001E-2</v>
      </c>
      <c r="U183" s="3">
        <v>4.9350836000000002E-2</v>
      </c>
      <c r="V183" s="3">
        <v>0.11774933771056165</v>
      </c>
      <c r="W183" s="3">
        <v>0.13835262686777205</v>
      </c>
      <c r="X183" s="3">
        <v>0.1022121653324489</v>
      </c>
      <c r="Y183" s="3">
        <v>0.17354519465658427</v>
      </c>
      <c r="Z183" s="3">
        <v>0.13761095955870062</v>
      </c>
      <c r="AA183" s="3">
        <v>9.947834607818215E-2</v>
      </c>
      <c r="AB183">
        <v>0</v>
      </c>
      <c r="AC183">
        <v>0</v>
      </c>
      <c r="AD183">
        <v>0</v>
      </c>
    </row>
    <row r="184" spans="1:30" x14ac:dyDescent="0.3">
      <c r="A184" s="1">
        <v>45211</v>
      </c>
      <c r="B184" s="3">
        <v>0.10929531300000001</v>
      </c>
      <c r="C184" s="3">
        <v>6.3902313000000002E-2</v>
      </c>
      <c r="D184" s="3">
        <v>0.19221086800000001</v>
      </c>
      <c r="E184" s="3">
        <v>0.123895081</v>
      </c>
      <c r="F184" s="3">
        <v>7.3419801000000007E-2</v>
      </c>
      <c r="G184" s="3">
        <v>6.5777762000000004E-2</v>
      </c>
      <c r="H184" s="3">
        <v>9.2670398000000001E-2</v>
      </c>
      <c r="I184" s="3">
        <v>8.4586156999999995E-2</v>
      </c>
      <c r="J184" s="3">
        <v>8.0577502999999995E-2</v>
      </c>
      <c r="K184" s="3">
        <v>4.8362115999999997E-2</v>
      </c>
      <c r="L184" s="3">
        <v>0.10708258499999999</v>
      </c>
      <c r="M184" s="3">
        <v>3.3687160000000001E-2</v>
      </c>
      <c r="N184" s="3">
        <v>9.3939915999999998E-2</v>
      </c>
      <c r="O184" s="3">
        <v>0.10753868499999999</v>
      </c>
      <c r="P184" s="3">
        <v>0.134211264</v>
      </c>
      <c r="Q184" s="3">
        <v>6.3167459999999995E-2</v>
      </c>
      <c r="R184" s="3">
        <v>6.0021602E-2</v>
      </c>
      <c r="S184" s="3">
        <v>5.0901809999999999E-2</v>
      </c>
      <c r="T184" s="3">
        <v>3.8652625000000003E-2</v>
      </c>
      <c r="U184" s="3">
        <v>5.0345031999999998E-2</v>
      </c>
      <c r="V184" s="3">
        <v>0.11774933771056165</v>
      </c>
      <c r="W184" s="3">
        <v>0.13639668684648623</v>
      </c>
      <c r="X184" s="3">
        <v>0.10156129540341738</v>
      </c>
      <c r="Y184" s="3">
        <v>0.18991335625709146</v>
      </c>
      <c r="Z184" s="3">
        <v>0.1380534073919425</v>
      </c>
      <c r="AA184" s="3">
        <v>0.10016928012234054</v>
      </c>
      <c r="AB184">
        <v>0</v>
      </c>
      <c r="AC184">
        <v>1</v>
      </c>
      <c r="AD184">
        <v>1</v>
      </c>
    </row>
    <row r="185" spans="1:30" x14ac:dyDescent="0.3">
      <c r="A185" s="1">
        <v>45212</v>
      </c>
      <c r="B185" s="3">
        <v>0.13692720799999999</v>
      </c>
      <c r="C185" s="3">
        <v>6.5910438000000002E-2</v>
      </c>
      <c r="D185" s="3">
        <v>0.16990798600000001</v>
      </c>
      <c r="E185" s="3">
        <v>0.10613588</v>
      </c>
      <c r="F185" s="3">
        <v>0.10929531300000001</v>
      </c>
      <c r="G185" s="3">
        <v>6.3902313000000002E-2</v>
      </c>
      <c r="H185" s="3">
        <v>0.19221086800000001</v>
      </c>
      <c r="I185" s="3">
        <v>0.123895081</v>
      </c>
      <c r="J185" s="3">
        <v>7.3419801000000007E-2</v>
      </c>
      <c r="K185" s="3">
        <v>6.5777762000000004E-2</v>
      </c>
      <c r="L185" s="3">
        <v>9.2670398000000001E-2</v>
      </c>
      <c r="M185" s="3">
        <v>8.4586156999999995E-2</v>
      </c>
      <c r="N185" s="3">
        <v>8.0577502999999995E-2</v>
      </c>
      <c r="O185" s="3">
        <v>4.8362115999999997E-2</v>
      </c>
      <c r="P185" s="3">
        <v>0.10708258499999999</v>
      </c>
      <c r="Q185" s="3">
        <v>3.3687160000000001E-2</v>
      </c>
      <c r="R185" s="3">
        <v>9.3939915999999998E-2</v>
      </c>
      <c r="S185" s="3">
        <v>0.10753868499999999</v>
      </c>
      <c r="T185" s="3">
        <v>0.134211264</v>
      </c>
      <c r="U185" s="3">
        <v>6.3167459999999995E-2</v>
      </c>
      <c r="V185" s="3">
        <v>3.1262333512896152E-2</v>
      </c>
      <c r="W185" s="3">
        <v>0.13637526962283389</v>
      </c>
      <c r="X185" s="3">
        <v>0.1009436026064089</v>
      </c>
      <c r="Y185" s="3">
        <v>0.18991335625709146</v>
      </c>
      <c r="Z185" s="3">
        <v>0.13765937123940383</v>
      </c>
      <c r="AA185" s="3">
        <v>9.9942127877233347E-2</v>
      </c>
      <c r="AB185">
        <v>0</v>
      </c>
      <c r="AC185">
        <v>1</v>
      </c>
      <c r="AD185">
        <v>1</v>
      </c>
    </row>
    <row r="186" spans="1:30" x14ac:dyDescent="0.3">
      <c r="A186" s="1">
        <v>45215</v>
      </c>
      <c r="B186" s="3">
        <v>0.20815339199999999</v>
      </c>
      <c r="C186" s="3">
        <v>0.114055215</v>
      </c>
      <c r="D186" s="3">
        <v>0.22942114699999999</v>
      </c>
      <c r="E186" s="3">
        <v>0.182018766</v>
      </c>
      <c r="F186" s="3">
        <v>0.13692720799999999</v>
      </c>
      <c r="G186" s="3">
        <v>6.5910438000000002E-2</v>
      </c>
      <c r="H186" s="3">
        <v>0.16990798600000001</v>
      </c>
      <c r="I186" s="3">
        <v>0.10613588</v>
      </c>
      <c r="J186" s="3">
        <v>0.10929531300000001</v>
      </c>
      <c r="K186" s="3">
        <v>6.3902313000000002E-2</v>
      </c>
      <c r="L186" s="3">
        <v>0.19221086800000001</v>
      </c>
      <c r="M186" s="3">
        <v>0.123895081</v>
      </c>
      <c r="N186" s="3">
        <v>7.3419801000000007E-2</v>
      </c>
      <c r="O186" s="3">
        <v>6.5777762000000004E-2</v>
      </c>
      <c r="P186" s="3">
        <v>9.2670398000000001E-2</v>
      </c>
      <c r="Q186" s="3">
        <v>8.4586156999999995E-2</v>
      </c>
      <c r="R186" s="3">
        <v>8.0577502999999995E-2</v>
      </c>
      <c r="S186" s="3">
        <v>4.8362115999999997E-2</v>
      </c>
      <c r="T186" s="3">
        <v>0.10708258499999999</v>
      </c>
      <c r="U186" s="3">
        <v>3.3687160000000001E-2</v>
      </c>
      <c r="V186" s="3">
        <v>3.1262333512896152E-2</v>
      </c>
      <c r="W186" s="3">
        <v>0.13601823027903687</v>
      </c>
      <c r="X186" s="3">
        <v>0.10075723985093687</v>
      </c>
      <c r="Y186" s="3">
        <v>0.18991335625709146</v>
      </c>
      <c r="Z186" s="3">
        <v>0.13771145622676501</v>
      </c>
      <c r="AA186" s="3">
        <v>9.9970892271310785E-2</v>
      </c>
      <c r="AB186">
        <v>0</v>
      </c>
      <c r="AC186">
        <v>1</v>
      </c>
      <c r="AD186">
        <v>1</v>
      </c>
    </row>
    <row r="187" spans="1:30" x14ac:dyDescent="0.3">
      <c r="A187" s="1">
        <v>45216</v>
      </c>
      <c r="B187" s="3">
        <v>0.22190908200000001</v>
      </c>
      <c r="C187" s="3">
        <v>0.123729556</v>
      </c>
      <c r="D187" s="3">
        <v>0.19133445800000001</v>
      </c>
      <c r="E187" s="3">
        <v>0.28537619800000003</v>
      </c>
      <c r="F187" s="3">
        <v>0.20815339199999999</v>
      </c>
      <c r="G187" s="3">
        <v>0.114055215</v>
      </c>
      <c r="H187" s="3">
        <v>0.22942114699999999</v>
      </c>
      <c r="I187" s="3">
        <v>0.182018766</v>
      </c>
      <c r="J187" s="3">
        <v>0.13692720799999999</v>
      </c>
      <c r="K187" s="3">
        <v>6.5910438000000002E-2</v>
      </c>
      <c r="L187" s="3">
        <v>0.16990798600000001</v>
      </c>
      <c r="M187" s="3">
        <v>0.10613588</v>
      </c>
      <c r="N187" s="3">
        <v>0.10929531300000001</v>
      </c>
      <c r="O187" s="3">
        <v>6.3902313000000002E-2</v>
      </c>
      <c r="P187" s="3">
        <v>0.19221086800000001</v>
      </c>
      <c r="Q187" s="3">
        <v>0.123895081</v>
      </c>
      <c r="R187" s="3">
        <v>7.3419801000000007E-2</v>
      </c>
      <c r="S187" s="3">
        <v>6.5777762000000004E-2</v>
      </c>
      <c r="T187" s="3">
        <v>9.2670398000000001E-2</v>
      </c>
      <c r="U187" s="3">
        <v>8.4586156999999995E-2</v>
      </c>
      <c r="V187" s="3">
        <v>3.1262333512896152E-2</v>
      </c>
      <c r="W187" s="3">
        <v>0.13520376162922751</v>
      </c>
      <c r="X187" s="3">
        <v>0.10069515213938793</v>
      </c>
      <c r="Y187" s="3">
        <v>0.18991335625709146</v>
      </c>
      <c r="Z187" s="3">
        <v>0.13715851461408729</v>
      </c>
      <c r="AA187" s="3">
        <v>9.9729611633161089E-2</v>
      </c>
      <c r="AB187">
        <v>0</v>
      </c>
      <c r="AC187">
        <v>1</v>
      </c>
      <c r="AD187">
        <v>1</v>
      </c>
    </row>
    <row r="188" spans="1:30" x14ac:dyDescent="0.3">
      <c r="A188" s="1">
        <v>45217</v>
      </c>
      <c r="B188" s="3">
        <v>4.1486032999999999E-2</v>
      </c>
      <c r="C188" s="3">
        <v>3.3380584999999997E-2</v>
      </c>
      <c r="D188" s="3">
        <v>1.8098972000000001E-2</v>
      </c>
      <c r="E188" s="3">
        <v>3.7494425999999997E-2</v>
      </c>
      <c r="F188" s="3">
        <v>0.22190908200000001</v>
      </c>
      <c r="G188" s="3">
        <v>0.123729556</v>
      </c>
      <c r="H188" s="3">
        <v>0.19133445800000001</v>
      </c>
      <c r="I188" s="3">
        <v>0.28537619800000003</v>
      </c>
      <c r="J188" s="3">
        <v>0.20815339199999999</v>
      </c>
      <c r="K188" s="3">
        <v>0.114055215</v>
      </c>
      <c r="L188" s="3">
        <v>0.22942114699999999</v>
      </c>
      <c r="M188" s="3">
        <v>0.182018766</v>
      </c>
      <c r="N188" s="3">
        <v>0.13692720799999999</v>
      </c>
      <c r="O188" s="3">
        <v>6.5910438000000002E-2</v>
      </c>
      <c r="P188" s="3">
        <v>0.16990798600000001</v>
      </c>
      <c r="Q188" s="3">
        <v>0.10613588</v>
      </c>
      <c r="R188" s="3">
        <v>0.10929531300000001</v>
      </c>
      <c r="S188" s="3">
        <v>6.3902313000000002E-2</v>
      </c>
      <c r="T188" s="3">
        <v>0.19221086800000001</v>
      </c>
      <c r="U188" s="3">
        <v>0.123895081</v>
      </c>
      <c r="V188" s="3">
        <v>1.1062017212598427E-2</v>
      </c>
      <c r="W188" s="3">
        <v>0.13798564573351291</v>
      </c>
      <c r="X188" s="3">
        <v>0.10215193794871094</v>
      </c>
      <c r="Y188" s="3">
        <v>0.17739299914643283</v>
      </c>
      <c r="Z188" s="3">
        <v>0.1389187875988436</v>
      </c>
      <c r="AA188" s="3">
        <v>0.10103290681943872</v>
      </c>
      <c r="AB188">
        <v>0</v>
      </c>
      <c r="AC188">
        <v>0</v>
      </c>
      <c r="AD188">
        <v>0</v>
      </c>
    </row>
    <row r="189" spans="1:30" x14ac:dyDescent="0.3">
      <c r="A189" s="1">
        <v>45218</v>
      </c>
      <c r="B189" s="3">
        <v>7.0875586000000004E-2</v>
      </c>
      <c r="C189" s="3">
        <v>3.2270709000000002E-2</v>
      </c>
      <c r="D189" s="3">
        <v>0.104972025</v>
      </c>
      <c r="E189" s="3">
        <v>4.4552527000000001E-2</v>
      </c>
      <c r="F189" s="3">
        <v>4.1486032999999999E-2</v>
      </c>
      <c r="G189" s="3">
        <v>3.3380584999999997E-2</v>
      </c>
      <c r="H189" s="3">
        <v>1.8098972000000001E-2</v>
      </c>
      <c r="I189" s="3">
        <v>3.7494425999999997E-2</v>
      </c>
      <c r="J189" s="3">
        <v>0.22190908200000001</v>
      </c>
      <c r="K189" s="3">
        <v>0.123729556</v>
      </c>
      <c r="L189" s="3">
        <v>0.19133445800000001</v>
      </c>
      <c r="M189" s="3">
        <v>0.28537619800000003</v>
      </c>
      <c r="N189" s="3">
        <v>0.20815339199999999</v>
      </c>
      <c r="O189" s="3">
        <v>0.114055215</v>
      </c>
      <c r="P189" s="3">
        <v>0.22942114699999999</v>
      </c>
      <c r="Q189" s="3">
        <v>0.182018766</v>
      </c>
      <c r="R189" s="3">
        <v>0.13692720799999999</v>
      </c>
      <c r="S189" s="3">
        <v>6.5910438000000002E-2</v>
      </c>
      <c r="T189" s="3">
        <v>0.16990798600000001</v>
      </c>
      <c r="U189" s="3">
        <v>0.10613588</v>
      </c>
      <c r="V189" s="3">
        <v>3.1262333512896152E-2</v>
      </c>
      <c r="W189" s="3">
        <v>0.1368595517756829</v>
      </c>
      <c r="X189" s="3">
        <v>0.10207367062075243</v>
      </c>
      <c r="Y189" s="3">
        <v>0.19896146475163615</v>
      </c>
      <c r="Z189" s="3">
        <v>0.135710770413764</v>
      </c>
      <c r="AA189" s="3">
        <v>9.8102958613039942E-2</v>
      </c>
      <c r="AB189">
        <v>0</v>
      </c>
      <c r="AC189">
        <v>1</v>
      </c>
      <c r="AD189">
        <v>1</v>
      </c>
    </row>
    <row r="190" spans="1:30" x14ac:dyDescent="0.3">
      <c r="A190" s="1">
        <v>45219</v>
      </c>
      <c r="B190" s="3">
        <v>6.0213506E-2</v>
      </c>
      <c r="C190" s="3">
        <v>3.7014340999999999E-2</v>
      </c>
      <c r="D190" s="3">
        <v>9.5512562999999995E-2</v>
      </c>
      <c r="E190" s="3">
        <v>4.6989153999999998E-2</v>
      </c>
      <c r="F190" s="3">
        <v>7.0875586000000004E-2</v>
      </c>
      <c r="G190" s="3">
        <v>3.2270709000000002E-2</v>
      </c>
      <c r="H190" s="3">
        <v>0.104972025</v>
      </c>
      <c r="I190" s="3">
        <v>4.4552527000000001E-2</v>
      </c>
      <c r="J190" s="3">
        <v>4.1486032999999999E-2</v>
      </c>
      <c r="K190" s="3">
        <v>3.3380584999999997E-2</v>
      </c>
      <c r="L190" s="3">
        <v>1.8098972000000001E-2</v>
      </c>
      <c r="M190" s="3">
        <v>3.7494425999999997E-2</v>
      </c>
      <c r="N190" s="3">
        <v>0.22190908200000001</v>
      </c>
      <c r="O190" s="3">
        <v>0.123729556</v>
      </c>
      <c r="P190" s="3">
        <v>0.19133445800000001</v>
      </c>
      <c r="Q190" s="3">
        <v>0.28537619800000003</v>
      </c>
      <c r="R190" s="3">
        <v>0.20815339199999999</v>
      </c>
      <c r="S190" s="3">
        <v>0.114055215</v>
      </c>
      <c r="T190" s="3">
        <v>0.22942114699999999</v>
      </c>
      <c r="U190" s="3">
        <v>0.182018766</v>
      </c>
      <c r="V190" s="3">
        <v>2.1537198373885551E-2</v>
      </c>
      <c r="W190" s="3">
        <v>0.13684963167333639</v>
      </c>
      <c r="X190" s="3">
        <v>0.10193378022102154</v>
      </c>
      <c r="Y190" s="3">
        <v>0.19896146475163615</v>
      </c>
      <c r="Z190" s="3">
        <v>0.1357269987403639</v>
      </c>
      <c r="AA190" s="3">
        <v>9.8041751761473228E-2</v>
      </c>
      <c r="AB190">
        <v>0</v>
      </c>
      <c r="AC190">
        <v>1</v>
      </c>
      <c r="AD190">
        <v>1</v>
      </c>
    </row>
    <row r="191" spans="1:30" x14ac:dyDescent="0.3">
      <c r="A191" s="1">
        <v>45222</v>
      </c>
      <c r="B191" s="3">
        <v>7.1409453999999997E-2</v>
      </c>
      <c r="C191" s="3">
        <v>3.2444431000000003E-2</v>
      </c>
      <c r="D191" s="3">
        <v>7.2912598999999995E-2</v>
      </c>
      <c r="E191" s="3">
        <v>5.7394295999999997E-2</v>
      </c>
      <c r="F191" s="3">
        <v>6.0213506E-2</v>
      </c>
      <c r="G191" s="3">
        <v>3.7014340999999999E-2</v>
      </c>
      <c r="H191" s="3">
        <v>9.5512562999999995E-2</v>
      </c>
      <c r="I191" s="3">
        <v>4.6989153999999998E-2</v>
      </c>
      <c r="J191" s="3">
        <v>7.0875586000000004E-2</v>
      </c>
      <c r="K191" s="3">
        <v>3.2270709000000002E-2</v>
      </c>
      <c r="L191" s="3">
        <v>0.104972025</v>
      </c>
      <c r="M191" s="3">
        <v>4.4552527000000001E-2</v>
      </c>
      <c r="N191" s="3">
        <v>4.1486032999999999E-2</v>
      </c>
      <c r="O191" s="3">
        <v>3.3380584999999997E-2</v>
      </c>
      <c r="P191" s="3">
        <v>1.8098972000000001E-2</v>
      </c>
      <c r="Q191" s="3">
        <v>3.7494425999999997E-2</v>
      </c>
      <c r="R191" s="3">
        <v>0.22190908200000001</v>
      </c>
      <c r="S191" s="3">
        <v>0.123729556</v>
      </c>
      <c r="T191" s="3">
        <v>0.19133445800000001</v>
      </c>
      <c r="U191" s="3">
        <v>0.28537619800000003</v>
      </c>
      <c r="V191" s="3">
        <v>-6.5630283676373621E-2</v>
      </c>
      <c r="W191" s="3">
        <v>0.13520857361215247</v>
      </c>
      <c r="X191" s="3">
        <v>0.10021823225425561</v>
      </c>
      <c r="Y191" s="3">
        <v>0.17739299914643283</v>
      </c>
      <c r="Z191" s="3">
        <v>0.13625891094122591</v>
      </c>
      <c r="AA191" s="3">
        <v>9.8057536674684059E-2</v>
      </c>
      <c r="AB191">
        <v>0</v>
      </c>
      <c r="AC191">
        <v>0</v>
      </c>
      <c r="AD191">
        <v>0</v>
      </c>
    </row>
    <row r="192" spans="1:30" x14ac:dyDescent="0.3">
      <c r="A192" s="1">
        <v>45223</v>
      </c>
      <c r="B192" s="3">
        <v>3.4336209999999999E-2</v>
      </c>
      <c r="C192" s="3">
        <v>3.4642058000000003E-2</v>
      </c>
      <c r="D192" s="3">
        <v>7.7015670999999994E-2</v>
      </c>
      <c r="E192" s="3">
        <v>5.3501722000000002E-2</v>
      </c>
      <c r="F192" s="3">
        <v>7.1409453999999997E-2</v>
      </c>
      <c r="G192" s="3">
        <v>3.2444431000000003E-2</v>
      </c>
      <c r="H192" s="3">
        <v>7.2912598999999995E-2</v>
      </c>
      <c r="I192" s="3">
        <v>5.7394295999999997E-2</v>
      </c>
      <c r="J192" s="3">
        <v>6.0213506E-2</v>
      </c>
      <c r="K192" s="3">
        <v>3.7014340999999999E-2</v>
      </c>
      <c r="L192" s="3">
        <v>9.5512562999999995E-2</v>
      </c>
      <c r="M192" s="3">
        <v>4.6989153999999998E-2</v>
      </c>
      <c r="N192" s="3">
        <v>7.0875586000000004E-2</v>
      </c>
      <c r="O192" s="3">
        <v>3.2270709000000002E-2</v>
      </c>
      <c r="P192" s="3">
        <v>0.104972025</v>
      </c>
      <c r="Q192" s="3">
        <v>4.4552527000000001E-2</v>
      </c>
      <c r="R192" s="3">
        <v>4.1486032999999999E-2</v>
      </c>
      <c r="S192" s="3">
        <v>3.3380584999999997E-2</v>
      </c>
      <c r="T192" s="3">
        <v>1.8098972000000001E-2</v>
      </c>
      <c r="U192" s="3">
        <v>3.7494425999999997E-2</v>
      </c>
      <c r="V192" s="3">
        <v>2.1537198373885551E-2</v>
      </c>
      <c r="W192" s="3">
        <v>0.13561193896023757</v>
      </c>
      <c r="X192" s="3">
        <v>0.10114285592165419</v>
      </c>
      <c r="Y192" s="3">
        <v>0.17739299914643283</v>
      </c>
      <c r="Z192" s="3">
        <v>0.13514314114941195</v>
      </c>
      <c r="AA192" s="3">
        <v>9.7439526380214317E-2</v>
      </c>
      <c r="AB192">
        <v>0</v>
      </c>
      <c r="AC192">
        <v>1</v>
      </c>
      <c r="AD192">
        <v>1</v>
      </c>
    </row>
    <row r="193" spans="1:30" x14ac:dyDescent="0.3">
      <c r="A193" s="1">
        <v>45224</v>
      </c>
      <c r="B193" s="3">
        <v>3.7977588999999999E-2</v>
      </c>
      <c r="C193" s="3">
        <v>3.6174918E-2</v>
      </c>
      <c r="D193" s="3">
        <v>3.8977312E-2</v>
      </c>
      <c r="E193" s="3">
        <v>5.4296779000000003E-2</v>
      </c>
      <c r="F193" s="3">
        <v>3.4336209999999999E-2</v>
      </c>
      <c r="G193" s="3">
        <v>3.4642058000000003E-2</v>
      </c>
      <c r="H193" s="3">
        <v>7.7015670999999994E-2</v>
      </c>
      <c r="I193" s="3">
        <v>5.3501722000000002E-2</v>
      </c>
      <c r="J193" s="3">
        <v>7.1409453999999997E-2</v>
      </c>
      <c r="K193" s="3">
        <v>3.2444431000000003E-2</v>
      </c>
      <c r="L193" s="3">
        <v>7.2912598999999995E-2</v>
      </c>
      <c r="M193" s="3">
        <v>5.7394295999999997E-2</v>
      </c>
      <c r="N193" s="3">
        <v>6.0213506E-2</v>
      </c>
      <c r="O193" s="3">
        <v>3.7014340999999999E-2</v>
      </c>
      <c r="P193" s="3">
        <v>9.5512562999999995E-2</v>
      </c>
      <c r="Q193" s="3">
        <v>4.6989153999999998E-2</v>
      </c>
      <c r="R193" s="3">
        <v>7.0875586000000004E-2</v>
      </c>
      <c r="S193" s="3">
        <v>3.2270709000000002E-2</v>
      </c>
      <c r="T193" s="3">
        <v>0.104972025</v>
      </c>
      <c r="U193" s="3">
        <v>4.4552527000000001E-2</v>
      </c>
      <c r="V193" s="3">
        <v>2.1537198373885551E-2</v>
      </c>
      <c r="W193" s="3">
        <v>0.13527670687654811</v>
      </c>
      <c r="X193" s="3">
        <v>0.1008695027147946</v>
      </c>
      <c r="Y193" s="3">
        <v>0.17739299914643283</v>
      </c>
      <c r="Z193" s="3">
        <v>0.13519807603301676</v>
      </c>
      <c r="AA193" s="3">
        <v>9.7539470836556341E-2</v>
      </c>
      <c r="AB193">
        <v>0</v>
      </c>
      <c r="AC193">
        <v>1</v>
      </c>
      <c r="AD193">
        <v>1</v>
      </c>
    </row>
    <row r="194" spans="1:30" x14ac:dyDescent="0.3">
      <c r="A194" s="1">
        <v>45225</v>
      </c>
      <c r="B194" s="3">
        <v>0.109278694</v>
      </c>
      <c r="C194" s="3">
        <v>4.2565993000000003E-2</v>
      </c>
      <c r="D194" s="3">
        <v>9.5234505999999997E-2</v>
      </c>
      <c r="E194" s="3">
        <v>7.6531676000000007E-2</v>
      </c>
      <c r="F194" s="3">
        <v>3.7977588999999999E-2</v>
      </c>
      <c r="G194" s="3">
        <v>3.6174918E-2</v>
      </c>
      <c r="H194" s="3">
        <v>3.8977312E-2</v>
      </c>
      <c r="I194" s="3">
        <v>5.4296779000000003E-2</v>
      </c>
      <c r="J194" s="3">
        <v>3.4336209999999999E-2</v>
      </c>
      <c r="K194" s="3">
        <v>3.4642058000000003E-2</v>
      </c>
      <c r="L194" s="3">
        <v>7.7015670999999994E-2</v>
      </c>
      <c r="M194" s="3">
        <v>5.3501722000000002E-2</v>
      </c>
      <c r="N194" s="3">
        <v>7.1409453999999997E-2</v>
      </c>
      <c r="O194" s="3">
        <v>3.2444431000000003E-2</v>
      </c>
      <c r="P194" s="3">
        <v>7.2912598999999995E-2</v>
      </c>
      <c r="Q194" s="3">
        <v>5.7394295999999997E-2</v>
      </c>
      <c r="R194" s="3">
        <v>6.0213506E-2</v>
      </c>
      <c r="S194" s="3">
        <v>3.7014340999999999E-2</v>
      </c>
      <c r="T194" s="3">
        <v>9.5512562999999995E-2</v>
      </c>
      <c r="U194" s="3">
        <v>4.6989153999999998E-2</v>
      </c>
      <c r="V194" s="3">
        <v>-6.5630283676373621E-2</v>
      </c>
      <c r="W194" s="3">
        <v>0.1411163702748098</v>
      </c>
      <c r="X194" s="3">
        <v>0.10550491703565655</v>
      </c>
      <c r="Y194" s="3">
        <v>0.17739299914643283</v>
      </c>
      <c r="Z194" s="3">
        <v>0.1384314003792998</v>
      </c>
      <c r="AA194" s="3">
        <v>0.10092263705717419</v>
      </c>
      <c r="AB194">
        <v>1</v>
      </c>
      <c r="AC194">
        <v>0</v>
      </c>
      <c r="AD194">
        <v>1</v>
      </c>
    </row>
    <row r="195" spans="1:30" x14ac:dyDescent="0.3">
      <c r="A195" s="1">
        <v>45226</v>
      </c>
      <c r="B195" s="3">
        <v>8.0163269999999995E-2</v>
      </c>
      <c r="C195" s="3">
        <v>3.2606661000000002E-2</v>
      </c>
      <c r="D195" s="3">
        <v>0.109678582</v>
      </c>
      <c r="E195" s="3">
        <v>4.1639290000000002E-2</v>
      </c>
      <c r="F195" s="3">
        <v>0.109278694</v>
      </c>
      <c r="G195" s="3">
        <v>4.2565993000000003E-2</v>
      </c>
      <c r="H195" s="3">
        <v>9.5234505999999997E-2</v>
      </c>
      <c r="I195" s="3">
        <v>7.6531676000000007E-2</v>
      </c>
      <c r="J195" s="3">
        <v>3.7977588999999999E-2</v>
      </c>
      <c r="K195" s="3">
        <v>3.6174918E-2</v>
      </c>
      <c r="L195" s="3">
        <v>3.8977312E-2</v>
      </c>
      <c r="M195" s="3">
        <v>5.4296779000000003E-2</v>
      </c>
      <c r="N195" s="3">
        <v>3.4336209999999999E-2</v>
      </c>
      <c r="O195" s="3">
        <v>3.4642058000000003E-2</v>
      </c>
      <c r="P195" s="3">
        <v>7.7015670999999994E-2</v>
      </c>
      <c r="Q195" s="3">
        <v>5.3501722000000002E-2</v>
      </c>
      <c r="R195" s="3">
        <v>7.1409453999999997E-2</v>
      </c>
      <c r="S195" s="3">
        <v>3.2444431000000003E-2</v>
      </c>
      <c r="T195" s="3">
        <v>7.2912598999999995E-2</v>
      </c>
      <c r="U195" s="3">
        <v>5.7394295999999997E-2</v>
      </c>
      <c r="V195" s="3">
        <v>2.1537198373885551E-2</v>
      </c>
      <c r="W195" s="3">
        <v>0.14129919887876827</v>
      </c>
      <c r="X195" s="3">
        <v>0.10655428363796532</v>
      </c>
      <c r="Y195" s="3">
        <v>0.17739299914643283</v>
      </c>
      <c r="Z195" s="3">
        <v>0.1384472947350214</v>
      </c>
      <c r="AA195" s="3">
        <v>0.10094029081355284</v>
      </c>
      <c r="AB195">
        <v>1</v>
      </c>
      <c r="AC195">
        <v>0</v>
      </c>
      <c r="AD195">
        <v>1</v>
      </c>
    </row>
    <row r="196" spans="1:30" x14ac:dyDescent="0.3">
      <c r="A196" s="1">
        <v>45229</v>
      </c>
      <c r="B196" s="3">
        <v>7.0782677000000002E-2</v>
      </c>
      <c r="C196" s="3">
        <v>3.9629187000000003E-2</v>
      </c>
      <c r="D196" s="3">
        <v>9.1745161000000006E-2</v>
      </c>
      <c r="E196" s="3">
        <v>5.1940319999999998E-2</v>
      </c>
      <c r="F196" s="3">
        <v>8.0163269999999995E-2</v>
      </c>
      <c r="G196" s="3">
        <v>3.2606661000000002E-2</v>
      </c>
      <c r="H196" s="3">
        <v>0.109678582</v>
      </c>
      <c r="I196" s="3">
        <v>4.1639290000000002E-2</v>
      </c>
      <c r="J196" s="3">
        <v>0.109278694</v>
      </c>
      <c r="K196" s="3">
        <v>4.2565993000000003E-2</v>
      </c>
      <c r="L196" s="3">
        <v>9.5234505999999997E-2</v>
      </c>
      <c r="M196" s="3">
        <v>7.6531676000000007E-2</v>
      </c>
      <c r="N196" s="3">
        <v>3.7977588999999999E-2</v>
      </c>
      <c r="O196" s="3">
        <v>3.6174918E-2</v>
      </c>
      <c r="P196" s="3">
        <v>3.8977312E-2</v>
      </c>
      <c r="Q196" s="3">
        <v>5.4296779000000003E-2</v>
      </c>
      <c r="R196" s="3">
        <v>3.4336209999999999E-2</v>
      </c>
      <c r="S196" s="3">
        <v>3.4642058000000003E-2</v>
      </c>
      <c r="T196" s="3">
        <v>7.7015670999999994E-2</v>
      </c>
      <c r="U196" s="3">
        <v>5.3501722000000002E-2</v>
      </c>
      <c r="V196" s="3">
        <v>2.1537198373885551E-2</v>
      </c>
      <c r="W196" s="3">
        <v>0.14081661020664768</v>
      </c>
      <c r="X196" s="3">
        <v>0.10598289027225152</v>
      </c>
      <c r="Y196" s="3">
        <v>0.15237483868634535</v>
      </c>
      <c r="Z196" s="3">
        <v>0.13844048769965153</v>
      </c>
      <c r="AA196" s="3">
        <v>0.10089390340120219</v>
      </c>
      <c r="AB196">
        <v>1</v>
      </c>
      <c r="AC196">
        <v>0</v>
      </c>
      <c r="AD196">
        <v>1</v>
      </c>
    </row>
    <row r="197" spans="1:30" x14ac:dyDescent="0.3">
      <c r="A197" s="1">
        <v>45230</v>
      </c>
      <c r="B197" s="3">
        <v>8.0457349999999997E-2</v>
      </c>
      <c r="C197" s="3">
        <v>4.1818676999999999E-2</v>
      </c>
      <c r="D197" s="3">
        <v>4.9919650000000003E-2</v>
      </c>
      <c r="E197" s="3">
        <v>6.0109804000000003E-2</v>
      </c>
      <c r="F197" s="3">
        <v>7.0782677000000002E-2</v>
      </c>
      <c r="G197" s="3">
        <v>3.9629187000000003E-2</v>
      </c>
      <c r="H197" s="3">
        <v>9.1745161000000006E-2</v>
      </c>
      <c r="I197" s="3">
        <v>5.1940319999999998E-2</v>
      </c>
      <c r="J197" s="3">
        <v>8.0163269999999995E-2</v>
      </c>
      <c r="K197" s="3">
        <v>3.2606661000000002E-2</v>
      </c>
      <c r="L197" s="3">
        <v>0.109678582</v>
      </c>
      <c r="M197" s="3">
        <v>4.1639290000000002E-2</v>
      </c>
      <c r="N197" s="3">
        <v>0.109278694</v>
      </c>
      <c r="O197" s="3">
        <v>4.2565993000000003E-2</v>
      </c>
      <c r="P197" s="3">
        <v>9.5234505999999997E-2</v>
      </c>
      <c r="Q197" s="3">
        <v>7.6531676000000007E-2</v>
      </c>
      <c r="R197" s="3">
        <v>3.7977588999999999E-2</v>
      </c>
      <c r="S197" s="3">
        <v>3.6174918E-2</v>
      </c>
      <c r="T197" s="3">
        <v>3.8977312E-2</v>
      </c>
      <c r="U197" s="3">
        <v>5.4296779000000003E-2</v>
      </c>
      <c r="V197" s="3">
        <v>2.1537198373885551E-2</v>
      </c>
      <c r="W197" s="3">
        <v>0.13528919707990711</v>
      </c>
      <c r="X197" s="3">
        <v>0.10032456999883278</v>
      </c>
      <c r="Y197" s="3">
        <v>0.12865526869020594</v>
      </c>
      <c r="Z197" s="3">
        <v>0.13935496174866741</v>
      </c>
      <c r="AA197" s="3">
        <v>0.1012273573974555</v>
      </c>
      <c r="AB197">
        <v>1</v>
      </c>
      <c r="AC197">
        <v>0</v>
      </c>
      <c r="AD197">
        <v>1</v>
      </c>
    </row>
    <row r="198" spans="1:30" x14ac:dyDescent="0.3">
      <c r="A198" s="1">
        <v>45231</v>
      </c>
      <c r="B198" s="3">
        <v>5.1580770999999997E-2</v>
      </c>
      <c r="C198" s="3">
        <v>5.8151021999999997E-2</v>
      </c>
      <c r="D198" s="3">
        <v>5.6184062E-2</v>
      </c>
      <c r="E198" s="3">
        <v>7.0473332999999999E-2</v>
      </c>
      <c r="F198" s="3">
        <v>8.0457349999999997E-2</v>
      </c>
      <c r="G198" s="3">
        <v>4.1818676999999999E-2</v>
      </c>
      <c r="H198" s="3">
        <v>4.9919650000000003E-2</v>
      </c>
      <c r="I198" s="3">
        <v>6.0109804000000003E-2</v>
      </c>
      <c r="J198" s="3">
        <v>7.0782677000000002E-2</v>
      </c>
      <c r="K198" s="3">
        <v>3.9629187000000003E-2</v>
      </c>
      <c r="L198" s="3">
        <v>9.1745161000000006E-2</v>
      </c>
      <c r="M198" s="3">
        <v>5.1940319999999998E-2</v>
      </c>
      <c r="N198" s="3">
        <v>8.0163269999999995E-2</v>
      </c>
      <c r="O198" s="3">
        <v>3.2606661000000002E-2</v>
      </c>
      <c r="P198" s="3">
        <v>0.109678582</v>
      </c>
      <c r="Q198" s="3">
        <v>4.1639290000000002E-2</v>
      </c>
      <c r="R198" s="3">
        <v>0.109278694</v>
      </c>
      <c r="S198" s="3">
        <v>4.2565993000000003E-2</v>
      </c>
      <c r="T198" s="3">
        <v>9.5234505999999997E-2</v>
      </c>
      <c r="U198" s="3">
        <v>7.6531676000000007E-2</v>
      </c>
      <c r="V198" s="3">
        <v>7.7661606113915052E-2</v>
      </c>
      <c r="W198" s="3">
        <v>0.1354843250194194</v>
      </c>
      <c r="X198" s="3">
        <v>0.10103913866357704</v>
      </c>
      <c r="Y198" s="3">
        <v>0.12865526869020594</v>
      </c>
      <c r="Z198" s="3">
        <v>0.13937744052683335</v>
      </c>
      <c r="AA198" s="3">
        <v>0.10127288402139135</v>
      </c>
      <c r="AB198">
        <v>1</v>
      </c>
      <c r="AC198">
        <v>0</v>
      </c>
      <c r="AD198">
        <v>1</v>
      </c>
    </row>
    <row r="199" spans="1:30" x14ac:dyDescent="0.3">
      <c r="A199" s="1">
        <v>45232</v>
      </c>
      <c r="B199" s="3">
        <v>7.7072258000000005E-2</v>
      </c>
      <c r="C199" s="3">
        <v>5.1266208000000001E-2</v>
      </c>
      <c r="D199" s="3">
        <v>0.14694258199999999</v>
      </c>
      <c r="E199" s="3">
        <v>5.4554419999999999E-2</v>
      </c>
      <c r="F199" s="3">
        <v>5.1580770999999997E-2</v>
      </c>
      <c r="G199" s="3">
        <v>5.8151021999999997E-2</v>
      </c>
      <c r="H199" s="3">
        <v>5.6184062E-2</v>
      </c>
      <c r="I199" s="3">
        <v>7.0473332999999999E-2</v>
      </c>
      <c r="J199" s="3">
        <v>8.0457349999999997E-2</v>
      </c>
      <c r="K199" s="3">
        <v>4.1818676999999999E-2</v>
      </c>
      <c r="L199" s="3">
        <v>4.9919650000000003E-2</v>
      </c>
      <c r="M199" s="3">
        <v>6.0109804000000003E-2</v>
      </c>
      <c r="N199" s="3">
        <v>7.0782677000000002E-2</v>
      </c>
      <c r="O199" s="3">
        <v>3.9629187000000003E-2</v>
      </c>
      <c r="P199" s="3">
        <v>9.1745161000000006E-2</v>
      </c>
      <c r="Q199" s="3">
        <v>5.1940319999999998E-2</v>
      </c>
      <c r="R199" s="3">
        <v>8.0163269999999995E-2</v>
      </c>
      <c r="S199" s="3">
        <v>3.2606661000000002E-2</v>
      </c>
      <c r="T199" s="3">
        <v>0.109678582</v>
      </c>
      <c r="U199" s="3">
        <v>4.1639290000000002E-2</v>
      </c>
      <c r="V199" s="3">
        <v>7.7661606113915052E-2</v>
      </c>
      <c r="W199" s="3">
        <v>0.14611931508042553</v>
      </c>
      <c r="X199" s="3">
        <v>0.10395850080166615</v>
      </c>
      <c r="Y199" s="3">
        <v>0.15237483868634535</v>
      </c>
      <c r="Z199" s="3">
        <v>0.14417099650920348</v>
      </c>
      <c r="AA199" s="3">
        <v>0.1031205094268861</v>
      </c>
      <c r="AB199">
        <v>1</v>
      </c>
      <c r="AC199">
        <v>0</v>
      </c>
      <c r="AD199">
        <v>1</v>
      </c>
    </row>
    <row r="200" spans="1:30" x14ac:dyDescent="0.3">
      <c r="A200" s="1">
        <v>45233</v>
      </c>
      <c r="B200" s="3">
        <v>7.3340077000000004E-2</v>
      </c>
      <c r="C200" s="3">
        <v>4.4214122000000002E-2</v>
      </c>
      <c r="D200" s="3">
        <v>0.12278349400000001</v>
      </c>
      <c r="E200" s="3">
        <v>7.1990967000000003E-2</v>
      </c>
      <c r="F200" s="3">
        <v>7.7072258000000005E-2</v>
      </c>
      <c r="G200" s="3">
        <v>5.1266208000000001E-2</v>
      </c>
      <c r="H200" s="3">
        <v>0.14694258199999999</v>
      </c>
      <c r="I200" s="3">
        <v>5.4554419999999999E-2</v>
      </c>
      <c r="J200" s="3">
        <v>5.1580770999999997E-2</v>
      </c>
      <c r="K200" s="3">
        <v>5.8151021999999997E-2</v>
      </c>
      <c r="L200" s="3">
        <v>5.6184062E-2</v>
      </c>
      <c r="M200" s="3">
        <v>7.0473332999999999E-2</v>
      </c>
      <c r="N200" s="3">
        <v>8.0457349999999997E-2</v>
      </c>
      <c r="O200" s="3">
        <v>4.1818676999999999E-2</v>
      </c>
      <c r="P200" s="3">
        <v>4.9919650000000003E-2</v>
      </c>
      <c r="Q200" s="3">
        <v>6.0109804000000003E-2</v>
      </c>
      <c r="R200" s="3">
        <v>7.0782677000000002E-2</v>
      </c>
      <c r="S200" s="3">
        <v>3.9629187000000003E-2</v>
      </c>
      <c r="T200" s="3">
        <v>9.1745161000000006E-2</v>
      </c>
      <c r="U200" s="3">
        <v>5.1940319999999998E-2</v>
      </c>
      <c r="V200" s="3">
        <v>0.15367342915029342</v>
      </c>
      <c r="W200" s="3">
        <v>0.1462764561462617</v>
      </c>
      <c r="X200" s="3">
        <v>0.10506189748208926</v>
      </c>
      <c r="Y200" s="3">
        <v>0.17739299914643283</v>
      </c>
      <c r="Z200" s="3">
        <v>0.14380028176753687</v>
      </c>
      <c r="AA200" s="3">
        <v>0.10329001829382409</v>
      </c>
      <c r="AB200">
        <v>0</v>
      </c>
      <c r="AC200">
        <v>0</v>
      </c>
      <c r="AD200">
        <v>0</v>
      </c>
    </row>
    <row r="201" spans="1:30" x14ac:dyDescent="0.3">
      <c r="A201" s="1">
        <v>45236</v>
      </c>
      <c r="B201" s="3">
        <v>7.9885677000000002E-2</v>
      </c>
      <c r="C201" s="3">
        <v>6.6305669999999997E-2</v>
      </c>
      <c r="D201" s="3">
        <v>0.112995019</v>
      </c>
      <c r="E201" s="3">
        <v>5.0862750999999998E-2</v>
      </c>
      <c r="F201" s="3">
        <v>7.3340077000000004E-2</v>
      </c>
      <c r="G201" s="3">
        <v>4.4214122000000002E-2</v>
      </c>
      <c r="H201" s="3">
        <v>0.12278349400000001</v>
      </c>
      <c r="I201" s="3">
        <v>7.1990967000000003E-2</v>
      </c>
      <c r="J201" s="3">
        <v>7.7072258000000005E-2</v>
      </c>
      <c r="K201" s="3">
        <v>5.1266208000000001E-2</v>
      </c>
      <c r="L201" s="3">
        <v>0.14694258199999999</v>
      </c>
      <c r="M201" s="3">
        <v>5.4554419999999999E-2</v>
      </c>
      <c r="N201" s="3">
        <v>5.1580770999999997E-2</v>
      </c>
      <c r="O201" s="3">
        <v>5.8151021999999997E-2</v>
      </c>
      <c r="P201" s="3">
        <v>5.6184062E-2</v>
      </c>
      <c r="Q201" s="3">
        <v>7.0473332999999999E-2</v>
      </c>
      <c r="R201" s="3">
        <v>8.0457349999999997E-2</v>
      </c>
      <c r="S201" s="3">
        <v>4.1818676999999999E-2</v>
      </c>
      <c r="T201" s="3">
        <v>4.9919650000000003E-2</v>
      </c>
      <c r="U201" s="3">
        <v>6.0109804000000003E-2</v>
      </c>
      <c r="V201" s="3">
        <v>0.19896146475163615</v>
      </c>
      <c r="W201" s="3">
        <v>0.1468454227671587</v>
      </c>
      <c r="X201" s="3">
        <v>0.10597178461129347</v>
      </c>
      <c r="Y201" s="3">
        <v>0.19896146475163615</v>
      </c>
      <c r="Z201" s="3">
        <v>0.14398738644942921</v>
      </c>
      <c r="AA201" s="3">
        <v>0.10374839451226427</v>
      </c>
      <c r="AB201">
        <v>0</v>
      </c>
      <c r="AC201">
        <v>0</v>
      </c>
      <c r="AD201">
        <v>0</v>
      </c>
    </row>
    <row r="202" spans="1:30" x14ac:dyDescent="0.3">
      <c r="A202" s="1">
        <v>45237</v>
      </c>
      <c r="B202" s="3">
        <v>5.1354361000000001E-2</v>
      </c>
      <c r="C202" s="3">
        <v>5.1059475999999999E-2</v>
      </c>
      <c r="D202" s="3">
        <v>9.6793213000000003E-2</v>
      </c>
      <c r="E202" s="3">
        <v>6.2250967999999997E-2</v>
      </c>
      <c r="F202" s="3">
        <v>7.9885677000000002E-2</v>
      </c>
      <c r="G202" s="3">
        <v>6.6305669999999997E-2</v>
      </c>
      <c r="H202" s="3">
        <v>0.112995019</v>
      </c>
      <c r="I202" s="3">
        <v>5.0862750999999998E-2</v>
      </c>
      <c r="J202" s="3">
        <v>7.3340077000000004E-2</v>
      </c>
      <c r="K202" s="3">
        <v>4.4214122000000002E-2</v>
      </c>
      <c r="L202" s="3">
        <v>0.12278349400000001</v>
      </c>
      <c r="M202" s="3">
        <v>7.1990967000000003E-2</v>
      </c>
      <c r="N202" s="3">
        <v>7.7072258000000005E-2</v>
      </c>
      <c r="O202" s="3">
        <v>5.1266208000000001E-2</v>
      </c>
      <c r="P202" s="3">
        <v>0.14694258199999999</v>
      </c>
      <c r="Q202" s="3">
        <v>5.4554419999999999E-2</v>
      </c>
      <c r="R202" s="3">
        <v>5.1580770999999997E-2</v>
      </c>
      <c r="S202" s="3">
        <v>5.8151021999999997E-2</v>
      </c>
      <c r="T202" s="3">
        <v>5.6184062E-2</v>
      </c>
      <c r="U202" s="3">
        <v>7.0473332999999999E-2</v>
      </c>
      <c r="V202" s="3">
        <v>0.2164743050820524</v>
      </c>
      <c r="W202" s="3">
        <v>0.14274927216141853</v>
      </c>
      <c r="X202" s="3">
        <v>0.10302640036482576</v>
      </c>
      <c r="Y202" s="3">
        <v>0.2164743050820524</v>
      </c>
      <c r="Z202" s="3">
        <v>0.14398622636740629</v>
      </c>
      <c r="AA202" s="3">
        <v>0.10397760255231615</v>
      </c>
      <c r="AB202">
        <v>0</v>
      </c>
      <c r="AC202">
        <v>0</v>
      </c>
      <c r="AD202">
        <v>0</v>
      </c>
    </row>
    <row r="203" spans="1:30" x14ac:dyDescent="0.3">
      <c r="A203" s="1">
        <v>45238</v>
      </c>
      <c r="B203" s="3">
        <v>4.5251219000000002E-2</v>
      </c>
      <c r="C203" s="3">
        <v>6.4570016999999993E-2</v>
      </c>
      <c r="D203" s="3">
        <v>7.8077737999999994E-2</v>
      </c>
      <c r="E203" s="3">
        <v>6.1300731999999997E-2</v>
      </c>
      <c r="F203" s="3">
        <v>5.1354361000000001E-2</v>
      </c>
      <c r="G203" s="3">
        <v>5.1059475999999999E-2</v>
      </c>
      <c r="H203" s="3">
        <v>9.6793213000000003E-2</v>
      </c>
      <c r="I203" s="3">
        <v>6.2250967999999997E-2</v>
      </c>
      <c r="J203" s="3">
        <v>7.9885677000000002E-2</v>
      </c>
      <c r="K203" s="3">
        <v>6.6305669999999997E-2</v>
      </c>
      <c r="L203" s="3">
        <v>0.112995019</v>
      </c>
      <c r="M203" s="3">
        <v>5.0862750999999998E-2</v>
      </c>
      <c r="N203" s="3">
        <v>7.3340077000000004E-2</v>
      </c>
      <c r="O203" s="3">
        <v>4.4214122000000002E-2</v>
      </c>
      <c r="P203" s="3">
        <v>0.12278349400000001</v>
      </c>
      <c r="Q203" s="3">
        <v>7.1990967000000003E-2</v>
      </c>
      <c r="R203" s="3">
        <v>7.7072258000000005E-2</v>
      </c>
      <c r="S203" s="3">
        <v>5.1266208000000001E-2</v>
      </c>
      <c r="T203" s="3">
        <v>0.14694258199999999</v>
      </c>
      <c r="U203" s="3">
        <v>5.4554419999999999E-2</v>
      </c>
      <c r="V203" s="3">
        <v>0.24555251971800129</v>
      </c>
      <c r="W203" s="3">
        <v>0.14288014019116341</v>
      </c>
      <c r="X203" s="3">
        <v>0.10380299657071415</v>
      </c>
      <c r="Y203" s="3">
        <v>0.2164743050820524</v>
      </c>
      <c r="Z203" s="3">
        <v>0.14247138299995352</v>
      </c>
      <c r="AA203" s="3">
        <v>0.10318458795251031</v>
      </c>
      <c r="AB203">
        <v>1</v>
      </c>
      <c r="AC203">
        <v>0</v>
      </c>
      <c r="AD203">
        <v>1</v>
      </c>
    </row>
    <row r="204" spans="1:30" x14ac:dyDescent="0.3">
      <c r="A204" s="1">
        <v>45239</v>
      </c>
      <c r="B204" s="3">
        <v>0.11705059800000001</v>
      </c>
      <c r="C204" s="3">
        <v>3.3322518000000002E-2</v>
      </c>
      <c r="D204" s="3">
        <v>0.18471032200000001</v>
      </c>
      <c r="E204" s="3">
        <v>0.117242653</v>
      </c>
      <c r="F204" s="3">
        <v>4.5251219000000002E-2</v>
      </c>
      <c r="G204" s="3">
        <v>6.4570016999999993E-2</v>
      </c>
      <c r="H204" s="3">
        <v>7.8077737999999994E-2</v>
      </c>
      <c r="I204" s="3">
        <v>6.1300731999999997E-2</v>
      </c>
      <c r="J204" s="3">
        <v>5.1354361000000001E-2</v>
      </c>
      <c r="K204" s="3">
        <v>5.1059475999999999E-2</v>
      </c>
      <c r="L204" s="3">
        <v>9.6793213000000003E-2</v>
      </c>
      <c r="M204" s="3">
        <v>6.2250967999999997E-2</v>
      </c>
      <c r="N204" s="3">
        <v>7.9885677000000002E-2</v>
      </c>
      <c r="O204" s="3">
        <v>6.6305669999999997E-2</v>
      </c>
      <c r="P204" s="3">
        <v>0.112995019</v>
      </c>
      <c r="Q204" s="3">
        <v>5.0862750999999998E-2</v>
      </c>
      <c r="R204" s="3">
        <v>7.3340077000000004E-2</v>
      </c>
      <c r="S204" s="3">
        <v>4.4214122000000002E-2</v>
      </c>
      <c r="T204" s="3">
        <v>0.12278349400000001</v>
      </c>
      <c r="U204" s="3">
        <v>7.1990967000000003E-2</v>
      </c>
      <c r="V204" s="3">
        <v>0.24555251971800129</v>
      </c>
      <c r="W204" s="3">
        <v>0.14166582691779567</v>
      </c>
      <c r="X204" s="3">
        <v>0.10342625453342746</v>
      </c>
      <c r="Y204" s="3">
        <v>0.19896146475163615</v>
      </c>
      <c r="Z204" s="3">
        <v>0.13987313441073651</v>
      </c>
      <c r="AA204" s="3">
        <v>0.10187967191695545</v>
      </c>
      <c r="AB204">
        <v>1</v>
      </c>
      <c r="AC204">
        <v>0</v>
      </c>
      <c r="AD204">
        <v>1</v>
      </c>
    </row>
    <row r="205" spans="1:30" x14ac:dyDescent="0.3">
      <c r="A205" s="1">
        <v>45240</v>
      </c>
      <c r="B205" s="3">
        <v>0.137495335</v>
      </c>
      <c r="C205" s="3">
        <v>5.2894489000000003E-2</v>
      </c>
      <c r="D205" s="3">
        <v>0.133077902</v>
      </c>
      <c r="E205" s="3">
        <v>6.3785135000000007E-2</v>
      </c>
      <c r="F205" s="3">
        <v>0.11705059800000001</v>
      </c>
      <c r="G205" s="3">
        <v>3.3322518000000002E-2</v>
      </c>
      <c r="H205" s="3">
        <v>0.18471032200000001</v>
      </c>
      <c r="I205" s="3">
        <v>0.117242653</v>
      </c>
      <c r="J205" s="3">
        <v>4.5251219000000002E-2</v>
      </c>
      <c r="K205" s="3">
        <v>6.4570016999999993E-2</v>
      </c>
      <c r="L205" s="3">
        <v>7.8077737999999994E-2</v>
      </c>
      <c r="M205" s="3">
        <v>6.1300731999999997E-2</v>
      </c>
      <c r="N205" s="3">
        <v>5.1354361000000001E-2</v>
      </c>
      <c r="O205" s="3">
        <v>5.1059475999999999E-2</v>
      </c>
      <c r="P205" s="3">
        <v>9.6793213000000003E-2</v>
      </c>
      <c r="Q205" s="3">
        <v>6.2250967999999997E-2</v>
      </c>
      <c r="R205" s="3">
        <v>7.9885677000000002E-2</v>
      </c>
      <c r="S205" s="3">
        <v>6.6305669999999997E-2</v>
      </c>
      <c r="T205" s="3">
        <v>0.112995019</v>
      </c>
      <c r="U205" s="3">
        <v>5.0862750999999998E-2</v>
      </c>
      <c r="V205" s="3">
        <v>0.2164743050820524</v>
      </c>
      <c r="W205" s="3">
        <v>0.14174174866319386</v>
      </c>
      <c r="X205" s="3">
        <v>0.1026464190594373</v>
      </c>
      <c r="Y205" s="3">
        <v>0.17739299914643283</v>
      </c>
      <c r="Z205" s="3">
        <v>0.13879469944510919</v>
      </c>
      <c r="AA205" s="3">
        <v>0.1008987970031697</v>
      </c>
      <c r="AB205">
        <v>1</v>
      </c>
      <c r="AC205">
        <v>0</v>
      </c>
      <c r="AD205">
        <v>1</v>
      </c>
    </row>
    <row r="206" spans="1:30" x14ac:dyDescent="0.3">
      <c r="A206" s="1">
        <v>45243</v>
      </c>
      <c r="B206" s="3">
        <v>0.19219855999999999</v>
      </c>
      <c r="C206" s="3">
        <v>8.9874564000000004E-2</v>
      </c>
      <c r="D206" s="3">
        <v>0.18640330099999999</v>
      </c>
      <c r="E206" s="3">
        <v>0.14438710599999999</v>
      </c>
      <c r="F206" s="3">
        <v>0.137495335</v>
      </c>
      <c r="G206" s="3">
        <v>5.2894489000000003E-2</v>
      </c>
      <c r="H206" s="3">
        <v>0.133077902</v>
      </c>
      <c r="I206" s="3">
        <v>6.3785135000000007E-2</v>
      </c>
      <c r="J206" s="3">
        <v>0.11705059800000001</v>
      </c>
      <c r="K206" s="3">
        <v>3.3322518000000002E-2</v>
      </c>
      <c r="L206" s="3">
        <v>0.18471032200000001</v>
      </c>
      <c r="M206" s="3">
        <v>0.117242653</v>
      </c>
      <c r="N206" s="3">
        <v>4.5251219000000002E-2</v>
      </c>
      <c r="O206" s="3">
        <v>6.4570016999999993E-2</v>
      </c>
      <c r="P206" s="3">
        <v>7.8077737999999994E-2</v>
      </c>
      <c r="Q206" s="3">
        <v>6.1300731999999997E-2</v>
      </c>
      <c r="R206" s="3">
        <v>5.1354361000000001E-2</v>
      </c>
      <c r="S206" s="3">
        <v>5.1059475999999999E-2</v>
      </c>
      <c r="T206" s="3">
        <v>9.6793213000000003E-2</v>
      </c>
      <c r="U206" s="3">
        <v>6.2250967999999997E-2</v>
      </c>
      <c r="V206" s="3">
        <v>0.24555251971800129</v>
      </c>
      <c r="W206" s="3">
        <v>0.14232023390862408</v>
      </c>
      <c r="X206" s="3">
        <v>0.1036184316355135</v>
      </c>
      <c r="Y206" s="3">
        <v>0.17739299914643283</v>
      </c>
      <c r="Z206" s="3">
        <v>0.13888493757655565</v>
      </c>
      <c r="AA206" s="3">
        <v>0.10097118990775651</v>
      </c>
      <c r="AB206">
        <v>1</v>
      </c>
      <c r="AC206">
        <v>0</v>
      </c>
      <c r="AD206">
        <v>1</v>
      </c>
    </row>
    <row r="207" spans="1:30" x14ac:dyDescent="0.3">
      <c r="A207" s="1">
        <v>45244</v>
      </c>
      <c r="B207" s="3">
        <v>0.21913989</v>
      </c>
      <c r="C207" s="3">
        <v>0.13174490699999999</v>
      </c>
      <c r="D207" s="3">
        <v>0.21116454200000001</v>
      </c>
      <c r="E207" s="3">
        <v>0.2156526</v>
      </c>
      <c r="F207" s="3">
        <v>0.19219855999999999</v>
      </c>
      <c r="G207" s="3">
        <v>8.9874564000000004E-2</v>
      </c>
      <c r="H207" s="3">
        <v>0.18640330099999999</v>
      </c>
      <c r="I207" s="3">
        <v>0.14438710599999999</v>
      </c>
      <c r="J207" s="3">
        <v>0.137495335</v>
      </c>
      <c r="K207" s="3">
        <v>5.2894489000000003E-2</v>
      </c>
      <c r="L207" s="3">
        <v>0.133077902</v>
      </c>
      <c r="M207" s="3">
        <v>6.3785135000000007E-2</v>
      </c>
      <c r="N207" s="3">
        <v>0.11705059800000001</v>
      </c>
      <c r="O207" s="3">
        <v>3.3322518000000002E-2</v>
      </c>
      <c r="P207" s="3">
        <v>0.18471032200000001</v>
      </c>
      <c r="Q207" s="3">
        <v>0.117242653</v>
      </c>
      <c r="R207" s="3">
        <v>4.5251219000000002E-2</v>
      </c>
      <c r="S207" s="3">
        <v>6.4570016999999993E-2</v>
      </c>
      <c r="T207" s="3">
        <v>7.8077737999999994E-2</v>
      </c>
      <c r="U207" s="3">
        <v>6.1300731999999997E-2</v>
      </c>
      <c r="V207" s="3">
        <v>0.24555251971800129</v>
      </c>
      <c r="W207" s="3">
        <v>0.14237202195705684</v>
      </c>
      <c r="X207" s="3">
        <v>0.10366673903856893</v>
      </c>
      <c r="Y207" s="3">
        <v>0.19896146475163615</v>
      </c>
      <c r="Z207" s="3">
        <v>0.13908378713071584</v>
      </c>
      <c r="AA207" s="3">
        <v>0.10133101965040865</v>
      </c>
      <c r="AB207">
        <v>1</v>
      </c>
      <c r="AC207">
        <v>0</v>
      </c>
      <c r="AD207">
        <v>1</v>
      </c>
    </row>
    <row r="208" spans="1:30" x14ac:dyDescent="0.3">
      <c r="A208" s="1">
        <v>45245</v>
      </c>
      <c r="B208" s="3">
        <v>1.8811993999999999E-2</v>
      </c>
      <c r="C208" s="3">
        <v>3.0622874000000001E-2</v>
      </c>
      <c r="D208" s="3">
        <v>4.1677868999999999E-2</v>
      </c>
      <c r="E208" s="3">
        <v>4.1672116000000002E-2</v>
      </c>
      <c r="F208" s="3">
        <v>0.21913989</v>
      </c>
      <c r="G208" s="3">
        <v>0.13174490699999999</v>
      </c>
      <c r="H208" s="3">
        <v>0.21116454200000001</v>
      </c>
      <c r="I208" s="3">
        <v>0.2156526</v>
      </c>
      <c r="J208" s="3">
        <v>0.19219855999999999</v>
      </c>
      <c r="K208" s="3">
        <v>8.9874564000000004E-2</v>
      </c>
      <c r="L208" s="3">
        <v>0.18640330099999999</v>
      </c>
      <c r="M208" s="3">
        <v>0.14438710599999999</v>
      </c>
      <c r="N208" s="3">
        <v>0.137495335</v>
      </c>
      <c r="O208" s="3">
        <v>5.2894489000000003E-2</v>
      </c>
      <c r="P208" s="3">
        <v>0.133077902</v>
      </c>
      <c r="Q208" s="3">
        <v>6.3785135000000007E-2</v>
      </c>
      <c r="R208" s="3">
        <v>0.11705059800000001</v>
      </c>
      <c r="S208" s="3">
        <v>3.3322518000000002E-2</v>
      </c>
      <c r="T208" s="3">
        <v>0.18471032200000001</v>
      </c>
      <c r="U208" s="3">
        <v>0.117242653</v>
      </c>
      <c r="V208" s="3">
        <v>0.44194584268602899</v>
      </c>
      <c r="W208" s="3">
        <v>0.14391569104494087</v>
      </c>
      <c r="X208" s="3">
        <v>0.10494422901664137</v>
      </c>
      <c r="Y208" s="3">
        <v>0.2164743050820524</v>
      </c>
      <c r="Z208" s="3">
        <v>0.14070648678424358</v>
      </c>
      <c r="AA208" s="3">
        <v>0.1023428849524488</v>
      </c>
      <c r="AB208">
        <v>0</v>
      </c>
      <c r="AC208">
        <v>0</v>
      </c>
      <c r="AD208">
        <v>0</v>
      </c>
    </row>
    <row r="209" spans="1:30" x14ac:dyDescent="0.3">
      <c r="A209" s="1">
        <v>45246</v>
      </c>
      <c r="B209" s="3">
        <v>5.7928654000000003E-2</v>
      </c>
      <c r="C209" s="3">
        <v>2.3320671000000001E-2</v>
      </c>
      <c r="D209" s="3">
        <v>7.9715103999999995E-2</v>
      </c>
      <c r="E209" s="3">
        <v>5.2200251000000003E-2</v>
      </c>
      <c r="F209" s="3">
        <v>1.8811993999999999E-2</v>
      </c>
      <c r="G209" s="3">
        <v>3.0622874000000001E-2</v>
      </c>
      <c r="H209" s="3">
        <v>4.1677868999999999E-2</v>
      </c>
      <c r="I209" s="3">
        <v>4.1672116000000002E-2</v>
      </c>
      <c r="J209" s="3">
        <v>0.21913989</v>
      </c>
      <c r="K209" s="3">
        <v>0.13174490699999999</v>
      </c>
      <c r="L209" s="3">
        <v>0.21116454200000001</v>
      </c>
      <c r="M209" s="3">
        <v>0.2156526</v>
      </c>
      <c r="N209" s="3">
        <v>0.19219855999999999</v>
      </c>
      <c r="O209" s="3">
        <v>8.9874564000000004E-2</v>
      </c>
      <c r="P209" s="3">
        <v>0.18640330099999999</v>
      </c>
      <c r="Q209" s="3">
        <v>0.14438710599999999</v>
      </c>
      <c r="R209" s="3">
        <v>0.137495335</v>
      </c>
      <c r="S209" s="3">
        <v>5.2894489000000003E-2</v>
      </c>
      <c r="T209" s="3">
        <v>0.133077902</v>
      </c>
      <c r="U209" s="3">
        <v>6.3785135000000007E-2</v>
      </c>
      <c r="V209" s="3">
        <v>0.6438928197066387</v>
      </c>
      <c r="W209" s="3">
        <v>0.1439817357635281</v>
      </c>
      <c r="X209" s="3">
        <v>0.105342408577702</v>
      </c>
      <c r="Y209" s="3">
        <v>0.24555251971800129</v>
      </c>
      <c r="Z209" s="3">
        <v>0.1407000071287568</v>
      </c>
      <c r="AA209" s="3">
        <v>0.10262798387834338</v>
      </c>
      <c r="AB209">
        <v>0</v>
      </c>
      <c r="AC209">
        <v>0</v>
      </c>
      <c r="AD209">
        <v>0</v>
      </c>
    </row>
    <row r="210" spans="1:30" x14ac:dyDescent="0.3">
      <c r="A210" s="1">
        <v>45247</v>
      </c>
      <c r="B210" s="3">
        <v>4.8747169E-2</v>
      </c>
      <c r="C210" s="3">
        <v>2.6017815E-2</v>
      </c>
      <c r="D210" s="3">
        <v>7.1647933999999996E-2</v>
      </c>
      <c r="E210" s="3">
        <v>3.9440905999999998E-2</v>
      </c>
      <c r="F210" s="3">
        <v>5.7928654000000003E-2</v>
      </c>
      <c r="G210" s="3">
        <v>2.3320671000000001E-2</v>
      </c>
      <c r="H210" s="3">
        <v>7.9715103999999995E-2</v>
      </c>
      <c r="I210" s="3">
        <v>5.2200251000000003E-2</v>
      </c>
      <c r="J210" s="3">
        <v>1.8811993999999999E-2</v>
      </c>
      <c r="K210" s="3">
        <v>3.0622874000000001E-2</v>
      </c>
      <c r="L210" s="3">
        <v>4.1677868999999999E-2</v>
      </c>
      <c r="M210" s="3">
        <v>4.1672116000000002E-2</v>
      </c>
      <c r="N210" s="3">
        <v>0.21913989</v>
      </c>
      <c r="O210" s="3">
        <v>0.13174490699999999</v>
      </c>
      <c r="P210" s="3">
        <v>0.21116454200000001</v>
      </c>
      <c r="Q210" s="3">
        <v>0.2156526</v>
      </c>
      <c r="R210" s="3">
        <v>0.19219855999999999</v>
      </c>
      <c r="S210" s="3">
        <v>8.9874564000000004E-2</v>
      </c>
      <c r="T210" s="3">
        <v>0.18640330099999999</v>
      </c>
      <c r="U210" s="3">
        <v>0.14438710599999999</v>
      </c>
      <c r="V210" s="3">
        <v>0.6438928197066387</v>
      </c>
      <c r="W210" s="3">
        <v>0.1438670472464546</v>
      </c>
      <c r="X210" s="3">
        <v>0.10513985770123284</v>
      </c>
      <c r="Y210" s="3">
        <v>0.24555251971800129</v>
      </c>
      <c r="Z210" s="3">
        <v>0.14007603019284365</v>
      </c>
      <c r="AA210" s="3">
        <v>0.10212773338962718</v>
      </c>
      <c r="AB210">
        <v>0</v>
      </c>
      <c r="AC210">
        <v>0</v>
      </c>
      <c r="AD210">
        <v>0</v>
      </c>
    </row>
    <row r="211" spans="1:30" x14ac:dyDescent="0.3">
      <c r="A211" s="1">
        <v>45250</v>
      </c>
      <c r="B211" s="3">
        <v>4.5401420999999997E-2</v>
      </c>
      <c r="C211" s="3">
        <v>2.7823359999999998E-2</v>
      </c>
      <c r="D211" s="3">
        <v>6.0109875E-2</v>
      </c>
      <c r="E211" s="3">
        <v>4.0429661999999998E-2</v>
      </c>
      <c r="F211" s="3">
        <v>4.8747169E-2</v>
      </c>
      <c r="G211" s="3">
        <v>2.6017815E-2</v>
      </c>
      <c r="H211" s="3">
        <v>7.1647933999999996E-2</v>
      </c>
      <c r="I211" s="3">
        <v>3.9440905999999998E-2</v>
      </c>
      <c r="J211" s="3">
        <v>5.7928654000000003E-2</v>
      </c>
      <c r="K211" s="3">
        <v>2.3320671000000001E-2</v>
      </c>
      <c r="L211" s="3">
        <v>7.9715103999999995E-2</v>
      </c>
      <c r="M211" s="3">
        <v>5.2200251000000003E-2</v>
      </c>
      <c r="N211" s="3">
        <v>1.8811993999999999E-2</v>
      </c>
      <c r="O211" s="3">
        <v>3.0622874000000001E-2</v>
      </c>
      <c r="P211" s="3">
        <v>4.1677868999999999E-2</v>
      </c>
      <c r="Q211" s="3">
        <v>4.1672116000000002E-2</v>
      </c>
      <c r="R211" s="3">
        <v>0.21913989</v>
      </c>
      <c r="S211" s="3">
        <v>0.13174490699999999</v>
      </c>
      <c r="T211" s="3">
        <v>0.21116454200000001</v>
      </c>
      <c r="U211" s="3">
        <v>0.2156526</v>
      </c>
      <c r="V211" s="3">
        <v>0.44194584268602899</v>
      </c>
      <c r="W211" s="3">
        <v>0.14252703846805384</v>
      </c>
      <c r="X211" s="3">
        <v>0.10376205615794915</v>
      </c>
      <c r="Y211" s="3">
        <v>0.2164743050820524</v>
      </c>
      <c r="Z211" s="3">
        <v>0.13831110048262976</v>
      </c>
      <c r="AA211" s="3">
        <v>0.10105158755013921</v>
      </c>
      <c r="AB211">
        <v>0</v>
      </c>
      <c r="AC211">
        <v>0</v>
      </c>
      <c r="AD211">
        <v>0</v>
      </c>
    </row>
    <row r="212" spans="1:30" x14ac:dyDescent="0.3">
      <c r="A212" s="1">
        <v>45251</v>
      </c>
      <c r="B212" s="3">
        <v>3.2333402999999997E-2</v>
      </c>
      <c r="C212" s="3">
        <v>4.4692796999999999E-2</v>
      </c>
      <c r="D212" s="3">
        <v>6.1047689000000002E-2</v>
      </c>
      <c r="E212" s="3">
        <v>3.9062223E-2</v>
      </c>
      <c r="F212" s="3">
        <v>4.5401420999999997E-2</v>
      </c>
      <c r="G212" s="3">
        <v>2.7823359999999998E-2</v>
      </c>
      <c r="H212" s="3">
        <v>6.0109875E-2</v>
      </c>
      <c r="I212" s="3">
        <v>4.0429661999999998E-2</v>
      </c>
      <c r="J212" s="3">
        <v>4.8747169E-2</v>
      </c>
      <c r="K212" s="3">
        <v>2.6017815E-2</v>
      </c>
      <c r="L212" s="3">
        <v>7.1647933999999996E-2</v>
      </c>
      <c r="M212" s="3">
        <v>3.9440905999999998E-2</v>
      </c>
      <c r="N212" s="3">
        <v>5.7928654000000003E-2</v>
      </c>
      <c r="O212" s="3">
        <v>2.3320671000000001E-2</v>
      </c>
      <c r="P212" s="3">
        <v>7.9715103999999995E-2</v>
      </c>
      <c r="Q212" s="3">
        <v>5.2200251000000003E-2</v>
      </c>
      <c r="R212" s="3">
        <v>1.8811993999999999E-2</v>
      </c>
      <c r="S212" s="3">
        <v>3.0622874000000001E-2</v>
      </c>
      <c r="T212" s="3">
        <v>4.1677868999999999E-2</v>
      </c>
      <c r="U212" s="3">
        <v>4.1672116000000002E-2</v>
      </c>
      <c r="V212" s="3">
        <v>0.44194584268602899</v>
      </c>
      <c r="W212" s="3">
        <v>0.14266339854955321</v>
      </c>
      <c r="X212" s="3">
        <v>0.10380790643114897</v>
      </c>
      <c r="Y212" s="3">
        <v>0.2164743050820524</v>
      </c>
      <c r="Z212" s="3">
        <v>0.13959618899794396</v>
      </c>
      <c r="AA212" s="3">
        <v>0.10166180144344455</v>
      </c>
      <c r="AB212">
        <v>0</v>
      </c>
      <c r="AC212">
        <v>0</v>
      </c>
      <c r="AD212">
        <v>0</v>
      </c>
    </row>
    <row r="213" spans="1:30" x14ac:dyDescent="0.3">
      <c r="A213" s="1">
        <v>45252</v>
      </c>
      <c r="B213" s="3">
        <v>2.6221583E-2</v>
      </c>
      <c r="C213" s="3">
        <v>2.9982018999999999E-2</v>
      </c>
      <c r="D213" s="3">
        <v>3.6220909000000003E-2</v>
      </c>
      <c r="E213" s="3">
        <v>4.1076296999999998E-2</v>
      </c>
      <c r="F213" s="3">
        <v>3.2333402999999997E-2</v>
      </c>
      <c r="G213" s="3">
        <v>4.4692796999999999E-2</v>
      </c>
      <c r="H213" s="3">
        <v>6.1047689000000002E-2</v>
      </c>
      <c r="I213" s="3">
        <v>3.9062223E-2</v>
      </c>
      <c r="J213" s="3">
        <v>4.5401420999999997E-2</v>
      </c>
      <c r="K213" s="3">
        <v>2.7823359999999998E-2</v>
      </c>
      <c r="L213" s="3">
        <v>6.0109875E-2</v>
      </c>
      <c r="M213" s="3">
        <v>4.0429661999999998E-2</v>
      </c>
      <c r="N213" s="3">
        <v>4.8747169E-2</v>
      </c>
      <c r="O213" s="3">
        <v>2.6017815E-2</v>
      </c>
      <c r="P213" s="3">
        <v>7.1647933999999996E-2</v>
      </c>
      <c r="Q213" s="3">
        <v>3.9440905999999998E-2</v>
      </c>
      <c r="R213" s="3">
        <v>5.7928654000000003E-2</v>
      </c>
      <c r="S213" s="3">
        <v>2.3320671000000001E-2</v>
      </c>
      <c r="T213" s="3">
        <v>7.9715103999999995E-2</v>
      </c>
      <c r="U213" s="3">
        <v>5.2200251000000003E-2</v>
      </c>
      <c r="V213" s="3">
        <v>0.44194584268602899</v>
      </c>
      <c r="W213" s="3">
        <v>0.13649949807133074</v>
      </c>
      <c r="X213" s="3">
        <v>9.7274229872238077E-2</v>
      </c>
      <c r="Y213" s="3">
        <v>0.2164743050820524</v>
      </c>
      <c r="Z213" s="3">
        <v>0.14003811372332214</v>
      </c>
      <c r="AA213" s="3">
        <v>0.10181965579249931</v>
      </c>
      <c r="AB213">
        <v>0</v>
      </c>
      <c r="AC213">
        <v>0</v>
      </c>
      <c r="AD213">
        <v>0</v>
      </c>
    </row>
    <row r="214" spans="1:30" x14ac:dyDescent="0.3">
      <c r="A214" s="1">
        <v>45253</v>
      </c>
      <c r="B214" s="3">
        <v>5.1765079999999998E-2</v>
      </c>
      <c r="C214" s="3">
        <v>1.8987587E-2</v>
      </c>
      <c r="D214" s="3">
        <v>6.5651809000000005E-2</v>
      </c>
      <c r="E214" s="3">
        <v>2.9079181999999999E-2</v>
      </c>
      <c r="F214" s="3">
        <v>2.6221583E-2</v>
      </c>
      <c r="G214" s="3">
        <v>2.9982018999999999E-2</v>
      </c>
      <c r="H214" s="3">
        <v>3.6220909000000003E-2</v>
      </c>
      <c r="I214" s="3">
        <v>4.1076296999999998E-2</v>
      </c>
      <c r="J214" s="3">
        <v>3.2333402999999997E-2</v>
      </c>
      <c r="K214" s="3">
        <v>4.4692796999999999E-2</v>
      </c>
      <c r="L214" s="3">
        <v>6.1047689000000002E-2</v>
      </c>
      <c r="M214" s="3">
        <v>3.9062223E-2</v>
      </c>
      <c r="N214" s="3">
        <v>4.5401420999999997E-2</v>
      </c>
      <c r="O214" s="3">
        <v>2.7823359999999998E-2</v>
      </c>
      <c r="P214" s="3">
        <v>6.0109875E-2</v>
      </c>
      <c r="Q214" s="3">
        <v>4.0429661999999998E-2</v>
      </c>
      <c r="R214" s="3">
        <v>4.8747169E-2</v>
      </c>
      <c r="S214" s="3">
        <v>2.6017815E-2</v>
      </c>
      <c r="T214" s="3">
        <v>7.1647933999999996E-2</v>
      </c>
      <c r="U214" s="3">
        <v>3.9440905999999998E-2</v>
      </c>
      <c r="V214" s="3">
        <v>0.44194584268602899</v>
      </c>
      <c r="W214" s="3">
        <v>0.13655247387846858</v>
      </c>
      <c r="X214" s="3">
        <v>9.7031735723191265E-2</v>
      </c>
      <c r="Y214" s="3">
        <v>0.2164743050820524</v>
      </c>
      <c r="Z214" s="3">
        <v>0.13995949015560241</v>
      </c>
      <c r="AA214" s="3">
        <v>0.10185733878767179</v>
      </c>
      <c r="AB214">
        <v>0</v>
      </c>
      <c r="AC214">
        <v>0</v>
      </c>
      <c r="AD214">
        <v>0</v>
      </c>
    </row>
    <row r="215" spans="1:30" x14ac:dyDescent="0.3">
      <c r="A215" s="1">
        <v>45254</v>
      </c>
      <c r="B215" s="3">
        <v>5.6961085000000002E-2</v>
      </c>
      <c r="C215" s="3">
        <v>2.219401E-2</v>
      </c>
      <c r="D215" s="3">
        <v>5.2231426999999997E-2</v>
      </c>
      <c r="E215" s="3">
        <v>2.8147340999999999E-2</v>
      </c>
      <c r="F215" s="3">
        <v>5.1765079999999998E-2</v>
      </c>
      <c r="G215" s="3">
        <v>1.8987587E-2</v>
      </c>
      <c r="H215" s="3">
        <v>6.5651809000000005E-2</v>
      </c>
      <c r="I215" s="3">
        <v>2.9079181999999999E-2</v>
      </c>
      <c r="J215" s="3">
        <v>2.6221583E-2</v>
      </c>
      <c r="K215" s="3">
        <v>2.9982018999999999E-2</v>
      </c>
      <c r="L215" s="3">
        <v>3.6220909000000003E-2</v>
      </c>
      <c r="M215" s="3">
        <v>4.1076296999999998E-2</v>
      </c>
      <c r="N215" s="3">
        <v>3.2333402999999997E-2</v>
      </c>
      <c r="O215" s="3">
        <v>4.4692796999999999E-2</v>
      </c>
      <c r="P215" s="3">
        <v>6.1047689000000002E-2</v>
      </c>
      <c r="Q215" s="3">
        <v>3.9062223E-2</v>
      </c>
      <c r="R215" s="3">
        <v>4.5401420999999997E-2</v>
      </c>
      <c r="S215" s="3">
        <v>2.7823359999999998E-2</v>
      </c>
      <c r="T215" s="3">
        <v>6.0109875E-2</v>
      </c>
      <c r="U215" s="3">
        <v>4.0429661999999998E-2</v>
      </c>
      <c r="V215" s="3">
        <v>0.24555251971800129</v>
      </c>
      <c r="W215" s="3">
        <v>0.13566461121344101</v>
      </c>
      <c r="X215" s="3">
        <v>9.5817153188150775E-2</v>
      </c>
      <c r="Y215" s="3">
        <v>0.2164743050820524</v>
      </c>
      <c r="Z215" s="3">
        <v>0.13975962077181717</v>
      </c>
      <c r="AA215" s="3">
        <v>0.10188505279289051</v>
      </c>
      <c r="AB215">
        <v>0</v>
      </c>
      <c r="AC215">
        <v>0</v>
      </c>
      <c r="AD215">
        <v>0</v>
      </c>
    </row>
    <row r="216" spans="1:30" x14ac:dyDescent="0.3">
      <c r="A216" s="1">
        <v>45257</v>
      </c>
      <c r="B216" s="3">
        <v>6.3247041000000004E-2</v>
      </c>
      <c r="C216" s="3">
        <v>2.7828176E-2</v>
      </c>
      <c r="D216" s="3">
        <v>2.4137774000000001E-2</v>
      </c>
      <c r="E216" s="3">
        <v>3.596096E-2</v>
      </c>
      <c r="F216" s="3">
        <v>5.6961085000000002E-2</v>
      </c>
      <c r="G216" s="3">
        <v>2.219401E-2</v>
      </c>
      <c r="H216" s="3">
        <v>5.2231426999999997E-2</v>
      </c>
      <c r="I216" s="3">
        <v>2.8147340999999999E-2</v>
      </c>
      <c r="J216" s="3">
        <v>5.1765079999999998E-2</v>
      </c>
      <c r="K216" s="3">
        <v>1.8987587E-2</v>
      </c>
      <c r="L216" s="3">
        <v>6.5651809000000005E-2</v>
      </c>
      <c r="M216" s="3">
        <v>2.9079181999999999E-2</v>
      </c>
      <c r="N216" s="3">
        <v>2.6221583E-2</v>
      </c>
      <c r="O216" s="3">
        <v>2.9982018999999999E-2</v>
      </c>
      <c r="P216" s="3">
        <v>3.6220909000000003E-2</v>
      </c>
      <c r="Q216" s="3">
        <v>4.1076296999999998E-2</v>
      </c>
      <c r="R216" s="3">
        <v>3.2333402999999997E-2</v>
      </c>
      <c r="S216" s="3">
        <v>4.4692796999999999E-2</v>
      </c>
      <c r="T216" s="3">
        <v>6.1047689000000002E-2</v>
      </c>
      <c r="U216" s="3">
        <v>3.9062223E-2</v>
      </c>
      <c r="V216" s="3">
        <v>0.21127400107735628</v>
      </c>
      <c r="W216" s="3">
        <v>0.13569280004473086</v>
      </c>
      <c r="X216" s="3">
        <v>9.4919308582533432E-2</v>
      </c>
      <c r="Y216" s="3">
        <v>0.19896146475163615</v>
      </c>
      <c r="Z216" s="3">
        <v>0.13863101550216289</v>
      </c>
      <c r="AA216" s="3">
        <v>0.10091432625273833</v>
      </c>
      <c r="AB216">
        <v>1</v>
      </c>
      <c r="AC216">
        <v>0</v>
      </c>
      <c r="AD216">
        <v>1</v>
      </c>
    </row>
    <row r="217" spans="1:30" x14ac:dyDescent="0.3">
      <c r="A217" s="1">
        <v>45258</v>
      </c>
      <c r="B217" s="3">
        <v>3.0801390000000001E-2</v>
      </c>
      <c r="C217" s="3">
        <v>3.2422139000000003E-2</v>
      </c>
      <c r="D217" s="3">
        <v>5.3884147E-2</v>
      </c>
      <c r="E217" s="3">
        <v>3.3311454999999997E-2</v>
      </c>
      <c r="F217" s="3">
        <v>6.3247041000000004E-2</v>
      </c>
      <c r="G217" s="3">
        <v>2.7828176E-2</v>
      </c>
      <c r="H217" s="3">
        <v>2.4137774000000001E-2</v>
      </c>
      <c r="I217" s="3">
        <v>3.596096E-2</v>
      </c>
      <c r="J217" s="3">
        <v>5.6961085000000002E-2</v>
      </c>
      <c r="K217" s="3">
        <v>2.219401E-2</v>
      </c>
      <c r="L217" s="3">
        <v>5.2231426999999997E-2</v>
      </c>
      <c r="M217" s="3">
        <v>2.8147340999999999E-2</v>
      </c>
      <c r="N217" s="3">
        <v>5.1765079999999998E-2</v>
      </c>
      <c r="O217" s="3">
        <v>1.8987587E-2</v>
      </c>
      <c r="P217" s="3">
        <v>6.5651809000000005E-2</v>
      </c>
      <c r="Q217" s="3">
        <v>2.9079181999999999E-2</v>
      </c>
      <c r="R217" s="3">
        <v>2.6221583E-2</v>
      </c>
      <c r="S217" s="3">
        <v>2.9982018999999999E-2</v>
      </c>
      <c r="T217" s="3">
        <v>3.6220909000000003E-2</v>
      </c>
      <c r="U217" s="3">
        <v>4.1076296999999998E-2</v>
      </c>
      <c r="V217" s="3">
        <v>0.24555251971800129</v>
      </c>
      <c r="W217" s="3">
        <v>0.13789691664495013</v>
      </c>
      <c r="X217" s="3">
        <v>9.6834420584232236E-2</v>
      </c>
      <c r="Y217" s="3">
        <v>0.2164743050820524</v>
      </c>
      <c r="Z217" s="3">
        <v>0.14010535524795784</v>
      </c>
      <c r="AA217" s="3">
        <v>0.1018810651153662</v>
      </c>
      <c r="AB217">
        <v>0</v>
      </c>
      <c r="AC217">
        <v>0</v>
      </c>
      <c r="AD217">
        <v>0</v>
      </c>
    </row>
    <row r="218" spans="1:30" x14ac:dyDescent="0.3">
      <c r="A218" s="1">
        <v>45259</v>
      </c>
      <c r="B218" s="3">
        <v>2.8034842000000001E-2</v>
      </c>
      <c r="C218" s="3">
        <v>3.6232717999999997E-2</v>
      </c>
      <c r="D218" s="3">
        <v>3.7331231999999999E-2</v>
      </c>
      <c r="E218" s="3">
        <v>3.6361631999999998E-2</v>
      </c>
      <c r="F218" s="3">
        <v>3.0801390000000001E-2</v>
      </c>
      <c r="G218" s="3">
        <v>3.2422139000000003E-2</v>
      </c>
      <c r="H218" s="3">
        <v>5.3884147E-2</v>
      </c>
      <c r="I218" s="3">
        <v>3.3311454999999997E-2</v>
      </c>
      <c r="J218" s="3">
        <v>6.3247041000000004E-2</v>
      </c>
      <c r="K218" s="3">
        <v>2.7828176E-2</v>
      </c>
      <c r="L218" s="3">
        <v>2.4137774000000001E-2</v>
      </c>
      <c r="M218" s="3">
        <v>3.596096E-2</v>
      </c>
      <c r="N218" s="3">
        <v>5.6961085000000002E-2</v>
      </c>
      <c r="O218" s="3">
        <v>2.219401E-2</v>
      </c>
      <c r="P218" s="3">
        <v>5.2231426999999997E-2</v>
      </c>
      <c r="Q218" s="3">
        <v>2.8147340999999999E-2</v>
      </c>
      <c r="R218" s="3">
        <v>5.1765079999999998E-2</v>
      </c>
      <c r="S218" s="3">
        <v>1.8987587E-2</v>
      </c>
      <c r="T218" s="3">
        <v>6.5651809000000005E-2</v>
      </c>
      <c r="U218" s="3">
        <v>2.9079181999999999E-2</v>
      </c>
      <c r="V218" s="3">
        <v>0.43935831255331265</v>
      </c>
      <c r="W218" s="3">
        <v>0.13792220557438847</v>
      </c>
      <c r="X218" s="3">
        <v>9.7016321732883118E-2</v>
      </c>
      <c r="Y218" s="3">
        <v>0.2164743050820524</v>
      </c>
      <c r="Z218" s="3">
        <v>0.14005665489339419</v>
      </c>
      <c r="AA218" s="3">
        <v>0.10178608037536532</v>
      </c>
      <c r="AB218">
        <v>0</v>
      </c>
      <c r="AC218">
        <v>0</v>
      </c>
      <c r="AD218">
        <v>0</v>
      </c>
    </row>
    <row r="219" spans="1:30" x14ac:dyDescent="0.3">
      <c r="A219" s="1">
        <v>45260</v>
      </c>
      <c r="B219" s="3">
        <v>5.7972047999999998E-2</v>
      </c>
      <c r="C219" s="3">
        <v>2.9022826000000002E-2</v>
      </c>
      <c r="D219" s="3">
        <v>8.9873241000000006E-2</v>
      </c>
      <c r="E219" s="3">
        <v>2.703467E-2</v>
      </c>
      <c r="F219" s="3">
        <v>2.8034842000000001E-2</v>
      </c>
      <c r="G219" s="3">
        <v>3.6232717999999997E-2</v>
      </c>
      <c r="H219" s="3">
        <v>3.7331231999999999E-2</v>
      </c>
      <c r="I219" s="3">
        <v>3.6361631999999998E-2</v>
      </c>
      <c r="J219" s="3">
        <v>3.0801390000000001E-2</v>
      </c>
      <c r="K219" s="3">
        <v>3.2422139000000003E-2</v>
      </c>
      <c r="L219" s="3">
        <v>5.3884147E-2</v>
      </c>
      <c r="M219" s="3">
        <v>3.3311454999999997E-2</v>
      </c>
      <c r="N219" s="3">
        <v>6.3247041000000004E-2</v>
      </c>
      <c r="O219" s="3">
        <v>2.7828176E-2</v>
      </c>
      <c r="P219" s="3">
        <v>2.4137774000000001E-2</v>
      </c>
      <c r="Q219" s="3">
        <v>3.596096E-2</v>
      </c>
      <c r="R219" s="3">
        <v>5.6961085000000002E-2</v>
      </c>
      <c r="S219" s="3">
        <v>2.219401E-2</v>
      </c>
      <c r="T219" s="3">
        <v>5.2231426999999997E-2</v>
      </c>
      <c r="U219" s="3">
        <v>2.8147340999999999E-2</v>
      </c>
      <c r="V219" s="3">
        <v>0.43935831255331265</v>
      </c>
      <c r="W219" s="3">
        <v>0.13769633465424158</v>
      </c>
      <c r="X219" s="3">
        <v>9.6783027647609279E-2</v>
      </c>
      <c r="Y219" s="3">
        <v>0.2164743050820524</v>
      </c>
      <c r="Z219" s="3">
        <v>0.13923468725778307</v>
      </c>
      <c r="AA219" s="3">
        <v>0.10129138922705742</v>
      </c>
      <c r="AB219">
        <v>0</v>
      </c>
      <c r="AC219">
        <v>0</v>
      </c>
      <c r="AD219">
        <v>0</v>
      </c>
    </row>
    <row r="220" spans="1:30" x14ac:dyDescent="0.3">
      <c r="A220" s="1">
        <v>45261</v>
      </c>
      <c r="B220" s="3">
        <v>5.5981930999999999E-2</v>
      </c>
      <c r="C220" s="3">
        <v>2.6246701000000001E-2</v>
      </c>
      <c r="D220" s="3">
        <v>8.7231712000000003E-2</v>
      </c>
      <c r="E220" s="3">
        <v>3.3063047999999998E-2</v>
      </c>
      <c r="F220" s="3">
        <v>5.7972047999999998E-2</v>
      </c>
      <c r="G220" s="3">
        <v>2.9022826000000002E-2</v>
      </c>
      <c r="H220" s="3">
        <v>8.9873241000000006E-2</v>
      </c>
      <c r="I220" s="3">
        <v>2.703467E-2</v>
      </c>
      <c r="J220" s="3">
        <v>2.8034842000000001E-2</v>
      </c>
      <c r="K220" s="3">
        <v>3.6232717999999997E-2</v>
      </c>
      <c r="L220" s="3">
        <v>3.7331231999999999E-2</v>
      </c>
      <c r="M220" s="3">
        <v>3.6361631999999998E-2</v>
      </c>
      <c r="N220" s="3">
        <v>3.0801390000000001E-2</v>
      </c>
      <c r="O220" s="3">
        <v>3.2422139000000003E-2</v>
      </c>
      <c r="P220" s="3">
        <v>5.3884147E-2</v>
      </c>
      <c r="Q220" s="3">
        <v>3.3311454999999997E-2</v>
      </c>
      <c r="R220" s="3">
        <v>6.3247041000000004E-2</v>
      </c>
      <c r="S220" s="3">
        <v>2.7828176E-2</v>
      </c>
      <c r="T220" s="3">
        <v>2.4137774000000001E-2</v>
      </c>
      <c r="U220" s="3">
        <v>3.596096E-2</v>
      </c>
      <c r="V220" s="3">
        <v>0.43935831255331265</v>
      </c>
      <c r="W220" s="3">
        <v>0.13769357034367208</v>
      </c>
      <c r="X220" s="3">
        <v>9.680374875818476E-2</v>
      </c>
      <c r="Y220" s="3">
        <v>0.2164743050820524</v>
      </c>
      <c r="Z220" s="3">
        <v>0.13776908870371252</v>
      </c>
      <c r="AA220" s="3">
        <v>0.10024864016861937</v>
      </c>
      <c r="AB220">
        <v>0</v>
      </c>
      <c r="AC220">
        <v>0</v>
      </c>
      <c r="AD220">
        <v>0</v>
      </c>
    </row>
    <row r="221" spans="1:30" x14ac:dyDescent="0.3">
      <c r="A221" s="1">
        <v>45264</v>
      </c>
      <c r="B221" s="3">
        <v>6.3085820000000001E-2</v>
      </c>
      <c r="C221" s="3">
        <v>2.7967313000000001E-2</v>
      </c>
      <c r="D221" s="3">
        <v>6.3514751999999994E-2</v>
      </c>
      <c r="E221" s="3">
        <v>3.3481193999999999E-2</v>
      </c>
      <c r="F221" s="3">
        <v>5.5981930999999999E-2</v>
      </c>
      <c r="G221" s="3">
        <v>2.6246701000000001E-2</v>
      </c>
      <c r="H221" s="3">
        <v>8.7231712000000003E-2</v>
      </c>
      <c r="I221" s="3">
        <v>3.3063047999999998E-2</v>
      </c>
      <c r="J221" s="3">
        <v>5.7972047999999998E-2</v>
      </c>
      <c r="K221" s="3">
        <v>2.9022826000000002E-2</v>
      </c>
      <c r="L221" s="3">
        <v>8.9873241000000006E-2</v>
      </c>
      <c r="M221" s="3">
        <v>2.703467E-2</v>
      </c>
      <c r="N221" s="3">
        <v>2.8034842000000001E-2</v>
      </c>
      <c r="O221" s="3">
        <v>3.6232717999999997E-2</v>
      </c>
      <c r="P221" s="3">
        <v>3.7331231999999999E-2</v>
      </c>
      <c r="Q221" s="3">
        <v>3.6361631999999998E-2</v>
      </c>
      <c r="R221" s="3">
        <v>3.0801390000000001E-2</v>
      </c>
      <c r="S221" s="3">
        <v>3.2422139000000003E-2</v>
      </c>
      <c r="T221" s="3">
        <v>5.3884147E-2</v>
      </c>
      <c r="U221" s="3">
        <v>3.3311454999999997E-2</v>
      </c>
      <c r="V221" s="3">
        <v>0.43935831255331265</v>
      </c>
      <c r="W221" s="3">
        <v>0.13739662135721303</v>
      </c>
      <c r="X221" s="3">
        <v>9.6836626210503193E-2</v>
      </c>
      <c r="Y221" s="3">
        <v>0.19896146475163615</v>
      </c>
      <c r="Z221" s="3">
        <v>0.13691425333512272</v>
      </c>
      <c r="AA221" s="3">
        <v>9.9462066514675554E-2</v>
      </c>
      <c r="AB221">
        <v>0</v>
      </c>
      <c r="AC221">
        <v>0</v>
      </c>
      <c r="AD221">
        <v>0</v>
      </c>
    </row>
    <row r="222" spans="1:30" x14ac:dyDescent="0.3">
      <c r="A222" s="1">
        <v>45265</v>
      </c>
      <c r="B222" s="3">
        <v>5.0588231999999997E-2</v>
      </c>
      <c r="C222" s="3">
        <v>3.3582440999999998E-2</v>
      </c>
      <c r="D222" s="3">
        <v>6.1069329999999998E-2</v>
      </c>
      <c r="E222" s="3">
        <v>3.3859360999999998E-2</v>
      </c>
      <c r="F222" s="3">
        <v>6.3085820000000001E-2</v>
      </c>
      <c r="G222" s="3">
        <v>2.7967313000000001E-2</v>
      </c>
      <c r="H222" s="3">
        <v>6.3514751999999994E-2</v>
      </c>
      <c r="I222" s="3">
        <v>3.3481193999999999E-2</v>
      </c>
      <c r="J222" s="3">
        <v>5.5981930999999999E-2</v>
      </c>
      <c r="K222" s="3">
        <v>2.6246701000000001E-2</v>
      </c>
      <c r="L222" s="3">
        <v>8.7231712000000003E-2</v>
      </c>
      <c r="M222" s="3">
        <v>3.3063047999999998E-2</v>
      </c>
      <c r="N222" s="3">
        <v>5.7972047999999998E-2</v>
      </c>
      <c r="O222" s="3">
        <v>2.9022826000000002E-2</v>
      </c>
      <c r="P222" s="3">
        <v>8.9873241000000006E-2</v>
      </c>
      <c r="Q222" s="3">
        <v>2.703467E-2</v>
      </c>
      <c r="R222" s="3">
        <v>2.8034842000000001E-2</v>
      </c>
      <c r="S222" s="3">
        <v>3.6232717999999997E-2</v>
      </c>
      <c r="T222" s="3">
        <v>3.7331231999999999E-2</v>
      </c>
      <c r="U222" s="3">
        <v>3.6361631999999998E-2</v>
      </c>
      <c r="V222" s="3">
        <v>0.43935831255331265</v>
      </c>
      <c r="W222" s="3">
        <v>0.13684731634855901</v>
      </c>
      <c r="X222" s="3">
        <v>9.6367558217602151E-2</v>
      </c>
      <c r="Y222" s="3">
        <v>0.16874300028685252</v>
      </c>
      <c r="Z222" s="3">
        <v>0.13721437890931604</v>
      </c>
      <c r="AA222" s="3">
        <v>9.9301016550532792E-2</v>
      </c>
      <c r="AB222">
        <v>0</v>
      </c>
      <c r="AC222">
        <v>0</v>
      </c>
      <c r="AD222">
        <v>0</v>
      </c>
    </row>
    <row r="223" spans="1:30" x14ac:dyDescent="0.3">
      <c r="A223" s="1">
        <v>45266</v>
      </c>
      <c r="B223" s="3">
        <v>4.1063969999999998E-2</v>
      </c>
      <c r="C223" s="3">
        <v>3.8456281000000002E-2</v>
      </c>
      <c r="D223" s="3">
        <v>4.3768563000000003E-2</v>
      </c>
      <c r="E223" s="3">
        <v>6.0349528999999999E-2</v>
      </c>
      <c r="F223" s="3">
        <v>5.0588231999999997E-2</v>
      </c>
      <c r="G223" s="3">
        <v>3.3582440999999998E-2</v>
      </c>
      <c r="H223" s="3">
        <v>6.1069329999999998E-2</v>
      </c>
      <c r="I223" s="3">
        <v>3.3859360999999998E-2</v>
      </c>
      <c r="J223" s="3">
        <v>6.3085820000000001E-2</v>
      </c>
      <c r="K223" s="3">
        <v>2.7967313000000001E-2</v>
      </c>
      <c r="L223" s="3">
        <v>6.3514751999999994E-2</v>
      </c>
      <c r="M223" s="3">
        <v>3.3481193999999999E-2</v>
      </c>
      <c r="N223" s="3">
        <v>5.5981930999999999E-2</v>
      </c>
      <c r="O223" s="3">
        <v>2.6246701000000001E-2</v>
      </c>
      <c r="P223" s="3">
        <v>8.7231712000000003E-2</v>
      </c>
      <c r="Q223" s="3">
        <v>3.3063047999999998E-2</v>
      </c>
      <c r="R223" s="3">
        <v>5.7972047999999998E-2</v>
      </c>
      <c r="S223" s="3">
        <v>2.9022826000000002E-2</v>
      </c>
      <c r="T223" s="3">
        <v>8.9873241000000006E-2</v>
      </c>
      <c r="U223" s="3">
        <v>2.703467E-2</v>
      </c>
      <c r="V223" s="3">
        <v>0.6189859572111116</v>
      </c>
      <c r="W223" s="3">
        <v>0.13662782430478565</v>
      </c>
      <c r="X223" s="3">
        <v>9.6774821636462394E-2</v>
      </c>
      <c r="Y223" s="3">
        <v>0.16874300028685252</v>
      </c>
      <c r="Z223" s="3">
        <v>0.1346574265309583</v>
      </c>
      <c r="AA223" s="3">
        <v>9.818993136531258E-2</v>
      </c>
      <c r="AB223">
        <v>0</v>
      </c>
      <c r="AC223">
        <v>0</v>
      </c>
      <c r="AD223">
        <v>0</v>
      </c>
    </row>
    <row r="224" spans="1:30" x14ac:dyDescent="0.3">
      <c r="A224" s="1">
        <v>45267</v>
      </c>
      <c r="B224" s="3">
        <v>0.103207972</v>
      </c>
      <c r="C224" s="3">
        <v>3.2172185999999998E-2</v>
      </c>
      <c r="D224" s="3">
        <v>8.0737428999999999E-2</v>
      </c>
      <c r="E224" s="3">
        <v>5.2058989999999999E-2</v>
      </c>
      <c r="F224" s="3">
        <v>4.1063969999999998E-2</v>
      </c>
      <c r="G224" s="3">
        <v>3.8456281000000002E-2</v>
      </c>
      <c r="H224" s="3">
        <v>4.3768563000000003E-2</v>
      </c>
      <c r="I224" s="3">
        <v>6.0349528999999999E-2</v>
      </c>
      <c r="J224" s="3">
        <v>5.0588231999999997E-2</v>
      </c>
      <c r="K224" s="3">
        <v>3.3582440999999998E-2</v>
      </c>
      <c r="L224" s="3">
        <v>6.1069329999999998E-2</v>
      </c>
      <c r="M224" s="3">
        <v>3.3859360999999998E-2</v>
      </c>
      <c r="N224" s="3">
        <v>6.3085820000000001E-2</v>
      </c>
      <c r="O224" s="3">
        <v>2.7967313000000001E-2</v>
      </c>
      <c r="P224" s="3">
        <v>6.3514751999999994E-2</v>
      </c>
      <c r="Q224" s="3">
        <v>3.3481193999999999E-2</v>
      </c>
      <c r="R224" s="3">
        <v>5.5981930999999999E-2</v>
      </c>
      <c r="S224" s="3">
        <v>2.6246701000000001E-2</v>
      </c>
      <c r="T224" s="3">
        <v>8.7231712000000003E-2</v>
      </c>
      <c r="U224" s="3">
        <v>3.3063047999999998E-2</v>
      </c>
      <c r="V224" s="3">
        <v>0.6189859572111116</v>
      </c>
      <c r="W224" s="3">
        <v>0.1365585420805856</v>
      </c>
      <c r="X224" s="3">
        <v>9.6724097434588041E-2</v>
      </c>
      <c r="Y224" s="3">
        <v>0.12865526869020594</v>
      </c>
      <c r="Z224" s="3">
        <v>0.13490169551378647</v>
      </c>
      <c r="AA224" s="3">
        <v>9.8048874253507959E-2</v>
      </c>
      <c r="AB224">
        <v>1</v>
      </c>
      <c r="AC224">
        <v>0</v>
      </c>
      <c r="AD224">
        <v>1</v>
      </c>
    </row>
    <row r="225" spans="1:30" x14ac:dyDescent="0.3">
      <c r="A225" s="1">
        <v>45268</v>
      </c>
      <c r="B225" s="3">
        <v>8.4169989000000001E-2</v>
      </c>
      <c r="C225" s="3">
        <v>3.3396586999999998E-2</v>
      </c>
      <c r="D225" s="3">
        <v>8.8877066000000005E-2</v>
      </c>
      <c r="E225" s="3">
        <v>3.2569802000000002E-2</v>
      </c>
      <c r="F225" s="3">
        <v>0.103207972</v>
      </c>
      <c r="G225" s="3">
        <v>3.2172185999999998E-2</v>
      </c>
      <c r="H225" s="3">
        <v>8.0737428999999999E-2</v>
      </c>
      <c r="I225" s="3">
        <v>5.2058989999999999E-2</v>
      </c>
      <c r="J225" s="3">
        <v>4.1063969999999998E-2</v>
      </c>
      <c r="K225" s="3">
        <v>3.8456281000000002E-2</v>
      </c>
      <c r="L225" s="3">
        <v>4.3768563000000003E-2</v>
      </c>
      <c r="M225" s="3">
        <v>6.0349528999999999E-2</v>
      </c>
      <c r="N225" s="3">
        <v>5.0588231999999997E-2</v>
      </c>
      <c r="O225" s="3">
        <v>3.3582440999999998E-2</v>
      </c>
      <c r="P225" s="3">
        <v>6.1069329999999998E-2</v>
      </c>
      <c r="Q225" s="3">
        <v>3.3859360999999998E-2</v>
      </c>
      <c r="R225" s="3">
        <v>6.3085820000000001E-2</v>
      </c>
      <c r="S225" s="3">
        <v>2.7967313000000001E-2</v>
      </c>
      <c r="T225" s="3">
        <v>6.3514751999999994E-2</v>
      </c>
      <c r="U225" s="3">
        <v>3.3481193999999999E-2</v>
      </c>
      <c r="V225" s="3">
        <v>0.6189859572111116</v>
      </c>
      <c r="W225" s="3">
        <v>0.1358486358659135</v>
      </c>
      <c r="X225" s="3">
        <v>9.6323571115969314E-2</v>
      </c>
      <c r="Y225" s="3">
        <v>0.12865526869020594</v>
      </c>
      <c r="Z225" s="3">
        <v>0.1349638496300391</v>
      </c>
      <c r="AA225" s="3">
        <v>9.8088061037510318E-2</v>
      </c>
      <c r="AB225">
        <v>1</v>
      </c>
      <c r="AC225">
        <v>0</v>
      </c>
      <c r="AD225">
        <v>1</v>
      </c>
    </row>
    <row r="226" spans="1:30" x14ac:dyDescent="0.3">
      <c r="A226" s="1">
        <v>45271</v>
      </c>
      <c r="B226" s="3">
        <v>7.1907556999999997E-2</v>
      </c>
      <c r="C226" s="3">
        <v>3.0408467000000002E-2</v>
      </c>
      <c r="D226" s="3">
        <v>9.7662941000000003E-2</v>
      </c>
      <c r="E226" s="3">
        <v>5.2430022E-2</v>
      </c>
      <c r="F226" s="3">
        <v>8.4169989000000001E-2</v>
      </c>
      <c r="G226" s="3">
        <v>3.3396586999999998E-2</v>
      </c>
      <c r="H226" s="3">
        <v>8.8877066000000005E-2</v>
      </c>
      <c r="I226" s="3">
        <v>3.2569802000000002E-2</v>
      </c>
      <c r="J226" s="3">
        <v>0.103207972</v>
      </c>
      <c r="K226" s="3">
        <v>3.2172185999999998E-2</v>
      </c>
      <c r="L226" s="3">
        <v>8.0737428999999999E-2</v>
      </c>
      <c r="M226" s="3">
        <v>5.2058989999999999E-2</v>
      </c>
      <c r="N226" s="3">
        <v>4.1063969999999998E-2</v>
      </c>
      <c r="O226" s="3">
        <v>3.8456281000000002E-2</v>
      </c>
      <c r="P226" s="3">
        <v>4.3768563000000003E-2</v>
      </c>
      <c r="Q226" s="3">
        <v>6.0349528999999999E-2</v>
      </c>
      <c r="R226" s="3">
        <v>5.0588231999999997E-2</v>
      </c>
      <c r="S226" s="3">
        <v>3.3582440999999998E-2</v>
      </c>
      <c r="T226" s="3">
        <v>6.1069329999999998E-2</v>
      </c>
      <c r="U226" s="3">
        <v>3.3859360999999998E-2</v>
      </c>
      <c r="V226" s="3">
        <v>0.6189859572111116</v>
      </c>
      <c r="W226" s="3">
        <v>0.13585147251763821</v>
      </c>
      <c r="X226" s="3">
        <v>9.6423871523040564E-2</v>
      </c>
      <c r="Y226" s="3">
        <v>0.16874300028685252</v>
      </c>
      <c r="Z226" s="3">
        <v>0.13489404702638191</v>
      </c>
      <c r="AA226" s="3">
        <v>9.8290058684742485E-2</v>
      </c>
      <c r="AB226">
        <v>0</v>
      </c>
      <c r="AC226">
        <v>0</v>
      </c>
      <c r="AD226">
        <v>0</v>
      </c>
    </row>
    <row r="227" spans="1:30" x14ac:dyDescent="0.3">
      <c r="A227" s="1">
        <v>45272</v>
      </c>
      <c r="B227" s="3">
        <v>8.0735371E-2</v>
      </c>
      <c r="C227" s="3">
        <v>4.6751519999999998E-2</v>
      </c>
      <c r="D227" s="3">
        <v>7.5037239000000006E-2</v>
      </c>
      <c r="E227" s="3">
        <v>6.1946378000000003E-2</v>
      </c>
      <c r="F227" s="3">
        <v>7.1907556999999997E-2</v>
      </c>
      <c r="G227" s="3">
        <v>3.0408467000000002E-2</v>
      </c>
      <c r="H227" s="3">
        <v>9.7662941000000003E-2</v>
      </c>
      <c r="I227" s="3">
        <v>5.2430022E-2</v>
      </c>
      <c r="J227" s="3">
        <v>8.4169989000000001E-2</v>
      </c>
      <c r="K227" s="3">
        <v>3.3396586999999998E-2</v>
      </c>
      <c r="L227" s="3">
        <v>8.8877066000000005E-2</v>
      </c>
      <c r="M227" s="3">
        <v>3.2569802000000002E-2</v>
      </c>
      <c r="N227" s="3">
        <v>0.103207972</v>
      </c>
      <c r="O227" s="3">
        <v>3.2172185999999998E-2</v>
      </c>
      <c r="P227" s="3">
        <v>8.0737428999999999E-2</v>
      </c>
      <c r="Q227" s="3">
        <v>5.2058989999999999E-2</v>
      </c>
      <c r="R227" s="3">
        <v>4.1063969999999998E-2</v>
      </c>
      <c r="S227" s="3">
        <v>3.8456281000000002E-2</v>
      </c>
      <c r="T227" s="3">
        <v>4.3768563000000003E-2</v>
      </c>
      <c r="U227" s="3">
        <v>6.0349528999999999E-2</v>
      </c>
      <c r="V227" s="3">
        <v>0.6189859572111116</v>
      </c>
      <c r="W227" s="3">
        <v>0.13204251845963846</v>
      </c>
      <c r="X227" s="3">
        <v>9.4487152865847537E-2</v>
      </c>
      <c r="Y227" s="3">
        <v>0.19896146475163615</v>
      </c>
      <c r="Z227" s="3">
        <v>0.13492657417506962</v>
      </c>
      <c r="AA227" s="3">
        <v>9.8478406159394072E-2</v>
      </c>
      <c r="AB227">
        <v>0</v>
      </c>
      <c r="AC227">
        <v>0</v>
      </c>
      <c r="AD227">
        <v>0</v>
      </c>
    </row>
    <row r="228" spans="1:30" x14ac:dyDescent="0.3">
      <c r="A228" s="1">
        <v>45273</v>
      </c>
      <c r="B228" s="3">
        <v>5.3135149999999999E-2</v>
      </c>
      <c r="C228" s="3">
        <v>4.8795658999999998E-2</v>
      </c>
      <c r="D228" s="3">
        <v>5.7410458999999997E-2</v>
      </c>
      <c r="E228" s="3">
        <v>5.2262532E-2</v>
      </c>
      <c r="F228" s="3">
        <v>8.0735371E-2</v>
      </c>
      <c r="G228" s="3">
        <v>4.6751519999999998E-2</v>
      </c>
      <c r="H228" s="3">
        <v>7.5037239000000006E-2</v>
      </c>
      <c r="I228" s="3">
        <v>6.1946378000000003E-2</v>
      </c>
      <c r="J228" s="3">
        <v>7.1907556999999997E-2</v>
      </c>
      <c r="K228" s="3">
        <v>3.0408467000000002E-2</v>
      </c>
      <c r="L228" s="3">
        <v>9.7662941000000003E-2</v>
      </c>
      <c r="M228" s="3">
        <v>5.2430022E-2</v>
      </c>
      <c r="N228" s="3">
        <v>8.4169989000000001E-2</v>
      </c>
      <c r="O228" s="3">
        <v>3.3396586999999998E-2</v>
      </c>
      <c r="P228" s="3">
        <v>8.8877066000000005E-2</v>
      </c>
      <c r="Q228" s="3">
        <v>3.2569802000000002E-2</v>
      </c>
      <c r="R228" s="3">
        <v>0.103207972</v>
      </c>
      <c r="S228" s="3">
        <v>3.2172185999999998E-2</v>
      </c>
      <c r="T228" s="3">
        <v>8.0737428999999999E-2</v>
      </c>
      <c r="U228" s="3">
        <v>5.2058989999999999E-2</v>
      </c>
      <c r="V228" s="3">
        <v>0.49948170998207886</v>
      </c>
      <c r="W228" s="3">
        <v>0.13113850624502463</v>
      </c>
      <c r="X228" s="3">
        <v>9.355633961931456E-2</v>
      </c>
      <c r="Y228" s="3">
        <v>0.2164743050820524</v>
      </c>
      <c r="Z228" s="3">
        <v>0.1346155637003931</v>
      </c>
      <c r="AA228" s="3">
        <v>9.8558158379718014E-2</v>
      </c>
      <c r="AB228">
        <v>0</v>
      </c>
      <c r="AC228">
        <v>0</v>
      </c>
      <c r="AD228">
        <v>0</v>
      </c>
    </row>
    <row r="229" spans="1:30" x14ac:dyDescent="0.3">
      <c r="A229" s="1">
        <v>45274</v>
      </c>
      <c r="B229" s="3">
        <v>9.4407630000000006E-2</v>
      </c>
      <c r="C229" s="3">
        <v>5.3481504999999999E-2</v>
      </c>
      <c r="D229" s="3">
        <v>0.16484162199999999</v>
      </c>
      <c r="E229" s="3">
        <v>0.11589408499999999</v>
      </c>
      <c r="F229" s="3">
        <v>5.3135149999999999E-2</v>
      </c>
      <c r="G229" s="3">
        <v>4.8795658999999998E-2</v>
      </c>
      <c r="H229" s="3">
        <v>5.7410458999999997E-2</v>
      </c>
      <c r="I229" s="3">
        <v>5.2262532E-2</v>
      </c>
      <c r="J229" s="3">
        <v>8.0735371E-2</v>
      </c>
      <c r="K229" s="3">
        <v>4.6751519999999998E-2</v>
      </c>
      <c r="L229" s="3">
        <v>7.5037239000000006E-2</v>
      </c>
      <c r="M229" s="3">
        <v>6.1946378000000003E-2</v>
      </c>
      <c r="N229" s="3">
        <v>7.1907556999999997E-2</v>
      </c>
      <c r="O229" s="3">
        <v>3.0408467000000002E-2</v>
      </c>
      <c r="P229" s="3">
        <v>9.7662941000000003E-2</v>
      </c>
      <c r="Q229" s="3">
        <v>5.2430022E-2</v>
      </c>
      <c r="R229" s="3">
        <v>8.4169989000000001E-2</v>
      </c>
      <c r="S229" s="3">
        <v>3.3396586999999998E-2</v>
      </c>
      <c r="T229" s="3">
        <v>8.8877066000000005E-2</v>
      </c>
      <c r="U229" s="3">
        <v>3.2569802000000002E-2</v>
      </c>
      <c r="V229" s="3">
        <v>0.6189859572111116</v>
      </c>
      <c r="W229" s="3">
        <v>0.13183826447778946</v>
      </c>
      <c r="X229" s="3">
        <v>9.4304428492718029E-2</v>
      </c>
      <c r="Y229" s="3">
        <v>0.2164743050820524</v>
      </c>
      <c r="Z229" s="3">
        <v>0.13581408026416208</v>
      </c>
      <c r="AA229" s="3">
        <v>9.9337569127293399E-2</v>
      </c>
      <c r="AB229">
        <v>0</v>
      </c>
      <c r="AC229">
        <v>0</v>
      </c>
      <c r="AD229">
        <v>0</v>
      </c>
    </row>
    <row r="230" spans="1:30" x14ac:dyDescent="0.3">
      <c r="A230" s="1">
        <v>45275</v>
      </c>
      <c r="B230" s="3">
        <v>0.124977993</v>
      </c>
      <c r="C230" s="3">
        <v>4.8633515000000002E-2</v>
      </c>
      <c r="D230" s="3">
        <v>0.118068859</v>
      </c>
      <c r="E230" s="3">
        <v>9.2906259000000005E-2</v>
      </c>
      <c r="F230" s="3">
        <v>9.4407630000000006E-2</v>
      </c>
      <c r="G230" s="3">
        <v>5.3481504999999999E-2</v>
      </c>
      <c r="H230" s="3">
        <v>0.16484162199999999</v>
      </c>
      <c r="I230" s="3">
        <v>0.11589408499999999</v>
      </c>
      <c r="J230" s="3">
        <v>5.3135149999999999E-2</v>
      </c>
      <c r="K230" s="3">
        <v>4.8795658999999998E-2</v>
      </c>
      <c r="L230" s="3">
        <v>5.7410458999999997E-2</v>
      </c>
      <c r="M230" s="3">
        <v>5.2262532E-2</v>
      </c>
      <c r="N230" s="3">
        <v>8.0735371E-2</v>
      </c>
      <c r="O230" s="3">
        <v>4.6751519999999998E-2</v>
      </c>
      <c r="P230" s="3">
        <v>7.5037239000000006E-2</v>
      </c>
      <c r="Q230" s="3">
        <v>6.1946378000000003E-2</v>
      </c>
      <c r="R230" s="3">
        <v>7.1907556999999997E-2</v>
      </c>
      <c r="S230" s="3">
        <v>3.0408467000000002E-2</v>
      </c>
      <c r="T230" s="3">
        <v>9.7662941000000003E-2</v>
      </c>
      <c r="U230" s="3">
        <v>5.2430022E-2</v>
      </c>
      <c r="V230" s="3">
        <v>0.6189859572111116</v>
      </c>
      <c r="W230" s="3">
        <v>0.13136432665884731</v>
      </c>
      <c r="X230" s="3">
        <v>9.4434981922928082E-2</v>
      </c>
      <c r="Y230" s="3">
        <v>0.23447881030587439</v>
      </c>
      <c r="Z230" s="3">
        <v>0.13564590159246379</v>
      </c>
      <c r="AA230" s="3">
        <v>9.9500255099332136E-2</v>
      </c>
      <c r="AB230">
        <v>0</v>
      </c>
      <c r="AC230">
        <v>0</v>
      </c>
      <c r="AD230">
        <v>0</v>
      </c>
    </row>
    <row r="231" spans="1:30" x14ac:dyDescent="0.3">
      <c r="A231" s="1">
        <v>45278</v>
      </c>
      <c r="B231" s="3">
        <v>0.148337687</v>
      </c>
      <c r="C231" s="3">
        <v>8.2925613999999995E-2</v>
      </c>
      <c r="D231" s="3">
        <v>0.17587544899999999</v>
      </c>
      <c r="E231" s="3">
        <v>0.100658108</v>
      </c>
      <c r="F231" s="3">
        <v>0.124977993</v>
      </c>
      <c r="G231" s="3">
        <v>4.8633515000000002E-2</v>
      </c>
      <c r="H231" s="3">
        <v>0.118068859</v>
      </c>
      <c r="I231" s="3">
        <v>9.2906259000000005E-2</v>
      </c>
      <c r="J231" s="3">
        <v>9.4407630000000006E-2</v>
      </c>
      <c r="K231" s="3">
        <v>5.3481504999999999E-2</v>
      </c>
      <c r="L231" s="3">
        <v>0.16484162199999999</v>
      </c>
      <c r="M231" s="3">
        <v>0.11589408499999999</v>
      </c>
      <c r="N231" s="3">
        <v>5.3135149999999999E-2</v>
      </c>
      <c r="O231" s="3">
        <v>4.8795658999999998E-2</v>
      </c>
      <c r="P231" s="3">
        <v>5.7410458999999997E-2</v>
      </c>
      <c r="Q231" s="3">
        <v>5.2262532E-2</v>
      </c>
      <c r="R231" s="3">
        <v>8.0735371E-2</v>
      </c>
      <c r="S231" s="3">
        <v>4.6751519999999998E-2</v>
      </c>
      <c r="T231" s="3">
        <v>7.5037239000000006E-2</v>
      </c>
      <c r="U231" s="3">
        <v>6.1946378000000003E-2</v>
      </c>
      <c r="V231" s="3">
        <v>0.6189859572111116</v>
      </c>
      <c r="W231" s="3">
        <v>0.13026505065468072</v>
      </c>
      <c r="X231" s="3">
        <v>9.3787663301117583E-2</v>
      </c>
      <c r="Y231" s="3">
        <v>0.23447881030587439</v>
      </c>
      <c r="Z231" s="3">
        <v>0.13443189076179232</v>
      </c>
      <c r="AA231" s="3">
        <v>9.8624913989364113E-2</v>
      </c>
      <c r="AB231">
        <v>0</v>
      </c>
      <c r="AC231">
        <v>0</v>
      </c>
      <c r="AD231">
        <v>0</v>
      </c>
    </row>
    <row r="232" spans="1:30" x14ac:dyDescent="0.3">
      <c r="A232" s="1">
        <v>45279</v>
      </c>
      <c r="B232" s="3">
        <v>0.166827471</v>
      </c>
      <c r="C232" s="3">
        <v>0.14604898299999999</v>
      </c>
      <c r="D232" s="3">
        <v>0.19415928199999999</v>
      </c>
      <c r="E232" s="3">
        <v>0.20795983300000001</v>
      </c>
      <c r="F232" s="3">
        <v>0.148337687</v>
      </c>
      <c r="G232" s="3">
        <v>8.2925613999999995E-2</v>
      </c>
      <c r="H232" s="3">
        <v>0.17587544899999999</v>
      </c>
      <c r="I232" s="3">
        <v>0.100658108</v>
      </c>
      <c r="J232" s="3">
        <v>0.124977993</v>
      </c>
      <c r="K232" s="3">
        <v>4.8633515000000002E-2</v>
      </c>
      <c r="L232" s="3">
        <v>0.118068859</v>
      </c>
      <c r="M232" s="3">
        <v>9.2906259000000005E-2</v>
      </c>
      <c r="N232" s="3">
        <v>9.4407630000000006E-2</v>
      </c>
      <c r="O232" s="3">
        <v>5.3481504999999999E-2</v>
      </c>
      <c r="P232" s="3">
        <v>0.16484162199999999</v>
      </c>
      <c r="Q232" s="3">
        <v>0.11589408499999999</v>
      </c>
      <c r="R232" s="3">
        <v>5.3135149999999999E-2</v>
      </c>
      <c r="S232" s="3">
        <v>4.8795658999999998E-2</v>
      </c>
      <c r="T232" s="3">
        <v>5.7410458999999997E-2</v>
      </c>
      <c r="U232" s="3">
        <v>5.2262532E-2</v>
      </c>
      <c r="V232" s="3">
        <v>0.6189859572111116</v>
      </c>
      <c r="W232" s="3">
        <v>0.12602013002823984</v>
      </c>
      <c r="X232" s="3">
        <v>8.9366915700392777E-2</v>
      </c>
      <c r="Y232" s="3">
        <v>0.2164743050820524</v>
      </c>
      <c r="Z232" s="3">
        <v>0.13459952347966977</v>
      </c>
      <c r="AA232" s="3">
        <v>9.8369868956299816E-2</v>
      </c>
      <c r="AB232">
        <v>0</v>
      </c>
      <c r="AC232">
        <v>0</v>
      </c>
      <c r="AD232">
        <v>0</v>
      </c>
    </row>
    <row r="233" spans="1:30" x14ac:dyDescent="0.3">
      <c r="A233" s="1">
        <v>45280</v>
      </c>
      <c r="B233" s="3">
        <v>1.5686823999999999E-2</v>
      </c>
      <c r="C233" s="3">
        <v>2.6512095999999999E-2</v>
      </c>
      <c r="D233" s="3">
        <v>3.0799079E-2</v>
      </c>
      <c r="E233" s="3">
        <v>2.8493069999999999E-2</v>
      </c>
      <c r="F233" s="3">
        <v>0.166827471</v>
      </c>
      <c r="G233" s="3">
        <v>0.14604898299999999</v>
      </c>
      <c r="H233" s="3">
        <v>0.19415928199999999</v>
      </c>
      <c r="I233" s="3">
        <v>0.20795983300000001</v>
      </c>
      <c r="J233" s="3">
        <v>0.148337687</v>
      </c>
      <c r="K233" s="3">
        <v>8.2925613999999995E-2</v>
      </c>
      <c r="L233" s="3">
        <v>0.17587544899999999</v>
      </c>
      <c r="M233" s="3">
        <v>0.100658108</v>
      </c>
      <c r="N233" s="3">
        <v>0.124977993</v>
      </c>
      <c r="O233" s="3">
        <v>4.8633515000000002E-2</v>
      </c>
      <c r="P233" s="3">
        <v>0.118068859</v>
      </c>
      <c r="Q233" s="3">
        <v>9.2906259000000005E-2</v>
      </c>
      <c r="R233" s="3">
        <v>9.4407630000000006E-2</v>
      </c>
      <c r="S233" s="3">
        <v>5.3481504999999999E-2</v>
      </c>
      <c r="T233" s="3">
        <v>0.16484162199999999</v>
      </c>
      <c r="U233" s="3">
        <v>0.11589408499999999</v>
      </c>
      <c r="V233" s="3">
        <v>0.64130528957392241</v>
      </c>
      <c r="W233" s="3">
        <v>0.12613447228491942</v>
      </c>
      <c r="X233" s="3">
        <v>8.9626081014360495E-2</v>
      </c>
      <c r="Y233" s="3">
        <v>0.23447881030587439</v>
      </c>
      <c r="Z233" s="3">
        <v>0.13470504360049038</v>
      </c>
      <c r="AA233" s="3">
        <v>9.861063648424738E-2</v>
      </c>
      <c r="AB233">
        <v>0</v>
      </c>
      <c r="AC233">
        <v>0</v>
      </c>
      <c r="AD233">
        <v>0</v>
      </c>
    </row>
    <row r="234" spans="1:30" x14ac:dyDescent="0.3">
      <c r="A234" s="1">
        <v>45281</v>
      </c>
      <c r="B234" s="3">
        <v>5.2342899999999998E-2</v>
      </c>
      <c r="C234" s="3">
        <v>3.4142487999999999E-2</v>
      </c>
      <c r="D234" s="3">
        <v>6.1199327999999997E-2</v>
      </c>
      <c r="E234" s="3">
        <v>4.250582E-2</v>
      </c>
      <c r="F234" s="3">
        <v>1.5686823999999999E-2</v>
      </c>
      <c r="G234" s="3">
        <v>2.6512095999999999E-2</v>
      </c>
      <c r="H234" s="3">
        <v>3.0799079E-2</v>
      </c>
      <c r="I234" s="3">
        <v>2.8493069999999999E-2</v>
      </c>
      <c r="J234" s="3">
        <v>0.166827471</v>
      </c>
      <c r="K234" s="3">
        <v>0.14604898299999999</v>
      </c>
      <c r="L234" s="3">
        <v>0.19415928199999999</v>
      </c>
      <c r="M234" s="3">
        <v>0.20795983300000001</v>
      </c>
      <c r="N234" s="3">
        <v>0.148337687</v>
      </c>
      <c r="O234" s="3">
        <v>8.2925613999999995E-2</v>
      </c>
      <c r="P234" s="3">
        <v>0.17587544899999999</v>
      </c>
      <c r="Q234" s="3">
        <v>0.100658108</v>
      </c>
      <c r="R234" s="3">
        <v>0.124977993</v>
      </c>
      <c r="S234" s="3">
        <v>4.8633515000000002E-2</v>
      </c>
      <c r="T234" s="3">
        <v>0.118068859</v>
      </c>
      <c r="U234" s="3">
        <v>9.2906259000000005E-2</v>
      </c>
      <c r="V234" s="3">
        <v>0.52269252353198681</v>
      </c>
      <c r="W234" s="3">
        <v>0.12689425917465061</v>
      </c>
      <c r="X234" s="3">
        <v>8.9496566300608982E-2</v>
      </c>
      <c r="Y234" s="3">
        <v>0.23447881030587439</v>
      </c>
      <c r="Z234" s="3">
        <v>0.13500736913209047</v>
      </c>
      <c r="AA234" s="3">
        <v>9.8722777467144876E-2</v>
      </c>
      <c r="AB234">
        <v>1</v>
      </c>
      <c r="AC234">
        <v>0</v>
      </c>
      <c r="AD234">
        <v>1</v>
      </c>
    </row>
    <row r="235" spans="1:30" x14ac:dyDescent="0.3">
      <c r="A235" s="1">
        <v>45282</v>
      </c>
      <c r="B235" s="3">
        <v>5.6626584000000001E-2</v>
      </c>
      <c r="C235" s="3">
        <v>6.9316180000000005E-2</v>
      </c>
      <c r="D235" s="3">
        <v>7.2722887999999999E-2</v>
      </c>
      <c r="E235" s="3">
        <v>5.6827593000000003E-2</v>
      </c>
      <c r="F235" s="3">
        <v>5.2342899999999998E-2</v>
      </c>
      <c r="G235" s="3">
        <v>3.4142487999999999E-2</v>
      </c>
      <c r="H235" s="3">
        <v>6.1199327999999997E-2</v>
      </c>
      <c r="I235" s="3">
        <v>4.250582E-2</v>
      </c>
      <c r="J235" s="3">
        <v>1.5686823999999999E-2</v>
      </c>
      <c r="K235" s="3">
        <v>2.6512095999999999E-2</v>
      </c>
      <c r="L235" s="3">
        <v>3.0799079E-2</v>
      </c>
      <c r="M235" s="3">
        <v>2.8493069999999999E-2</v>
      </c>
      <c r="N235" s="3">
        <v>0.166827471</v>
      </c>
      <c r="O235" s="3">
        <v>0.14604898299999999</v>
      </c>
      <c r="P235" s="3">
        <v>0.19415928199999999</v>
      </c>
      <c r="Q235" s="3">
        <v>0.20795983300000001</v>
      </c>
      <c r="R235" s="3">
        <v>0.148337687</v>
      </c>
      <c r="S235" s="3">
        <v>8.2925613999999995E-2</v>
      </c>
      <c r="T235" s="3">
        <v>0.17587544899999999</v>
      </c>
      <c r="U235" s="3">
        <v>0.100658108</v>
      </c>
      <c r="V235" s="3">
        <v>0.64130528957392241</v>
      </c>
      <c r="W235" s="3">
        <v>0.12353073795931764</v>
      </c>
      <c r="X235" s="3">
        <v>8.689138363877251E-2</v>
      </c>
      <c r="Y235" s="3">
        <v>0.23447881030587439</v>
      </c>
      <c r="Z235" s="3">
        <v>0.1347531735198986</v>
      </c>
      <c r="AA235" s="3">
        <v>9.8498878932440581E-2</v>
      </c>
      <c r="AB235">
        <v>1</v>
      </c>
      <c r="AC235">
        <v>0</v>
      </c>
      <c r="AD235">
        <v>1</v>
      </c>
    </row>
    <row r="236" spans="1:30" x14ac:dyDescent="0.3">
      <c r="A236" s="1">
        <v>45285</v>
      </c>
      <c r="B236" s="3">
        <v>3.7186484999999998E-2</v>
      </c>
      <c r="C236" s="3">
        <v>2.3093968999999999E-2</v>
      </c>
      <c r="D236" s="3">
        <v>4.9140523999999998E-2</v>
      </c>
      <c r="E236" s="3">
        <v>3.8834761000000002E-2</v>
      </c>
      <c r="F236" s="3">
        <v>5.6626584000000001E-2</v>
      </c>
      <c r="G236" s="3">
        <v>6.9316180000000005E-2</v>
      </c>
      <c r="H236" s="3">
        <v>7.2722887999999999E-2</v>
      </c>
      <c r="I236" s="3">
        <v>5.6827593000000003E-2</v>
      </c>
      <c r="J236" s="3">
        <v>5.2342899999999998E-2</v>
      </c>
      <c r="K236" s="3">
        <v>3.4142487999999999E-2</v>
      </c>
      <c r="L236" s="3">
        <v>6.1199327999999997E-2</v>
      </c>
      <c r="M236" s="3">
        <v>4.250582E-2</v>
      </c>
      <c r="N236" s="3">
        <v>1.5686823999999999E-2</v>
      </c>
      <c r="O236" s="3">
        <v>2.6512095999999999E-2</v>
      </c>
      <c r="P236" s="3">
        <v>3.0799079E-2</v>
      </c>
      <c r="Q236" s="3">
        <v>2.8493069999999999E-2</v>
      </c>
      <c r="R236" s="3">
        <v>0.166827471</v>
      </c>
      <c r="S236" s="3">
        <v>0.14604898299999999</v>
      </c>
      <c r="T236" s="3">
        <v>0.19415928199999999</v>
      </c>
      <c r="U236" s="3">
        <v>0.20795983300000001</v>
      </c>
      <c r="V236" s="3">
        <v>0.52269252353198681</v>
      </c>
      <c r="W236" s="3">
        <v>0.12352863207628371</v>
      </c>
      <c r="X236" s="3">
        <v>8.6624548392285727E-2</v>
      </c>
      <c r="Y236" s="3">
        <v>0.2164743050820524</v>
      </c>
      <c r="Z236" s="3">
        <v>0.13464564141463256</v>
      </c>
      <c r="AA236" s="3">
        <v>9.8249146643455937E-2</v>
      </c>
      <c r="AB236">
        <v>0</v>
      </c>
      <c r="AC236">
        <v>1</v>
      </c>
      <c r="AD236">
        <v>1</v>
      </c>
    </row>
    <row r="237" spans="1:30" x14ac:dyDescent="0.3">
      <c r="A237" s="1">
        <v>45286</v>
      </c>
      <c r="B237" s="3">
        <v>4.0629727999999997E-2</v>
      </c>
      <c r="C237" s="3">
        <v>5.8935387999999998E-2</v>
      </c>
      <c r="D237" s="3">
        <v>4.7726327999999998E-2</v>
      </c>
      <c r="E237" s="3">
        <v>3.8684323E-2</v>
      </c>
      <c r="F237" s="3">
        <v>3.7186484999999998E-2</v>
      </c>
      <c r="G237" s="3">
        <v>2.3093968999999999E-2</v>
      </c>
      <c r="H237" s="3">
        <v>4.9140523999999998E-2</v>
      </c>
      <c r="I237" s="3">
        <v>3.8834761000000002E-2</v>
      </c>
      <c r="J237" s="3">
        <v>5.6626584000000001E-2</v>
      </c>
      <c r="K237" s="3">
        <v>6.9316180000000005E-2</v>
      </c>
      <c r="L237" s="3">
        <v>7.2722887999999999E-2</v>
      </c>
      <c r="M237" s="3">
        <v>5.6827593000000003E-2</v>
      </c>
      <c r="N237" s="3">
        <v>5.2342899999999998E-2</v>
      </c>
      <c r="O237" s="3">
        <v>3.4142487999999999E-2</v>
      </c>
      <c r="P237" s="3">
        <v>6.1199327999999997E-2</v>
      </c>
      <c r="Q237" s="3">
        <v>4.250582E-2</v>
      </c>
      <c r="R237" s="3">
        <v>1.5686823999999999E-2</v>
      </c>
      <c r="S237" s="3">
        <v>2.6512095999999999E-2</v>
      </c>
      <c r="T237" s="3">
        <v>3.0799079E-2</v>
      </c>
      <c r="U237" s="3">
        <v>2.8493069999999999E-2</v>
      </c>
      <c r="V237" s="3">
        <v>0.52269252353198681</v>
      </c>
      <c r="W237" s="3">
        <v>0.12473634778702686</v>
      </c>
      <c r="X237" s="3">
        <v>8.7538732863119181E-2</v>
      </c>
      <c r="Y237" s="3">
        <v>0.23447881030587439</v>
      </c>
      <c r="Z237" s="3">
        <v>0.13507131847869108</v>
      </c>
      <c r="AA237" s="3">
        <v>9.8916625705466943E-2</v>
      </c>
      <c r="AB237">
        <v>0</v>
      </c>
      <c r="AC237">
        <v>1</v>
      </c>
      <c r="AD237">
        <v>1</v>
      </c>
    </row>
    <row r="238" spans="1:30" x14ac:dyDescent="0.3">
      <c r="A238" s="1">
        <v>45287</v>
      </c>
      <c r="B238" s="3">
        <v>2.2427132999999998E-2</v>
      </c>
      <c r="C238" s="3">
        <v>3.8100672000000002E-2</v>
      </c>
      <c r="D238" s="3">
        <v>4.8348055000000001E-2</v>
      </c>
      <c r="E238" s="3">
        <v>4.4926889999999997E-2</v>
      </c>
      <c r="F238" s="3">
        <v>4.0629727999999997E-2</v>
      </c>
      <c r="G238" s="3">
        <v>5.8935387999999998E-2</v>
      </c>
      <c r="H238" s="3">
        <v>4.7726327999999998E-2</v>
      </c>
      <c r="I238" s="3">
        <v>3.8684323E-2</v>
      </c>
      <c r="J238" s="3">
        <v>3.7186484999999998E-2</v>
      </c>
      <c r="K238" s="3">
        <v>2.3093968999999999E-2</v>
      </c>
      <c r="L238" s="3">
        <v>4.9140523999999998E-2</v>
      </c>
      <c r="M238" s="3">
        <v>3.8834761000000002E-2</v>
      </c>
      <c r="N238" s="3">
        <v>5.6626584000000001E-2</v>
      </c>
      <c r="O238" s="3">
        <v>6.9316180000000005E-2</v>
      </c>
      <c r="P238" s="3">
        <v>7.2722887999999999E-2</v>
      </c>
      <c r="Q238" s="3">
        <v>5.6827593000000003E-2</v>
      </c>
      <c r="R238" s="3">
        <v>5.2342899999999998E-2</v>
      </c>
      <c r="S238" s="3">
        <v>3.4142487999999999E-2</v>
      </c>
      <c r="T238" s="3">
        <v>6.1199327999999997E-2</v>
      </c>
      <c r="U238" s="3">
        <v>4.250582E-2</v>
      </c>
      <c r="V238" s="3">
        <v>0.52269252353198681</v>
      </c>
      <c r="W238" s="3">
        <v>0.12520866513199883</v>
      </c>
      <c r="X238" s="3">
        <v>8.7808420345787813E-2</v>
      </c>
      <c r="Y238" s="3">
        <v>0.25124448861610316</v>
      </c>
      <c r="Z238" s="3">
        <v>0.13204772119214386</v>
      </c>
      <c r="AA238" s="3">
        <v>9.6028672202607676E-2</v>
      </c>
      <c r="AB238">
        <v>0</v>
      </c>
      <c r="AC238">
        <v>1</v>
      </c>
      <c r="AD238">
        <v>1</v>
      </c>
    </row>
    <row r="239" spans="1:30" x14ac:dyDescent="0.3">
      <c r="A239" s="1">
        <v>45288</v>
      </c>
      <c r="B239" s="3">
        <v>5.4268447999999997E-2</v>
      </c>
      <c r="C239" s="3">
        <v>3.1834966999999999E-2</v>
      </c>
      <c r="D239" s="3">
        <v>9.2307193999999995E-2</v>
      </c>
      <c r="E239" s="3">
        <v>4.9542989000000003E-2</v>
      </c>
      <c r="F239" s="3">
        <v>2.2427132999999998E-2</v>
      </c>
      <c r="G239" s="3">
        <v>3.8100672000000002E-2</v>
      </c>
      <c r="H239" s="3">
        <v>4.8348055000000001E-2</v>
      </c>
      <c r="I239" s="3">
        <v>4.4926889999999997E-2</v>
      </c>
      <c r="J239" s="3">
        <v>4.0629727999999997E-2</v>
      </c>
      <c r="K239" s="3">
        <v>5.8935387999999998E-2</v>
      </c>
      <c r="L239" s="3">
        <v>4.7726327999999998E-2</v>
      </c>
      <c r="M239" s="3">
        <v>3.8684323E-2</v>
      </c>
      <c r="N239" s="3">
        <v>3.7186484999999998E-2</v>
      </c>
      <c r="O239" s="3">
        <v>2.3093968999999999E-2</v>
      </c>
      <c r="P239" s="3">
        <v>4.9140523999999998E-2</v>
      </c>
      <c r="Q239" s="3">
        <v>3.8834761000000002E-2</v>
      </c>
      <c r="R239" s="3">
        <v>5.6626584000000001E-2</v>
      </c>
      <c r="S239" s="3">
        <v>6.9316180000000005E-2</v>
      </c>
      <c r="T239" s="3">
        <v>7.2722887999999999E-2</v>
      </c>
      <c r="U239" s="3">
        <v>5.6827593000000003E-2</v>
      </c>
      <c r="V239" s="3">
        <v>0.52269252353198681</v>
      </c>
      <c r="W239" s="3">
        <v>0.12378689082704444</v>
      </c>
      <c r="X239" s="3">
        <v>8.6995479427693465E-2</v>
      </c>
      <c r="Y239" s="3">
        <v>0.30892512764331903</v>
      </c>
      <c r="Z239" s="3">
        <v>0.13156933130492338</v>
      </c>
      <c r="AA239" s="3">
        <v>9.5942619489510203E-2</v>
      </c>
      <c r="AB239">
        <v>0</v>
      </c>
      <c r="AC239">
        <v>1</v>
      </c>
      <c r="AD239">
        <v>1</v>
      </c>
    </row>
    <row r="240" spans="1:30" x14ac:dyDescent="0.3">
      <c r="A240" s="1">
        <v>45289</v>
      </c>
      <c r="B240" s="3">
        <v>4.4894617999999997E-2</v>
      </c>
      <c r="C240" s="3">
        <v>2.8247297000000001E-2</v>
      </c>
      <c r="D240" s="3">
        <v>7.5114649000000006E-2</v>
      </c>
      <c r="E240" s="3">
        <v>4.3910444E-2</v>
      </c>
      <c r="F240" s="3">
        <v>5.4268447999999997E-2</v>
      </c>
      <c r="G240" s="3">
        <v>3.1834966999999999E-2</v>
      </c>
      <c r="H240" s="3">
        <v>9.2307193999999995E-2</v>
      </c>
      <c r="I240" s="3">
        <v>4.9542989000000003E-2</v>
      </c>
      <c r="J240" s="3">
        <v>2.2427132999999998E-2</v>
      </c>
      <c r="K240" s="3">
        <v>3.8100672000000002E-2</v>
      </c>
      <c r="L240" s="3">
        <v>4.8348055000000001E-2</v>
      </c>
      <c r="M240" s="3">
        <v>4.4926889999999997E-2</v>
      </c>
      <c r="N240" s="3">
        <v>4.0629727999999997E-2</v>
      </c>
      <c r="O240" s="3">
        <v>5.8935387999999998E-2</v>
      </c>
      <c r="P240" s="3">
        <v>4.7726327999999998E-2</v>
      </c>
      <c r="Q240" s="3">
        <v>3.8684323E-2</v>
      </c>
      <c r="R240" s="3">
        <v>3.7186484999999998E-2</v>
      </c>
      <c r="S240" s="3">
        <v>2.3093968999999999E-2</v>
      </c>
      <c r="T240" s="3">
        <v>4.9140523999999998E-2</v>
      </c>
      <c r="U240" s="3">
        <v>3.8834761000000002E-2</v>
      </c>
      <c r="V240" s="3">
        <v>0.52269252353198681</v>
      </c>
      <c r="W240" s="3">
        <v>0.11978820539017346</v>
      </c>
      <c r="X240" s="3">
        <v>8.3324856512259293E-2</v>
      </c>
      <c r="Y240" s="3">
        <v>0.36904852507208524</v>
      </c>
      <c r="Z240" s="3">
        <v>0.13156102819808521</v>
      </c>
      <c r="AA240" s="3">
        <v>9.6052474348007857E-2</v>
      </c>
      <c r="AB240">
        <v>0</v>
      </c>
      <c r="AC240">
        <v>1</v>
      </c>
      <c r="AD240">
        <v>1</v>
      </c>
    </row>
    <row r="241" spans="6:21" x14ac:dyDescent="0.3">
      <c r="F241" s="3">
        <v>4.4894617999999997E-2</v>
      </c>
      <c r="G241" s="3">
        <v>2.8247297000000001E-2</v>
      </c>
      <c r="H241" s="3">
        <v>7.5114649000000006E-2</v>
      </c>
      <c r="I241" s="3">
        <v>4.3910444E-2</v>
      </c>
      <c r="J241" s="3">
        <v>5.4268447999999997E-2</v>
      </c>
      <c r="K241" s="3">
        <v>3.1834966999999999E-2</v>
      </c>
      <c r="L241" s="3">
        <v>9.2307193999999995E-2</v>
      </c>
      <c r="M241" s="3">
        <v>4.9542989000000003E-2</v>
      </c>
      <c r="N241" s="3">
        <v>2.2427132999999998E-2</v>
      </c>
      <c r="O241" s="3">
        <v>3.8100672000000002E-2</v>
      </c>
      <c r="P241" s="3">
        <v>4.8348055000000001E-2</v>
      </c>
      <c r="Q241" s="3">
        <v>4.4926889999999997E-2</v>
      </c>
      <c r="R241" s="3">
        <v>4.0629727999999997E-2</v>
      </c>
      <c r="S241" s="3">
        <v>5.8935387999999998E-2</v>
      </c>
      <c r="T241" s="3">
        <v>4.7726327999999998E-2</v>
      </c>
      <c r="U241" s="3">
        <v>3.8684323E-2</v>
      </c>
    </row>
    <row r="242" spans="6:21" x14ac:dyDescent="0.3">
      <c r="J242" s="3">
        <v>4.4894617999999997E-2</v>
      </c>
      <c r="K242" s="3">
        <v>2.8247297000000001E-2</v>
      </c>
      <c r="L242" s="3">
        <v>7.5114649000000006E-2</v>
      </c>
      <c r="M242" s="3">
        <v>4.3910444E-2</v>
      </c>
      <c r="N242" s="3">
        <v>5.4268447999999997E-2</v>
      </c>
      <c r="O242" s="3">
        <v>3.1834966999999999E-2</v>
      </c>
      <c r="P242" s="3">
        <v>9.2307193999999995E-2</v>
      </c>
      <c r="Q242" s="3">
        <v>4.9542989000000003E-2</v>
      </c>
      <c r="R242" s="3">
        <v>2.2427132999999998E-2</v>
      </c>
      <c r="S242" s="3">
        <v>3.8100672000000002E-2</v>
      </c>
      <c r="T242" s="3">
        <v>4.8348055000000001E-2</v>
      </c>
      <c r="U242" s="3">
        <v>4.4926889999999997E-2</v>
      </c>
    </row>
    <row r="243" spans="6:21" x14ac:dyDescent="0.3">
      <c r="N243" s="3">
        <v>4.4894617999999997E-2</v>
      </c>
      <c r="O243" s="3">
        <v>2.8247297000000001E-2</v>
      </c>
      <c r="P243" s="3">
        <v>7.5114649000000006E-2</v>
      </c>
      <c r="Q243" s="3">
        <v>4.3910444E-2</v>
      </c>
      <c r="R243" s="3">
        <v>5.4268447999999997E-2</v>
      </c>
      <c r="S243" s="3">
        <v>3.1834966999999999E-2</v>
      </c>
      <c r="T243" s="3">
        <v>9.2307193999999995E-2</v>
      </c>
      <c r="U243" s="3">
        <v>4.9542989000000003E-2</v>
      </c>
    </row>
    <row r="244" spans="6:21" x14ac:dyDescent="0.3">
      <c r="R244" s="3">
        <v>4.4894617999999997E-2</v>
      </c>
      <c r="S244" s="3">
        <v>2.8247297000000001E-2</v>
      </c>
      <c r="T244" s="3">
        <v>7.5114649000000006E-2</v>
      </c>
      <c r="U244" s="3">
        <v>4.3910444E-2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4BE79-C68E-4C37-BC16-F67848D69AC2}">
  <dimension ref="A1:AH732"/>
  <sheetViews>
    <sheetView tabSelected="1" workbookViewId="0">
      <selection activeCell="AE11" sqref="AE11"/>
    </sheetView>
  </sheetViews>
  <sheetFormatPr defaultRowHeight="16.2" x14ac:dyDescent="0.3"/>
  <cols>
    <col min="1" max="1" width="10.6640625" bestFit="1" customWidth="1"/>
    <col min="2" max="5" width="9.6640625" style="7" bestFit="1" customWidth="1"/>
    <col min="6" max="21" width="8.88671875" style="7"/>
    <col min="22" max="22" width="10.33203125" style="7" bestFit="1" customWidth="1"/>
    <col min="23" max="27" width="8.88671875" style="7"/>
    <col min="28" max="28" width="16" customWidth="1"/>
    <col min="29" max="29" width="15.88671875" customWidth="1"/>
    <col min="30" max="30" width="26.33203125" customWidth="1"/>
    <col min="32" max="33" width="15.88671875" customWidth="1"/>
    <col min="34" max="34" width="26.33203125" customWidth="1"/>
  </cols>
  <sheetData>
    <row r="1" spans="1:34" x14ac:dyDescent="0.3">
      <c r="A1" s="5" t="s">
        <v>0</v>
      </c>
      <c r="B1" s="7" t="s">
        <v>300</v>
      </c>
      <c r="C1" s="7" t="s">
        <v>301</v>
      </c>
      <c r="D1" s="7" t="s">
        <v>302</v>
      </c>
      <c r="E1" s="7" t="s">
        <v>303</v>
      </c>
      <c r="F1" s="7" t="s">
        <v>271</v>
      </c>
      <c r="G1" s="7" t="s">
        <v>272</v>
      </c>
      <c r="H1" s="7" t="s">
        <v>273</v>
      </c>
      <c r="I1" s="7" t="s">
        <v>274</v>
      </c>
      <c r="J1" s="7" t="s">
        <v>275</v>
      </c>
      <c r="K1" s="7" t="s">
        <v>276</v>
      </c>
      <c r="L1" s="7" t="s">
        <v>277</v>
      </c>
      <c r="M1" s="7" t="s">
        <v>278</v>
      </c>
      <c r="N1" s="7" t="s">
        <v>279</v>
      </c>
      <c r="O1" s="7" t="s">
        <v>280</v>
      </c>
      <c r="P1" s="7" t="s">
        <v>281</v>
      </c>
      <c r="Q1" s="7" t="s">
        <v>282</v>
      </c>
      <c r="R1" s="7" t="s">
        <v>283</v>
      </c>
      <c r="S1" s="7" t="s">
        <v>284</v>
      </c>
      <c r="T1" s="7" t="s">
        <v>285</v>
      </c>
      <c r="U1" s="7" t="s">
        <v>286</v>
      </c>
      <c r="V1" s="7" t="s">
        <v>287</v>
      </c>
      <c r="W1" s="7" t="s">
        <v>288</v>
      </c>
      <c r="X1" s="7" t="s">
        <v>304</v>
      </c>
      <c r="Y1" s="7" t="s">
        <v>305</v>
      </c>
      <c r="Z1" s="7" t="s">
        <v>306</v>
      </c>
      <c r="AA1" s="7" t="s">
        <v>307</v>
      </c>
      <c r="AB1" s="4" t="s">
        <v>308</v>
      </c>
      <c r="AC1" s="4" t="s">
        <v>309</v>
      </c>
      <c r="AD1" s="4" t="s">
        <v>310</v>
      </c>
      <c r="AE1" s="4"/>
      <c r="AF1" s="4"/>
      <c r="AG1" s="4"/>
      <c r="AH1" s="4"/>
    </row>
    <row r="2" spans="1:34" x14ac:dyDescent="0.3">
      <c r="A2" s="6">
        <v>44564</v>
      </c>
      <c r="B2" s="7">
        <v>6.1193574000000001E-2</v>
      </c>
      <c r="C2" s="7">
        <v>3.7173023999999999E-2</v>
      </c>
      <c r="D2" s="7">
        <v>6.2867522999999995E-2</v>
      </c>
      <c r="E2" s="7">
        <v>5.1563005000000002E-2</v>
      </c>
      <c r="AB2" s="4">
        <v>0</v>
      </c>
      <c r="AC2" s="4">
        <v>0</v>
      </c>
      <c r="AD2" s="4">
        <v>0</v>
      </c>
      <c r="AE2" s="4"/>
      <c r="AF2" s="4" t="s">
        <v>308</v>
      </c>
      <c r="AG2" s="4" t="s">
        <v>309</v>
      </c>
      <c r="AH2" s="4" t="s">
        <v>310</v>
      </c>
    </row>
    <row r="3" spans="1:34" x14ac:dyDescent="0.3">
      <c r="A3" s="6">
        <v>44565</v>
      </c>
      <c r="B3" s="7">
        <v>2.7225959000000001E-2</v>
      </c>
      <c r="C3" s="7">
        <v>4.2787197999999999E-2</v>
      </c>
      <c r="D3" s="7">
        <v>6.5571713000000004E-2</v>
      </c>
      <c r="E3" s="7">
        <v>4.7710049999999997E-2</v>
      </c>
      <c r="F3" s="7">
        <v>6.1193574000000001E-2</v>
      </c>
      <c r="G3" s="7">
        <v>3.7173023999999999E-2</v>
      </c>
      <c r="H3" s="7">
        <v>6.2867522999999995E-2</v>
      </c>
      <c r="I3" s="7">
        <v>5.1563005000000002E-2</v>
      </c>
      <c r="AB3" s="4">
        <v>0</v>
      </c>
      <c r="AC3" s="4">
        <v>0</v>
      </c>
      <c r="AD3" s="4">
        <v>0</v>
      </c>
      <c r="AE3" s="4" t="s">
        <v>298</v>
      </c>
      <c r="AF3" s="4">
        <v>52</v>
      </c>
      <c r="AG3" s="4">
        <v>87</v>
      </c>
      <c r="AH3" s="4">
        <v>139</v>
      </c>
    </row>
    <row r="4" spans="1:34" x14ac:dyDescent="0.3">
      <c r="A4" s="6">
        <v>44566</v>
      </c>
      <c r="B4" s="7">
        <v>3.6364162999999998E-2</v>
      </c>
      <c r="C4" s="7">
        <v>4.0001373E-2</v>
      </c>
      <c r="D4" s="7">
        <v>4.3721996999999999E-2</v>
      </c>
      <c r="E4" s="7">
        <v>5.9686665E-2</v>
      </c>
      <c r="F4" s="7">
        <v>2.7225959000000001E-2</v>
      </c>
      <c r="G4" s="7">
        <v>4.2787197999999999E-2</v>
      </c>
      <c r="H4" s="7">
        <v>6.5571713000000004E-2</v>
      </c>
      <c r="I4" s="7">
        <v>4.7710049999999997E-2</v>
      </c>
      <c r="J4" s="7">
        <v>6.1193574000000001E-2</v>
      </c>
      <c r="K4" s="7">
        <v>3.7173023999999999E-2</v>
      </c>
      <c r="L4" s="7">
        <v>6.2867522999999995E-2</v>
      </c>
      <c r="M4" s="7">
        <v>5.1563005000000002E-2</v>
      </c>
      <c r="AB4" s="4">
        <v>0</v>
      </c>
      <c r="AC4" s="4">
        <v>0</v>
      </c>
      <c r="AD4" s="4">
        <v>0</v>
      </c>
      <c r="AE4" s="4" t="s">
        <v>299</v>
      </c>
      <c r="AF4" s="4">
        <v>194</v>
      </c>
      <c r="AG4" s="4">
        <v>159</v>
      </c>
      <c r="AH4" s="4">
        <v>107</v>
      </c>
    </row>
    <row r="5" spans="1:34" x14ac:dyDescent="0.3">
      <c r="A5" s="6">
        <v>44567</v>
      </c>
      <c r="B5" s="7">
        <v>8.6366339E-2</v>
      </c>
      <c r="C5" s="7">
        <v>2.7847429E-2</v>
      </c>
      <c r="D5" s="7">
        <v>0.124669027</v>
      </c>
      <c r="E5" s="7">
        <v>5.3746494999999998E-2</v>
      </c>
      <c r="F5" s="7">
        <v>3.6364162999999998E-2</v>
      </c>
      <c r="G5" s="7">
        <v>4.0001373E-2</v>
      </c>
      <c r="H5" s="7">
        <v>4.3721996999999999E-2</v>
      </c>
      <c r="I5" s="7">
        <v>5.9686665E-2</v>
      </c>
      <c r="J5" s="7">
        <v>2.7225959000000001E-2</v>
      </c>
      <c r="K5" s="7">
        <v>4.2787197999999999E-2</v>
      </c>
      <c r="L5" s="7">
        <v>6.5571713000000004E-2</v>
      </c>
      <c r="M5" s="7">
        <v>4.7710049999999997E-2</v>
      </c>
      <c r="N5" s="7">
        <v>6.1193574000000001E-2</v>
      </c>
      <c r="O5" s="7">
        <v>3.7173023999999999E-2</v>
      </c>
      <c r="P5" s="7">
        <v>6.2867522999999995E-2</v>
      </c>
      <c r="Q5" s="7">
        <v>5.1563005000000002E-2</v>
      </c>
      <c r="AB5" s="4">
        <v>0</v>
      </c>
      <c r="AC5" s="4">
        <v>0</v>
      </c>
      <c r="AD5" s="4">
        <v>0</v>
      </c>
      <c r="AE5" s="4"/>
      <c r="AF5" s="4">
        <v>246</v>
      </c>
      <c r="AG5" s="4">
        <v>246</v>
      </c>
      <c r="AH5" s="4">
        <v>246</v>
      </c>
    </row>
    <row r="6" spans="1:34" x14ac:dyDescent="0.3">
      <c r="A6" s="6">
        <v>44568</v>
      </c>
      <c r="B6" s="7">
        <v>0.113388107</v>
      </c>
      <c r="C6" s="7">
        <v>3.1999677999999997E-2</v>
      </c>
      <c r="D6" s="7">
        <v>9.1643749999999996E-2</v>
      </c>
      <c r="E6" s="7">
        <v>6.0699443999999998E-2</v>
      </c>
      <c r="F6" s="7">
        <v>8.6366339E-2</v>
      </c>
      <c r="G6" s="7">
        <v>2.7847429E-2</v>
      </c>
      <c r="H6" s="7">
        <v>0.124669027</v>
      </c>
      <c r="I6" s="7">
        <v>5.3746494999999998E-2</v>
      </c>
      <c r="J6" s="7">
        <v>3.6364162999999998E-2</v>
      </c>
      <c r="K6" s="7">
        <v>4.0001373E-2</v>
      </c>
      <c r="L6" s="7">
        <v>4.3721996999999999E-2</v>
      </c>
      <c r="M6" s="7">
        <v>5.9686665E-2</v>
      </c>
      <c r="N6" s="7">
        <v>2.7225959000000001E-2</v>
      </c>
      <c r="O6" s="7">
        <v>4.2787197999999999E-2</v>
      </c>
      <c r="P6" s="7">
        <v>6.5571713000000004E-2</v>
      </c>
      <c r="Q6" s="7">
        <v>4.7710049999999997E-2</v>
      </c>
      <c r="R6" s="7">
        <v>6.1193574000000001E-2</v>
      </c>
      <c r="S6" s="7">
        <v>3.7173023999999999E-2</v>
      </c>
      <c r="T6" s="7">
        <v>6.2867522999999995E-2</v>
      </c>
      <c r="U6" s="7">
        <v>5.1563005000000002E-2</v>
      </c>
      <c r="AB6" s="4">
        <v>0</v>
      </c>
      <c r="AC6" s="4">
        <v>0</v>
      </c>
      <c r="AD6" s="4">
        <v>0</v>
      </c>
      <c r="AE6" s="4"/>
      <c r="AF6" s="4"/>
      <c r="AG6" s="4"/>
      <c r="AH6" s="4"/>
    </row>
    <row r="7" spans="1:34" x14ac:dyDescent="0.3">
      <c r="A7" s="6">
        <v>44571</v>
      </c>
      <c r="B7" s="7">
        <v>7.1638222000000001E-2</v>
      </c>
      <c r="C7" s="7">
        <v>2.5616428E-2</v>
      </c>
      <c r="D7" s="7">
        <v>0.13264513999999999</v>
      </c>
      <c r="E7" s="7">
        <v>4.6608255000000001E-2</v>
      </c>
      <c r="F7" s="7">
        <v>0.113388107</v>
      </c>
      <c r="G7" s="7">
        <v>3.1999677999999997E-2</v>
      </c>
      <c r="H7" s="7">
        <v>9.1643749999999996E-2</v>
      </c>
      <c r="I7" s="7">
        <v>6.0699443999999998E-2</v>
      </c>
      <c r="J7" s="7">
        <v>8.6366339E-2</v>
      </c>
      <c r="K7" s="7">
        <v>2.7847429E-2</v>
      </c>
      <c r="L7" s="7">
        <v>0.124669027</v>
      </c>
      <c r="M7" s="7">
        <v>5.3746494999999998E-2</v>
      </c>
      <c r="N7" s="7">
        <v>3.6364162999999998E-2</v>
      </c>
      <c r="O7" s="7">
        <v>4.0001373E-2</v>
      </c>
      <c r="P7" s="7">
        <v>4.3721996999999999E-2</v>
      </c>
      <c r="Q7" s="7">
        <v>5.9686665E-2</v>
      </c>
      <c r="R7" s="7">
        <v>2.7225959000000001E-2</v>
      </c>
      <c r="S7" s="7">
        <v>4.2787197999999999E-2</v>
      </c>
      <c r="T7" s="7">
        <v>6.5571713000000004E-2</v>
      </c>
      <c r="U7" s="7">
        <v>4.7710049999999997E-2</v>
      </c>
      <c r="AB7" s="4">
        <v>1</v>
      </c>
      <c r="AC7" s="4">
        <v>0</v>
      </c>
      <c r="AD7" s="4">
        <v>1</v>
      </c>
      <c r="AE7" s="4"/>
      <c r="AF7" s="4"/>
      <c r="AG7" s="4"/>
      <c r="AH7" s="4"/>
    </row>
    <row r="8" spans="1:34" x14ac:dyDescent="0.3">
      <c r="A8" s="6">
        <v>44572</v>
      </c>
      <c r="B8" s="7">
        <v>4.9412024999999998E-2</v>
      </c>
      <c r="C8" s="7">
        <v>3.5368996E-2</v>
      </c>
      <c r="D8" s="7">
        <v>0.104536673</v>
      </c>
      <c r="E8" s="7">
        <v>4.7472813000000003E-2</v>
      </c>
      <c r="F8" s="7">
        <v>7.1638222000000001E-2</v>
      </c>
      <c r="G8" s="7">
        <v>2.5616428E-2</v>
      </c>
      <c r="H8" s="7">
        <v>0.13264513999999999</v>
      </c>
      <c r="I8" s="7">
        <v>4.6608255000000001E-2</v>
      </c>
      <c r="J8" s="7">
        <v>0.113388107</v>
      </c>
      <c r="K8" s="7">
        <v>3.1999677999999997E-2</v>
      </c>
      <c r="L8" s="7">
        <v>9.1643749999999996E-2</v>
      </c>
      <c r="M8" s="7">
        <v>6.0699443999999998E-2</v>
      </c>
      <c r="N8" s="7">
        <v>8.6366339E-2</v>
      </c>
      <c r="O8" s="7">
        <v>2.7847429E-2</v>
      </c>
      <c r="P8" s="7">
        <v>0.124669027</v>
      </c>
      <c r="Q8" s="7">
        <v>5.3746494999999998E-2</v>
      </c>
      <c r="R8" s="7">
        <v>3.6364162999999998E-2</v>
      </c>
      <c r="S8" s="7">
        <v>4.0001373E-2</v>
      </c>
      <c r="T8" s="7">
        <v>4.3721996999999999E-2</v>
      </c>
      <c r="U8" s="7">
        <v>5.9686665E-2</v>
      </c>
      <c r="AB8" s="4">
        <v>0</v>
      </c>
      <c r="AC8" s="4">
        <v>0</v>
      </c>
      <c r="AD8" s="4">
        <v>0</v>
      </c>
      <c r="AE8" s="4"/>
      <c r="AF8" s="4"/>
      <c r="AG8" s="4"/>
      <c r="AH8" s="4"/>
    </row>
    <row r="9" spans="1:34" x14ac:dyDescent="0.3">
      <c r="A9" s="6">
        <v>44573</v>
      </c>
      <c r="B9" s="7">
        <v>3.6339923000000003E-2</v>
      </c>
      <c r="C9" s="7">
        <v>5.5515666999999998E-2</v>
      </c>
      <c r="D9" s="7">
        <v>8.9100101000000001E-2</v>
      </c>
      <c r="E9" s="7">
        <v>7.1899170999999998E-2</v>
      </c>
      <c r="F9" s="7">
        <v>4.9412024999999998E-2</v>
      </c>
      <c r="G9" s="7">
        <v>3.5368996E-2</v>
      </c>
      <c r="H9" s="7">
        <v>0.104536673</v>
      </c>
      <c r="I9" s="7">
        <v>4.7472813000000003E-2</v>
      </c>
      <c r="J9" s="7">
        <v>7.1638222000000001E-2</v>
      </c>
      <c r="K9" s="7">
        <v>2.5616428E-2</v>
      </c>
      <c r="L9" s="7">
        <v>0.13264513999999999</v>
      </c>
      <c r="M9" s="7">
        <v>4.6608255000000001E-2</v>
      </c>
      <c r="N9" s="7">
        <v>0.113388107</v>
      </c>
      <c r="O9" s="7">
        <v>3.1999677999999997E-2</v>
      </c>
      <c r="P9" s="7">
        <v>9.1643749999999996E-2</v>
      </c>
      <c r="Q9" s="7">
        <v>6.0699443999999998E-2</v>
      </c>
      <c r="R9" s="7">
        <v>8.6366339E-2</v>
      </c>
      <c r="S9" s="7">
        <v>2.7847429E-2</v>
      </c>
      <c r="T9" s="7">
        <v>0.124669027</v>
      </c>
      <c r="U9" s="7">
        <v>5.3746494999999998E-2</v>
      </c>
      <c r="AB9" s="4">
        <v>0</v>
      </c>
      <c r="AC9" s="4">
        <v>0</v>
      </c>
      <c r="AD9" s="4">
        <v>0</v>
      </c>
      <c r="AE9" s="4"/>
      <c r="AF9" s="4"/>
      <c r="AG9" s="4"/>
      <c r="AH9" s="4"/>
    </row>
    <row r="10" spans="1:34" x14ac:dyDescent="0.3">
      <c r="A10" s="6">
        <v>44574</v>
      </c>
      <c r="B10" s="7">
        <v>0.13159716699999999</v>
      </c>
      <c r="C10" s="7">
        <v>4.7519483000000001E-2</v>
      </c>
      <c r="D10" s="7">
        <v>0.173709576</v>
      </c>
      <c r="E10" s="7">
        <v>4.2094194000000001E-2</v>
      </c>
      <c r="F10" s="7">
        <v>3.6339923000000003E-2</v>
      </c>
      <c r="G10" s="7">
        <v>5.5515666999999998E-2</v>
      </c>
      <c r="H10" s="7">
        <v>8.9100101000000001E-2</v>
      </c>
      <c r="I10" s="7">
        <v>7.1899170999999998E-2</v>
      </c>
      <c r="J10" s="7">
        <v>4.9412024999999998E-2</v>
      </c>
      <c r="K10" s="7">
        <v>3.5368996E-2</v>
      </c>
      <c r="L10" s="7">
        <v>0.104536673</v>
      </c>
      <c r="M10" s="7">
        <v>4.7472813000000003E-2</v>
      </c>
      <c r="N10" s="7">
        <v>7.1638222000000001E-2</v>
      </c>
      <c r="O10" s="7">
        <v>2.5616428E-2</v>
      </c>
      <c r="P10" s="7">
        <v>0.13264513999999999</v>
      </c>
      <c r="Q10" s="7">
        <v>4.6608255000000001E-2</v>
      </c>
      <c r="R10" s="7">
        <v>0.113388107</v>
      </c>
      <c r="S10" s="7">
        <v>3.1999677999999997E-2</v>
      </c>
      <c r="T10" s="7">
        <v>9.1643749999999996E-2</v>
      </c>
      <c r="U10" s="7">
        <v>6.0699443999999998E-2</v>
      </c>
      <c r="AB10" s="4">
        <v>0</v>
      </c>
      <c r="AC10" s="4">
        <v>0</v>
      </c>
      <c r="AD10" s="4">
        <v>0</v>
      </c>
      <c r="AE10" s="4"/>
      <c r="AF10" s="4"/>
      <c r="AG10" s="4"/>
      <c r="AH10" s="4"/>
    </row>
    <row r="11" spans="1:34" x14ac:dyDescent="0.3">
      <c r="A11" s="6">
        <v>44575</v>
      </c>
      <c r="B11" s="7">
        <v>0.145411294</v>
      </c>
      <c r="C11" s="7">
        <v>5.9108236000000001E-2</v>
      </c>
      <c r="D11" s="7">
        <v>0.17599456599999999</v>
      </c>
      <c r="E11" s="7">
        <v>6.6927320999999998E-2</v>
      </c>
      <c r="F11" s="7">
        <v>0.13159716699999999</v>
      </c>
      <c r="G11" s="7">
        <v>4.7519483000000001E-2</v>
      </c>
      <c r="H11" s="7">
        <v>0.173709576</v>
      </c>
      <c r="I11" s="7">
        <v>4.2094194000000001E-2</v>
      </c>
      <c r="J11" s="7">
        <v>3.6339923000000003E-2</v>
      </c>
      <c r="K11" s="7">
        <v>5.5515666999999998E-2</v>
      </c>
      <c r="L11" s="7">
        <v>8.9100101000000001E-2</v>
      </c>
      <c r="M11" s="7">
        <v>7.1899170999999998E-2</v>
      </c>
      <c r="N11" s="7">
        <v>4.9412024999999998E-2</v>
      </c>
      <c r="O11" s="7">
        <v>3.5368996E-2</v>
      </c>
      <c r="P11" s="7">
        <v>0.104536673</v>
      </c>
      <c r="Q11" s="7">
        <v>4.7472813000000003E-2</v>
      </c>
      <c r="R11" s="7">
        <v>7.1638222000000001E-2</v>
      </c>
      <c r="S11" s="7">
        <v>2.5616428E-2</v>
      </c>
      <c r="T11" s="7">
        <v>0.13264513999999999</v>
      </c>
      <c r="U11" s="7">
        <v>4.6608255000000001E-2</v>
      </c>
      <c r="AB11" s="4">
        <v>0</v>
      </c>
      <c r="AC11" s="4">
        <v>1</v>
      </c>
      <c r="AD11" s="4">
        <v>1</v>
      </c>
      <c r="AE11" s="4"/>
      <c r="AF11" s="4"/>
      <c r="AG11" s="4"/>
      <c r="AH11" s="4"/>
    </row>
    <row r="12" spans="1:34" x14ac:dyDescent="0.3">
      <c r="A12" s="6">
        <v>44578</v>
      </c>
      <c r="B12" s="7">
        <v>0.120890214</v>
      </c>
      <c r="C12" s="7">
        <v>8.2129233999999995E-2</v>
      </c>
      <c r="D12" s="7">
        <v>0.26218277499999998</v>
      </c>
      <c r="E12" s="7">
        <v>0.157665364</v>
      </c>
      <c r="F12" s="7">
        <v>0.145411294</v>
      </c>
      <c r="G12" s="7">
        <v>5.9108236000000001E-2</v>
      </c>
      <c r="H12" s="7">
        <v>0.17599456599999999</v>
      </c>
      <c r="I12" s="7">
        <v>6.6927320999999998E-2</v>
      </c>
      <c r="J12" s="7">
        <v>0.13159716699999999</v>
      </c>
      <c r="K12" s="7">
        <v>4.7519483000000001E-2</v>
      </c>
      <c r="L12" s="7">
        <v>0.173709576</v>
      </c>
      <c r="M12" s="7">
        <v>4.2094194000000001E-2</v>
      </c>
      <c r="N12" s="7">
        <v>3.6339923000000003E-2</v>
      </c>
      <c r="O12" s="7">
        <v>5.5515666999999998E-2</v>
      </c>
      <c r="P12" s="7">
        <v>8.9100101000000001E-2</v>
      </c>
      <c r="Q12" s="7">
        <v>7.1899170999999998E-2</v>
      </c>
      <c r="R12" s="7">
        <v>4.9412024999999998E-2</v>
      </c>
      <c r="S12" s="7">
        <v>3.5368996E-2</v>
      </c>
      <c r="T12" s="7">
        <v>0.104536673</v>
      </c>
      <c r="U12" s="7">
        <v>4.7472813000000003E-2</v>
      </c>
      <c r="AB12" s="4">
        <v>0</v>
      </c>
      <c r="AC12" s="4">
        <v>1</v>
      </c>
      <c r="AD12" s="4">
        <v>1</v>
      </c>
      <c r="AE12" s="4"/>
      <c r="AF12" s="4"/>
      <c r="AG12" s="4"/>
      <c r="AH12" s="4"/>
    </row>
    <row r="13" spans="1:34" x14ac:dyDescent="0.3">
      <c r="A13" s="6">
        <v>44579</v>
      </c>
      <c r="B13" s="7">
        <v>0.25280562899999998</v>
      </c>
      <c r="C13" s="7">
        <v>0.12553921100000001</v>
      </c>
      <c r="D13" s="7">
        <v>0.13211051600000001</v>
      </c>
      <c r="E13" s="7">
        <v>0.241071797</v>
      </c>
      <c r="F13" s="7">
        <v>0.120890214</v>
      </c>
      <c r="G13" s="7">
        <v>8.2129233999999995E-2</v>
      </c>
      <c r="H13" s="7">
        <v>0.26218277499999998</v>
      </c>
      <c r="I13" s="7">
        <v>0.157665364</v>
      </c>
      <c r="J13" s="7">
        <v>0.145411294</v>
      </c>
      <c r="K13" s="7">
        <v>5.9108236000000001E-2</v>
      </c>
      <c r="L13" s="7">
        <v>0.17599456599999999</v>
      </c>
      <c r="M13" s="7">
        <v>6.6927320999999998E-2</v>
      </c>
      <c r="N13" s="7">
        <v>0.13159716699999999</v>
      </c>
      <c r="O13" s="7">
        <v>4.7519483000000001E-2</v>
      </c>
      <c r="P13" s="7">
        <v>0.173709576</v>
      </c>
      <c r="Q13" s="7">
        <v>4.2094194000000001E-2</v>
      </c>
      <c r="R13" s="7">
        <v>3.6339923000000003E-2</v>
      </c>
      <c r="S13" s="7">
        <v>5.5515666999999998E-2</v>
      </c>
      <c r="T13" s="7">
        <v>8.9100101000000001E-2</v>
      </c>
      <c r="U13" s="7">
        <v>7.1899170999999998E-2</v>
      </c>
      <c r="AB13" s="4">
        <v>0</v>
      </c>
      <c r="AC13" s="4">
        <v>1</v>
      </c>
      <c r="AD13" s="4">
        <v>1</v>
      </c>
      <c r="AE13" s="4"/>
      <c r="AF13" s="4"/>
      <c r="AG13" s="4"/>
      <c r="AH13" s="4"/>
    </row>
    <row r="14" spans="1:34" x14ac:dyDescent="0.3">
      <c r="A14" s="6">
        <v>44580</v>
      </c>
      <c r="B14" s="7">
        <v>3.3963683000000001E-2</v>
      </c>
      <c r="C14" s="7">
        <v>2.7330599000000001E-2</v>
      </c>
      <c r="D14" s="7">
        <v>3.4659438000000001E-2</v>
      </c>
      <c r="E14" s="7">
        <v>6.0645048999999999E-2</v>
      </c>
      <c r="F14" s="7">
        <v>0.25280562899999998</v>
      </c>
      <c r="G14" s="7">
        <v>0.12553921100000001</v>
      </c>
      <c r="H14" s="7">
        <v>0.13211051600000001</v>
      </c>
      <c r="I14" s="7">
        <v>0.241071797</v>
      </c>
      <c r="J14" s="7">
        <v>0.120890214</v>
      </c>
      <c r="K14" s="7">
        <v>8.2129233999999995E-2</v>
      </c>
      <c r="L14" s="7">
        <v>0.26218277499999998</v>
      </c>
      <c r="M14" s="7">
        <v>0.157665364</v>
      </c>
      <c r="N14" s="7">
        <v>0.145411294</v>
      </c>
      <c r="O14" s="7">
        <v>5.9108236000000001E-2</v>
      </c>
      <c r="P14" s="7">
        <v>0.17599456599999999</v>
      </c>
      <c r="Q14" s="7">
        <v>6.6927320999999998E-2</v>
      </c>
      <c r="R14" s="7">
        <v>0.13159716699999999</v>
      </c>
      <c r="S14" s="7">
        <v>4.7519483000000001E-2</v>
      </c>
      <c r="T14" s="7">
        <v>0.173709576</v>
      </c>
      <c r="U14" s="7">
        <v>4.2094194000000001E-2</v>
      </c>
      <c r="AB14" s="4">
        <v>0</v>
      </c>
      <c r="AC14" s="4">
        <v>1</v>
      </c>
      <c r="AD14" s="4">
        <v>1</v>
      </c>
      <c r="AE14" s="4"/>
      <c r="AF14" s="4"/>
      <c r="AG14" s="4"/>
      <c r="AH14" s="4"/>
    </row>
    <row r="15" spans="1:34" x14ac:dyDescent="0.3">
      <c r="A15" s="6">
        <v>44581</v>
      </c>
      <c r="B15" s="7">
        <v>8.0677308000000003E-2</v>
      </c>
      <c r="C15" s="7">
        <v>3.5456812999999997E-2</v>
      </c>
      <c r="D15" s="7">
        <v>0.111670135</v>
      </c>
      <c r="E15" s="7">
        <v>5.6069939999999999E-2</v>
      </c>
      <c r="F15" s="7">
        <v>3.3963683000000001E-2</v>
      </c>
      <c r="G15" s="7">
        <v>2.7330599000000001E-2</v>
      </c>
      <c r="H15" s="7">
        <v>3.4659438000000001E-2</v>
      </c>
      <c r="I15" s="7">
        <v>6.0645048999999999E-2</v>
      </c>
      <c r="J15" s="7">
        <v>0.25280562899999998</v>
      </c>
      <c r="K15" s="7">
        <v>0.12553921100000001</v>
      </c>
      <c r="L15" s="7">
        <v>0.13211051600000001</v>
      </c>
      <c r="M15" s="7">
        <v>0.241071797</v>
      </c>
      <c r="N15" s="7">
        <v>0.120890214</v>
      </c>
      <c r="O15" s="7">
        <v>8.2129233999999995E-2</v>
      </c>
      <c r="P15" s="7">
        <v>0.26218277499999998</v>
      </c>
      <c r="Q15" s="7">
        <v>0.157665364</v>
      </c>
      <c r="R15" s="7">
        <v>0.145411294</v>
      </c>
      <c r="S15" s="7">
        <v>5.9108236000000001E-2</v>
      </c>
      <c r="T15" s="7">
        <v>0.17599456599999999</v>
      </c>
      <c r="U15" s="7">
        <v>6.6927320999999998E-2</v>
      </c>
      <c r="AB15" s="4">
        <v>0</v>
      </c>
      <c r="AC15" s="4">
        <v>1</v>
      </c>
      <c r="AD15" s="4">
        <v>1</v>
      </c>
      <c r="AE15" s="4"/>
      <c r="AF15" s="4"/>
      <c r="AG15" s="4"/>
      <c r="AH15" s="4"/>
    </row>
    <row r="16" spans="1:34" x14ac:dyDescent="0.3">
      <c r="A16" s="6">
        <v>44582</v>
      </c>
      <c r="B16" s="7">
        <v>8.2958958999999999E-2</v>
      </c>
      <c r="C16" s="7">
        <v>3.1097592E-2</v>
      </c>
      <c r="D16" s="7">
        <v>8.3529986000000001E-2</v>
      </c>
      <c r="E16" s="7">
        <v>5.7887515E-2</v>
      </c>
      <c r="F16" s="7">
        <v>8.0677308000000003E-2</v>
      </c>
      <c r="G16" s="7">
        <v>3.5456812999999997E-2</v>
      </c>
      <c r="H16" s="7">
        <v>0.111670135</v>
      </c>
      <c r="I16" s="7">
        <v>5.6069939999999999E-2</v>
      </c>
      <c r="J16" s="7">
        <v>3.3963683000000001E-2</v>
      </c>
      <c r="K16" s="7">
        <v>2.7330599000000001E-2</v>
      </c>
      <c r="L16" s="7">
        <v>3.4659438000000001E-2</v>
      </c>
      <c r="M16" s="7">
        <v>6.0645048999999999E-2</v>
      </c>
      <c r="N16" s="7">
        <v>0.25280562899999998</v>
      </c>
      <c r="O16" s="7">
        <v>0.12553921100000001</v>
      </c>
      <c r="P16" s="7">
        <v>0.13211051600000001</v>
      </c>
      <c r="Q16" s="7">
        <v>0.241071797</v>
      </c>
      <c r="R16" s="7">
        <v>0.120890214</v>
      </c>
      <c r="S16" s="7">
        <v>8.2129233999999995E-2</v>
      </c>
      <c r="T16" s="7">
        <v>0.26218277499999998</v>
      </c>
      <c r="U16" s="7">
        <v>0.157665364</v>
      </c>
      <c r="AB16" s="4">
        <v>0</v>
      </c>
      <c r="AC16" s="4">
        <v>0</v>
      </c>
      <c r="AD16" s="4">
        <v>0</v>
      </c>
      <c r="AE16" s="4"/>
      <c r="AF16" s="4"/>
      <c r="AG16" s="4"/>
      <c r="AH16" s="4"/>
    </row>
    <row r="17" spans="1:30" x14ac:dyDescent="0.3">
      <c r="A17" s="6">
        <v>44585</v>
      </c>
      <c r="B17" s="7">
        <v>4.5278476999999998E-2</v>
      </c>
      <c r="C17" s="7">
        <v>2.8825772999999999E-2</v>
      </c>
      <c r="D17" s="7">
        <v>0.105053147</v>
      </c>
      <c r="E17" s="7">
        <v>4.9329677000000002E-2</v>
      </c>
      <c r="F17" s="7">
        <v>8.2958958999999999E-2</v>
      </c>
      <c r="G17" s="7">
        <v>3.1097592E-2</v>
      </c>
      <c r="H17" s="7">
        <v>8.3529986000000001E-2</v>
      </c>
      <c r="I17" s="7">
        <v>5.7887515E-2</v>
      </c>
      <c r="J17" s="7">
        <v>8.0677308000000003E-2</v>
      </c>
      <c r="K17" s="7">
        <v>3.5456812999999997E-2</v>
      </c>
      <c r="L17" s="7">
        <v>0.111670135</v>
      </c>
      <c r="M17" s="7">
        <v>5.6069939999999999E-2</v>
      </c>
      <c r="N17" s="7">
        <v>3.3963683000000001E-2</v>
      </c>
      <c r="O17" s="7">
        <v>2.7330599000000001E-2</v>
      </c>
      <c r="P17" s="7">
        <v>3.4659438000000001E-2</v>
      </c>
      <c r="Q17" s="7">
        <v>6.0645048999999999E-2</v>
      </c>
      <c r="R17" s="7">
        <v>0.25280562899999998</v>
      </c>
      <c r="S17" s="7">
        <v>0.12553921100000001</v>
      </c>
      <c r="T17" s="7">
        <v>0.13211051600000001</v>
      </c>
      <c r="U17" s="7">
        <v>0.241071797</v>
      </c>
      <c r="AB17" s="4">
        <v>0</v>
      </c>
      <c r="AC17" s="4">
        <v>0</v>
      </c>
      <c r="AD17" s="4">
        <v>0</v>
      </c>
    </row>
    <row r="18" spans="1:30" x14ac:dyDescent="0.3">
      <c r="A18" s="6">
        <v>44586</v>
      </c>
      <c r="B18" s="7">
        <v>6.7363750999999999E-2</v>
      </c>
      <c r="C18" s="7">
        <v>3.0356492999999998E-2</v>
      </c>
      <c r="D18" s="7">
        <v>9.2515351999999995E-2</v>
      </c>
      <c r="E18" s="7">
        <v>9.6187182999999996E-2</v>
      </c>
      <c r="F18" s="7">
        <v>4.5278476999999998E-2</v>
      </c>
      <c r="G18" s="7">
        <v>2.8825772999999999E-2</v>
      </c>
      <c r="H18" s="7">
        <v>0.105053147</v>
      </c>
      <c r="I18" s="7">
        <v>4.9329677000000002E-2</v>
      </c>
      <c r="J18" s="7">
        <v>8.2958958999999999E-2</v>
      </c>
      <c r="K18" s="7">
        <v>3.1097592E-2</v>
      </c>
      <c r="L18" s="7">
        <v>8.3529986000000001E-2</v>
      </c>
      <c r="M18" s="7">
        <v>5.7887515E-2</v>
      </c>
      <c r="N18" s="7">
        <v>8.0677308000000003E-2</v>
      </c>
      <c r="O18" s="7">
        <v>3.5456812999999997E-2</v>
      </c>
      <c r="P18" s="7">
        <v>0.111670135</v>
      </c>
      <c r="Q18" s="7">
        <v>5.6069939999999999E-2</v>
      </c>
      <c r="R18" s="7">
        <v>3.3963683000000001E-2</v>
      </c>
      <c r="S18" s="7">
        <v>2.7330599000000001E-2</v>
      </c>
      <c r="T18" s="7">
        <v>3.4659438000000001E-2</v>
      </c>
      <c r="U18" s="7">
        <v>6.0645048999999999E-2</v>
      </c>
      <c r="AB18" s="4">
        <v>1</v>
      </c>
      <c r="AC18" s="4">
        <v>0</v>
      </c>
      <c r="AD18" s="4">
        <v>1</v>
      </c>
    </row>
    <row r="19" spans="1:30" x14ac:dyDescent="0.3">
      <c r="A19" s="6">
        <v>44587</v>
      </c>
      <c r="B19" s="7">
        <v>4.4225054999999999E-2</v>
      </c>
      <c r="C19" s="7">
        <v>3.9358643999999998E-2</v>
      </c>
      <c r="D19" s="7">
        <v>6.1841398999999998E-2</v>
      </c>
      <c r="E19" s="7">
        <v>8.7982037999999999E-2</v>
      </c>
      <c r="F19" s="7">
        <v>6.7363750999999999E-2</v>
      </c>
      <c r="G19" s="7">
        <v>3.0356492999999998E-2</v>
      </c>
      <c r="H19" s="7">
        <v>9.2515351999999995E-2</v>
      </c>
      <c r="I19" s="7">
        <v>9.6187182999999996E-2</v>
      </c>
      <c r="J19" s="7">
        <v>4.5278476999999998E-2</v>
      </c>
      <c r="K19" s="7">
        <v>2.8825772999999999E-2</v>
      </c>
      <c r="L19" s="7">
        <v>0.105053147</v>
      </c>
      <c r="M19" s="7">
        <v>4.9329677000000002E-2</v>
      </c>
      <c r="N19" s="7">
        <v>8.2958958999999999E-2</v>
      </c>
      <c r="O19" s="7">
        <v>3.1097592E-2</v>
      </c>
      <c r="P19" s="7">
        <v>8.3529986000000001E-2</v>
      </c>
      <c r="Q19" s="7">
        <v>5.7887515E-2</v>
      </c>
      <c r="R19" s="7">
        <v>8.0677308000000003E-2</v>
      </c>
      <c r="S19" s="7">
        <v>3.5456812999999997E-2</v>
      </c>
      <c r="T19" s="7">
        <v>0.111670135</v>
      </c>
      <c r="U19" s="7">
        <v>5.6069939999999999E-2</v>
      </c>
      <c r="AB19" s="4">
        <v>1</v>
      </c>
      <c r="AC19" s="4">
        <v>0</v>
      </c>
      <c r="AD19" s="4">
        <v>1</v>
      </c>
    </row>
    <row r="20" spans="1:30" x14ac:dyDescent="0.3">
      <c r="A20" s="6">
        <v>44599</v>
      </c>
      <c r="B20" s="7">
        <v>4.9688665999999999E-2</v>
      </c>
      <c r="C20" s="7">
        <v>7.1383207000000004E-2</v>
      </c>
      <c r="D20" s="7">
        <v>0.12525799000000001</v>
      </c>
      <c r="E20" s="7">
        <v>0.13118370900000001</v>
      </c>
      <c r="F20" s="7">
        <v>4.4225054999999999E-2</v>
      </c>
      <c r="G20" s="7">
        <v>3.9358643999999998E-2</v>
      </c>
      <c r="H20" s="7">
        <v>6.1841398999999998E-2</v>
      </c>
      <c r="I20" s="7">
        <v>8.7982037999999999E-2</v>
      </c>
      <c r="J20" s="7">
        <v>6.7363750999999999E-2</v>
      </c>
      <c r="K20" s="7">
        <v>3.0356492999999998E-2</v>
      </c>
      <c r="L20" s="7">
        <v>9.2515351999999995E-2</v>
      </c>
      <c r="M20" s="7">
        <v>9.6187182999999996E-2</v>
      </c>
      <c r="N20" s="7">
        <v>4.5278476999999998E-2</v>
      </c>
      <c r="O20" s="7">
        <v>2.8825772999999999E-2</v>
      </c>
      <c r="P20" s="7">
        <v>0.105053147</v>
      </c>
      <c r="Q20" s="7">
        <v>4.9329677000000002E-2</v>
      </c>
      <c r="R20" s="7">
        <v>8.2958958999999999E-2</v>
      </c>
      <c r="S20" s="7">
        <v>3.1097592E-2</v>
      </c>
      <c r="T20" s="7">
        <v>8.3529986000000001E-2</v>
      </c>
      <c r="U20" s="7">
        <v>5.7887515E-2</v>
      </c>
      <c r="AB20" s="4">
        <v>0</v>
      </c>
      <c r="AC20" s="4">
        <v>0</v>
      </c>
      <c r="AD20" s="4">
        <v>0</v>
      </c>
    </row>
    <row r="21" spans="1:30" x14ac:dyDescent="0.3">
      <c r="A21" s="6">
        <v>44600</v>
      </c>
      <c r="B21" s="7">
        <v>8.8352784000000004E-2</v>
      </c>
      <c r="C21" s="7">
        <v>6.8460257999999996E-2</v>
      </c>
      <c r="D21" s="7">
        <v>0.10409937900000001</v>
      </c>
      <c r="E21" s="7">
        <v>0.12089496299999999</v>
      </c>
      <c r="F21" s="7">
        <v>4.9688665999999999E-2</v>
      </c>
      <c r="G21" s="7">
        <v>7.1383207000000004E-2</v>
      </c>
      <c r="H21" s="7">
        <v>0.12525799000000001</v>
      </c>
      <c r="I21" s="7">
        <v>0.13118370900000001</v>
      </c>
      <c r="J21" s="7">
        <v>4.4225054999999999E-2</v>
      </c>
      <c r="K21" s="7">
        <v>3.9358643999999998E-2</v>
      </c>
      <c r="L21" s="7">
        <v>6.1841398999999998E-2</v>
      </c>
      <c r="M21" s="7">
        <v>8.7982037999999999E-2</v>
      </c>
      <c r="N21" s="7">
        <v>6.7363750999999999E-2</v>
      </c>
      <c r="O21" s="7">
        <v>3.0356492999999998E-2</v>
      </c>
      <c r="P21" s="7">
        <v>9.2515351999999995E-2</v>
      </c>
      <c r="Q21" s="7">
        <v>9.6187182999999996E-2</v>
      </c>
      <c r="R21" s="7">
        <v>4.5278476999999998E-2</v>
      </c>
      <c r="S21" s="7">
        <v>2.8825772999999999E-2</v>
      </c>
      <c r="T21" s="7">
        <v>0.105053147</v>
      </c>
      <c r="U21" s="7">
        <v>4.9329677000000002E-2</v>
      </c>
      <c r="AB21" s="4">
        <v>0</v>
      </c>
      <c r="AC21" s="4">
        <v>0</v>
      </c>
      <c r="AD21" s="4">
        <v>0</v>
      </c>
    </row>
    <row r="22" spans="1:30" x14ac:dyDescent="0.3">
      <c r="A22" s="6">
        <v>44601</v>
      </c>
      <c r="B22" s="7">
        <v>2.5662355000000001E-2</v>
      </c>
      <c r="C22" s="7">
        <v>5.9097653999999999E-2</v>
      </c>
      <c r="D22" s="7">
        <v>0.12100591099999999</v>
      </c>
      <c r="E22" s="7">
        <v>0.152834792</v>
      </c>
      <c r="F22" s="7">
        <v>8.8352784000000004E-2</v>
      </c>
      <c r="G22" s="7">
        <v>6.8460257999999996E-2</v>
      </c>
      <c r="H22" s="7">
        <v>0.10409937900000001</v>
      </c>
      <c r="I22" s="7">
        <v>0.12089496299999999</v>
      </c>
      <c r="J22" s="7">
        <v>4.9688665999999999E-2</v>
      </c>
      <c r="K22" s="7">
        <v>7.1383207000000004E-2</v>
      </c>
      <c r="L22" s="7">
        <v>0.12525799000000001</v>
      </c>
      <c r="M22" s="7">
        <v>0.13118370900000001</v>
      </c>
      <c r="N22" s="7">
        <v>4.4225054999999999E-2</v>
      </c>
      <c r="O22" s="7">
        <v>3.9358643999999998E-2</v>
      </c>
      <c r="P22" s="7">
        <v>6.1841398999999998E-2</v>
      </c>
      <c r="Q22" s="7">
        <v>8.7982037999999999E-2</v>
      </c>
      <c r="R22" s="7">
        <v>6.7363750999999999E-2</v>
      </c>
      <c r="S22" s="7">
        <v>3.0356492999999998E-2</v>
      </c>
      <c r="T22" s="7">
        <v>9.2515351999999995E-2</v>
      </c>
      <c r="U22" s="7">
        <v>9.6187182999999996E-2</v>
      </c>
      <c r="AB22" s="4">
        <v>0</v>
      </c>
      <c r="AC22" s="4">
        <v>0</v>
      </c>
      <c r="AD22" s="4">
        <v>0</v>
      </c>
    </row>
    <row r="23" spans="1:30" x14ac:dyDescent="0.3">
      <c r="A23" s="6">
        <v>44602</v>
      </c>
      <c r="B23" s="7">
        <v>8.0057515999999995E-2</v>
      </c>
      <c r="C23" s="7">
        <v>7.8913792999999996E-2</v>
      </c>
      <c r="D23" s="7">
        <v>0.216754642</v>
      </c>
      <c r="E23" s="7">
        <v>0.15761374</v>
      </c>
      <c r="F23" s="7">
        <v>2.5662355000000001E-2</v>
      </c>
      <c r="G23" s="7">
        <v>5.9097653999999999E-2</v>
      </c>
      <c r="H23" s="7">
        <v>0.12100591099999999</v>
      </c>
      <c r="I23" s="7">
        <v>0.152834792</v>
      </c>
      <c r="J23" s="7">
        <v>8.8352784000000004E-2</v>
      </c>
      <c r="K23" s="7">
        <v>6.8460257999999996E-2</v>
      </c>
      <c r="L23" s="7">
        <v>0.10409937900000001</v>
      </c>
      <c r="M23" s="7">
        <v>0.12089496299999999</v>
      </c>
      <c r="N23" s="7">
        <v>4.9688665999999999E-2</v>
      </c>
      <c r="O23" s="7">
        <v>7.1383207000000004E-2</v>
      </c>
      <c r="P23" s="7">
        <v>0.12525799000000001</v>
      </c>
      <c r="Q23" s="7">
        <v>0.13118370900000001</v>
      </c>
      <c r="R23" s="7">
        <v>4.4225054999999999E-2</v>
      </c>
      <c r="S23" s="7">
        <v>3.9358643999999998E-2</v>
      </c>
      <c r="T23" s="7">
        <v>6.1841398999999998E-2</v>
      </c>
      <c r="U23" s="7">
        <v>8.7982037999999999E-2</v>
      </c>
      <c r="AB23" s="4">
        <v>0</v>
      </c>
      <c r="AC23" s="4">
        <v>0</v>
      </c>
      <c r="AD23" s="4">
        <v>0</v>
      </c>
    </row>
    <row r="24" spans="1:30" x14ac:dyDescent="0.3">
      <c r="A24" s="6">
        <v>44603</v>
      </c>
      <c r="B24" s="7">
        <v>0.108821352</v>
      </c>
      <c r="C24" s="7">
        <v>3.7340857999999998E-2</v>
      </c>
      <c r="D24" s="7">
        <v>0.24787895600000001</v>
      </c>
      <c r="E24" s="7">
        <v>0.226568782</v>
      </c>
      <c r="F24" s="7">
        <v>8.0057515999999995E-2</v>
      </c>
      <c r="G24" s="7">
        <v>7.8913792999999996E-2</v>
      </c>
      <c r="H24" s="7">
        <v>0.216754642</v>
      </c>
      <c r="I24" s="7">
        <v>0.15761374</v>
      </c>
      <c r="J24" s="7">
        <v>2.5662355000000001E-2</v>
      </c>
      <c r="K24" s="7">
        <v>5.9097653999999999E-2</v>
      </c>
      <c r="L24" s="7">
        <v>0.12100591099999999</v>
      </c>
      <c r="M24" s="7">
        <v>0.152834792</v>
      </c>
      <c r="N24" s="7">
        <v>8.8352784000000004E-2</v>
      </c>
      <c r="O24" s="7">
        <v>6.8460257999999996E-2</v>
      </c>
      <c r="P24" s="7">
        <v>0.10409937900000001</v>
      </c>
      <c r="Q24" s="7">
        <v>0.12089496299999999</v>
      </c>
      <c r="R24" s="7">
        <v>4.9688665999999999E-2</v>
      </c>
      <c r="S24" s="7">
        <v>7.1383207000000004E-2</v>
      </c>
      <c r="T24" s="7">
        <v>0.12525799000000001</v>
      </c>
      <c r="U24" s="7">
        <v>0.13118370900000001</v>
      </c>
      <c r="AB24" s="4">
        <v>0</v>
      </c>
      <c r="AC24" s="4">
        <v>0</v>
      </c>
      <c r="AD24" s="4">
        <v>0</v>
      </c>
    </row>
    <row r="25" spans="1:30" x14ac:dyDescent="0.3">
      <c r="A25" s="6">
        <v>44606</v>
      </c>
      <c r="B25" s="7">
        <v>0.229440388</v>
      </c>
      <c r="C25" s="7">
        <v>7.5455362999999998E-2</v>
      </c>
      <c r="D25" s="7">
        <v>0.30089550399999998</v>
      </c>
      <c r="E25" s="7">
        <v>0.39002960399999997</v>
      </c>
      <c r="F25" s="7">
        <v>0.108821352</v>
      </c>
      <c r="G25" s="7">
        <v>3.7340857999999998E-2</v>
      </c>
      <c r="H25" s="7">
        <v>0.24787895600000001</v>
      </c>
      <c r="I25" s="7">
        <v>0.226568782</v>
      </c>
      <c r="J25" s="7">
        <v>8.0057515999999995E-2</v>
      </c>
      <c r="K25" s="7">
        <v>7.8913792999999996E-2</v>
      </c>
      <c r="L25" s="7">
        <v>0.216754642</v>
      </c>
      <c r="M25" s="7">
        <v>0.15761374</v>
      </c>
      <c r="N25" s="7">
        <v>2.5662355000000001E-2</v>
      </c>
      <c r="O25" s="7">
        <v>5.9097653999999999E-2</v>
      </c>
      <c r="P25" s="7">
        <v>0.12100591099999999</v>
      </c>
      <c r="Q25" s="7">
        <v>0.152834792</v>
      </c>
      <c r="R25" s="7">
        <v>8.8352784000000004E-2</v>
      </c>
      <c r="S25" s="7">
        <v>6.8460257999999996E-2</v>
      </c>
      <c r="T25" s="7">
        <v>0.10409937900000001</v>
      </c>
      <c r="U25" s="7">
        <v>0.12089496299999999</v>
      </c>
      <c r="AB25" s="4">
        <v>0</v>
      </c>
      <c r="AC25" s="4">
        <v>0</v>
      </c>
      <c r="AD25" s="4">
        <v>0</v>
      </c>
    </row>
    <row r="26" spans="1:30" x14ac:dyDescent="0.3">
      <c r="A26" s="6">
        <v>44607</v>
      </c>
      <c r="B26" s="7">
        <v>0.275993133</v>
      </c>
      <c r="C26" s="7">
        <v>0.16907604200000001</v>
      </c>
      <c r="D26" s="7">
        <v>0.33695203099999999</v>
      </c>
      <c r="E26" s="7">
        <v>0.47727177399999998</v>
      </c>
      <c r="F26" s="7">
        <v>0.229440388</v>
      </c>
      <c r="G26" s="7">
        <v>7.5455362999999998E-2</v>
      </c>
      <c r="H26" s="7">
        <v>0.30089550399999998</v>
      </c>
      <c r="I26" s="7">
        <v>0.39002960399999997</v>
      </c>
      <c r="J26" s="7">
        <v>0.108821352</v>
      </c>
      <c r="K26" s="7">
        <v>3.7340857999999998E-2</v>
      </c>
      <c r="L26" s="7">
        <v>0.24787895600000001</v>
      </c>
      <c r="M26" s="7">
        <v>0.226568782</v>
      </c>
      <c r="N26" s="7">
        <v>8.0057515999999995E-2</v>
      </c>
      <c r="O26" s="7">
        <v>7.8913792999999996E-2</v>
      </c>
      <c r="P26" s="7">
        <v>0.216754642</v>
      </c>
      <c r="Q26" s="7">
        <v>0.15761374</v>
      </c>
      <c r="R26" s="7">
        <v>2.5662355000000001E-2</v>
      </c>
      <c r="S26" s="7">
        <v>5.9097653999999999E-2</v>
      </c>
      <c r="T26" s="7">
        <v>0.12100591099999999</v>
      </c>
      <c r="U26" s="7">
        <v>0.152834792</v>
      </c>
      <c r="AB26" s="4">
        <v>0</v>
      </c>
      <c r="AC26" s="4">
        <v>0</v>
      </c>
      <c r="AD26" s="4">
        <v>0</v>
      </c>
    </row>
    <row r="27" spans="1:30" x14ac:dyDescent="0.3">
      <c r="A27" s="6">
        <v>44608</v>
      </c>
      <c r="B27" s="7">
        <v>1.0788501000000001E-2</v>
      </c>
      <c r="C27" s="7">
        <v>2.5805832000000001E-2</v>
      </c>
      <c r="D27" s="7">
        <v>4.8380576000000002E-2</v>
      </c>
      <c r="E27" s="7">
        <v>5.1659879999999998E-2</v>
      </c>
      <c r="F27" s="7">
        <v>0.275993133</v>
      </c>
      <c r="G27" s="7">
        <v>0.16907604200000001</v>
      </c>
      <c r="H27" s="7">
        <v>0.33695203099999999</v>
      </c>
      <c r="I27" s="7">
        <v>0.47727177399999998</v>
      </c>
      <c r="J27" s="7">
        <v>0.229440388</v>
      </c>
      <c r="K27" s="7">
        <v>7.5455362999999998E-2</v>
      </c>
      <c r="L27" s="7">
        <v>0.30089550399999998</v>
      </c>
      <c r="M27" s="7">
        <v>0.39002960399999997</v>
      </c>
      <c r="N27" s="7">
        <v>0.108821352</v>
      </c>
      <c r="O27" s="7">
        <v>3.7340857999999998E-2</v>
      </c>
      <c r="P27" s="7">
        <v>0.24787895600000001</v>
      </c>
      <c r="Q27" s="7">
        <v>0.226568782</v>
      </c>
      <c r="R27" s="7">
        <v>8.0057515999999995E-2</v>
      </c>
      <c r="S27" s="7">
        <v>7.8913792999999996E-2</v>
      </c>
      <c r="T27" s="7">
        <v>0.216754642</v>
      </c>
      <c r="U27" s="7">
        <v>0.15761374</v>
      </c>
      <c r="AB27" s="4">
        <v>0</v>
      </c>
      <c r="AC27" s="4">
        <v>0</v>
      </c>
      <c r="AD27" s="4">
        <v>0</v>
      </c>
    </row>
    <row r="28" spans="1:30" x14ac:dyDescent="0.3">
      <c r="A28" s="6">
        <v>44609</v>
      </c>
      <c r="B28" s="7">
        <v>7.8697987999999997E-2</v>
      </c>
      <c r="C28" s="7">
        <v>4.3348154E-2</v>
      </c>
      <c r="D28" s="7">
        <v>0.116730184</v>
      </c>
      <c r="E28" s="7">
        <v>9.5883783E-2</v>
      </c>
      <c r="F28" s="7">
        <v>1.0788501000000001E-2</v>
      </c>
      <c r="G28" s="7">
        <v>2.5805832000000001E-2</v>
      </c>
      <c r="H28" s="7">
        <v>4.8380576000000002E-2</v>
      </c>
      <c r="I28" s="7">
        <v>5.1659879999999998E-2</v>
      </c>
      <c r="J28" s="7">
        <v>0.275993133</v>
      </c>
      <c r="K28" s="7">
        <v>0.16907604200000001</v>
      </c>
      <c r="L28" s="7">
        <v>0.33695203099999999</v>
      </c>
      <c r="M28" s="7">
        <v>0.47727177399999998</v>
      </c>
      <c r="N28" s="7">
        <v>0.229440388</v>
      </c>
      <c r="O28" s="7">
        <v>7.5455362999999998E-2</v>
      </c>
      <c r="P28" s="7">
        <v>0.30089550399999998</v>
      </c>
      <c r="Q28" s="7">
        <v>0.39002960399999997</v>
      </c>
      <c r="R28" s="7">
        <v>0.108821352</v>
      </c>
      <c r="S28" s="7">
        <v>3.7340857999999998E-2</v>
      </c>
      <c r="T28" s="7">
        <v>0.24787895600000001</v>
      </c>
      <c r="U28" s="7">
        <v>0.226568782</v>
      </c>
      <c r="AB28" s="4">
        <v>0</v>
      </c>
      <c r="AC28" s="4">
        <v>1</v>
      </c>
      <c r="AD28" s="4">
        <v>1</v>
      </c>
    </row>
    <row r="29" spans="1:30" x14ac:dyDescent="0.3">
      <c r="A29" s="6">
        <v>44610</v>
      </c>
      <c r="B29" s="7">
        <v>5.9690030999999998E-2</v>
      </c>
      <c r="C29" s="7">
        <v>2.2819644E-2</v>
      </c>
      <c r="D29" s="7">
        <v>0.111172022</v>
      </c>
      <c r="E29" s="7">
        <v>7.0164608000000003E-2</v>
      </c>
      <c r="F29" s="7">
        <v>7.8697987999999997E-2</v>
      </c>
      <c r="G29" s="7">
        <v>4.3348154E-2</v>
      </c>
      <c r="H29" s="7">
        <v>0.116730184</v>
      </c>
      <c r="I29" s="7">
        <v>9.5883783E-2</v>
      </c>
      <c r="J29" s="7">
        <v>1.0788501000000001E-2</v>
      </c>
      <c r="K29" s="7">
        <v>2.5805832000000001E-2</v>
      </c>
      <c r="L29" s="7">
        <v>4.8380576000000002E-2</v>
      </c>
      <c r="M29" s="7">
        <v>5.1659879999999998E-2</v>
      </c>
      <c r="N29" s="7">
        <v>0.275993133</v>
      </c>
      <c r="O29" s="7">
        <v>0.16907604200000001</v>
      </c>
      <c r="P29" s="7">
        <v>0.33695203099999999</v>
      </c>
      <c r="Q29" s="7">
        <v>0.47727177399999998</v>
      </c>
      <c r="R29" s="7">
        <v>0.229440388</v>
      </c>
      <c r="S29" s="7">
        <v>7.5455362999999998E-2</v>
      </c>
      <c r="T29" s="7">
        <v>0.30089550399999998</v>
      </c>
      <c r="U29" s="7">
        <v>0.39002960399999997</v>
      </c>
      <c r="AB29" s="4">
        <v>0</v>
      </c>
      <c r="AC29" s="4">
        <v>1</v>
      </c>
      <c r="AD29" s="4">
        <v>1</v>
      </c>
    </row>
    <row r="30" spans="1:30" x14ac:dyDescent="0.3">
      <c r="A30" s="6">
        <v>44613</v>
      </c>
      <c r="B30" s="7">
        <v>5.7387792999999999E-2</v>
      </c>
      <c r="C30" s="7">
        <v>3.1850504000000002E-2</v>
      </c>
      <c r="D30" s="7">
        <v>9.6995500999999998E-2</v>
      </c>
      <c r="E30" s="7">
        <v>7.1686662999999998E-2</v>
      </c>
      <c r="F30" s="7">
        <v>5.9690030999999998E-2</v>
      </c>
      <c r="G30" s="7">
        <v>2.2819644E-2</v>
      </c>
      <c r="H30" s="7">
        <v>0.111172022</v>
      </c>
      <c r="I30" s="7">
        <v>7.0164608000000003E-2</v>
      </c>
      <c r="J30" s="7">
        <v>7.8697987999999997E-2</v>
      </c>
      <c r="K30" s="7">
        <v>4.3348154E-2</v>
      </c>
      <c r="L30" s="7">
        <v>0.116730184</v>
      </c>
      <c r="M30" s="7">
        <v>9.5883783E-2</v>
      </c>
      <c r="N30" s="7">
        <v>1.0788501000000001E-2</v>
      </c>
      <c r="O30" s="7">
        <v>2.5805832000000001E-2</v>
      </c>
      <c r="P30" s="7">
        <v>4.8380576000000002E-2</v>
      </c>
      <c r="Q30" s="7">
        <v>5.1659879999999998E-2</v>
      </c>
      <c r="R30" s="7">
        <v>0.275993133</v>
      </c>
      <c r="S30" s="7">
        <v>0.16907604200000001</v>
      </c>
      <c r="T30" s="7">
        <v>0.33695203099999999</v>
      </c>
      <c r="U30" s="7">
        <v>0.47727177399999998</v>
      </c>
      <c r="AB30" s="4">
        <v>0</v>
      </c>
      <c r="AC30" s="4">
        <v>1</v>
      </c>
      <c r="AD30" s="4">
        <v>1</v>
      </c>
    </row>
    <row r="31" spans="1:30" x14ac:dyDescent="0.3">
      <c r="A31" s="6">
        <v>44614</v>
      </c>
      <c r="B31" s="7">
        <v>5.6834915999999999E-2</v>
      </c>
      <c r="C31" s="7">
        <v>3.3897007999999999E-2</v>
      </c>
      <c r="D31" s="7">
        <v>8.3844552000000003E-2</v>
      </c>
      <c r="E31" s="7">
        <v>8.4060947999999996E-2</v>
      </c>
      <c r="F31" s="7">
        <v>5.7387792999999999E-2</v>
      </c>
      <c r="G31" s="7">
        <v>3.1850504000000002E-2</v>
      </c>
      <c r="H31" s="7">
        <v>9.6995500999999998E-2</v>
      </c>
      <c r="I31" s="7">
        <v>7.1686662999999998E-2</v>
      </c>
      <c r="J31" s="7">
        <v>5.9690030999999998E-2</v>
      </c>
      <c r="K31" s="7">
        <v>2.2819644E-2</v>
      </c>
      <c r="L31" s="7">
        <v>0.111172022</v>
      </c>
      <c r="M31" s="7">
        <v>7.0164608000000003E-2</v>
      </c>
      <c r="N31" s="7">
        <v>7.8697987999999997E-2</v>
      </c>
      <c r="O31" s="7">
        <v>4.3348154E-2</v>
      </c>
      <c r="P31" s="7">
        <v>0.116730184</v>
      </c>
      <c r="Q31" s="7">
        <v>9.5883783E-2</v>
      </c>
      <c r="R31" s="7">
        <v>1.0788501000000001E-2</v>
      </c>
      <c r="S31" s="7">
        <v>2.5805832000000001E-2</v>
      </c>
      <c r="T31" s="7">
        <v>4.8380576000000002E-2</v>
      </c>
      <c r="U31" s="7">
        <v>5.1659879999999998E-2</v>
      </c>
      <c r="AB31" s="4">
        <v>0</v>
      </c>
      <c r="AC31" s="4">
        <v>0</v>
      </c>
      <c r="AD31" s="4">
        <v>0</v>
      </c>
    </row>
    <row r="32" spans="1:30" x14ac:dyDescent="0.3">
      <c r="A32" s="6">
        <v>44615</v>
      </c>
      <c r="B32" s="7">
        <v>1.9910865E-2</v>
      </c>
      <c r="C32" s="7">
        <v>3.2525396999999998E-2</v>
      </c>
      <c r="D32" s="7">
        <v>6.0089992000000002E-2</v>
      </c>
      <c r="E32" s="7">
        <v>6.5859966000000006E-2</v>
      </c>
      <c r="F32" s="7">
        <v>5.6834915999999999E-2</v>
      </c>
      <c r="G32" s="7">
        <v>3.3897007999999999E-2</v>
      </c>
      <c r="H32" s="7">
        <v>8.3844552000000003E-2</v>
      </c>
      <c r="I32" s="7">
        <v>8.4060947999999996E-2</v>
      </c>
      <c r="J32" s="7">
        <v>5.7387792999999999E-2</v>
      </c>
      <c r="K32" s="7">
        <v>3.1850504000000002E-2</v>
      </c>
      <c r="L32" s="7">
        <v>9.6995500999999998E-2</v>
      </c>
      <c r="M32" s="7">
        <v>7.1686662999999998E-2</v>
      </c>
      <c r="N32" s="7">
        <v>5.9690030999999998E-2</v>
      </c>
      <c r="O32" s="7">
        <v>2.2819644E-2</v>
      </c>
      <c r="P32" s="7">
        <v>0.111172022</v>
      </c>
      <c r="Q32" s="7">
        <v>7.0164608000000003E-2</v>
      </c>
      <c r="R32" s="7">
        <v>7.8697987999999997E-2</v>
      </c>
      <c r="S32" s="7">
        <v>4.3348154E-2</v>
      </c>
      <c r="T32" s="7">
        <v>0.116730184</v>
      </c>
      <c r="U32" s="7">
        <v>9.5883783E-2</v>
      </c>
      <c r="AB32" s="4">
        <v>0</v>
      </c>
      <c r="AC32" s="4">
        <v>0</v>
      </c>
      <c r="AD32" s="4">
        <v>0</v>
      </c>
    </row>
    <row r="33" spans="1:30" x14ac:dyDescent="0.3">
      <c r="A33" s="6">
        <v>44616</v>
      </c>
      <c r="B33" s="7">
        <v>0.123164012</v>
      </c>
      <c r="C33" s="7">
        <v>3.4018296000000003E-2</v>
      </c>
      <c r="D33" s="7">
        <v>0.13591367300000001</v>
      </c>
      <c r="E33" s="7">
        <v>9.1434629000000003E-2</v>
      </c>
      <c r="F33" s="7">
        <v>1.9910865E-2</v>
      </c>
      <c r="G33" s="7">
        <v>3.2525396999999998E-2</v>
      </c>
      <c r="H33" s="7">
        <v>6.0089992000000002E-2</v>
      </c>
      <c r="I33" s="7">
        <v>6.5859966000000006E-2</v>
      </c>
      <c r="J33" s="7">
        <v>5.6834915999999999E-2</v>
      </c>
      <c r="K33" s="7">
        <v>3.3897007999999999E-2</v>
      </c>
      <c r="L33" s="7">
        <v>8.3844552000000003E-2</v>
      </c>
      <c r="M33" s="7">
        <v>8.4060947999999996E-2</v>
      </c>
      <c r="N33" s="7">
        <v>5.7387792999999999E-2</v>
      </c>
      <c r="O33" s="7">
        <v>3.1850504000000002E-2</v>
      </c>
      <c r="P33" s="7">
        <v>9.6995500999999998E-2</v>
      </c>
      <c r="Q33" s="7">
        <v>7.1686662999999998E-2</v>
      </c>
      <c r="R33" s="7">
        <v>5.9690030999999998E-2</v>
      </c>
      <c r="S33" s="7">
        <v>2.2819644E-2</v>
      </c>
      <c r="T33" s="7">
        <v>0.111172022</v>
      </c>
      <c r="U33" s="7">
        <v>7.0164608000000003E-2</v>
      </c>
      <c r="AB33" s="4">
        <v>0</v>
      </c>
      <c r="AC33" s="4">
        <v>0</v>
      </c>
      <c r="AD33" s="4">
        <v>0</v>
      </c>
    </row>
    <row r="34" spans="1:30" x14ac:dyDescent="0.3">
      <c r="A34" s="6">
        <v>44617</v>
      </c>
      <c r="B34" s="7">
        <v>9.2072231000000004E-2</v>
      </c>
      <c r="C34" s="7">
        <v>4.8324979999999997E-2</v>
      </c>
      <c r="D34" s="7">
        <v>0.17808169300000001</v>
      </c>
      <c r="E34" s="7">
        <v>8.0892371000000005E-2</v>
      </c>
      <c r="F34" s="7">
        <v>0.123164012</v>
      </c>
      <c r="G34" s="7">
        <v>3.4018296000000003E-2</v>
      </c>
      <c r="H34" s="7">
        <v>0.13591367300000001</v>
      </c>
      <c r="I34" s="7">
        <v>9.1434629000000003E-2</v>
      </c>
      <c r="J34" s="7">
        <v>1.9910865E-2</v>
      </c>
      <c r="K34" s="7">
        <v>3.2525396999999998E-2</v>
      </c>
      <c r="L34" s="7">
        <v>6.0089992000000002E-2</v>
      </c>
      <c r="M34" s="7">
        <v>6.5859966000000006E-2</v>
      </c>
      <c r="N34" s="7">
        <v>5.6834915999999999E-2</v>
      </c>
      <c r="O34" s="7">
        <v>3.3897007999999999E-2</v>
      </c>
      <c r="P34" s="7">
        <v>8.3844552000000003E-2</v>
      </c>
      <c r="Q34" s="7">
        <v>8.4060947999999996E-2</v>
      </c>
      <c r="R34" s="7">
        <v>5.7387792999999999E-2</v>
      </c>
      <c r="S34" s="7">
        <v>3.1850504000000002E-2</v>
      </c>
      <c r="T34" s="7">
        <v>9.6995500999999998E-2</v>
      </c>
      <c r="U34" s="7">
        <v>7.1686662999999998E-2</v>
      </c>
      <c r="AB34" s="4">
        <v>0</v>
      </c>
      <c r="AC34" s="4">
        <v>1</v>
      </c>
      <c r="AD34" s="4">
        <v>1</v>
      </c>
    </row>
    <row r="35" spans="1:30" x14ac:dyDescent="0.3">
      <c r="A35" s="6">
        <v>44621</v>
      </c>
      <c r="B35" s="7">
        <v>6.1187430000000001E-2</v>
      </c>
      <c r="C35" s="7">
        <v>5.9954723000000001E-2</v>
      </c>
      <c r="D35" s="7">
        <v>0.12918987400000001</v>
      </c>
      <c r="E35" s="7">
        <v>0.10192100699999999</v>
      </c>
      <c r="F35" s="7">
        <v>9.2072231000000004E-2</v>
      </c>
      <c r="G35" s="7">
        <v>4.8324979999999997E-2</v>
      </c>
      <c r="H35" s="7">
        <v>0.17808169300000001</v>
      </c>
      <c r="I35" s="7">
        <v>8.0892371000000005E-2</v>
      </c>
      <c r="J35" s="7">
        <v>0.123164012</v>
      </c>
      <c r="K35" s="7">
        <v>3.4018296000000003E-2</v>
      </c>
      <c r="L35" s="7">
        <v>0.13591367300000001</v>
      </c>
      <c r="M35" s="7">
        <v>9.1434629000000003E-2</v>
      </c>
      <c r="N35" s="7">
        <v>1.9910865E-2</v>
      </c>
      <c r="O35" s="7">
        <v>3.2525396999999998E-2</v>
      </c>
      <c r="P35" s="7">
        <v>6.0089992000000002E-2</v>
      </c>
      <c r="Q35" s="7">
        <v>6.5859966000000006E-2</v>
      </c>
      <c r="R35" s="7">
        <v>5.6834915999999999E-2</v>
      </c>
      <c r="S35" s="7">
        <v>3.3897007999999999E-2</v>
      </c>
      <c r="T35" s="7">
        <v>8.3844552000000003E-2</v>
      </c>
      <c r="U35" s="7">
        <v>8.4060947999999996E-2</v>
      </c>
      <c r="AB35" s="4">
        <v>0</v>
      </c>
      <c r="AC35" s="4">
        <v>1</v>
      </c>
      <c r="AD35" s="4">
        <v>1</v>
      </c>
    </row>
    <row r="36" spans="1:30" x14ac:dyDescent="0.3">
      <c r="A36" s="6">
        <v>44622</v>
      </c>
      <c r="B36" s="7">
        <v>3.3366337000000003E-2</v>
      </c>
      <c r="C36" s="7">
        <v>3.7676299000000003E-2</v>
      </c>
      <c r="D36" s="7">
        <v>7.9741121999999998E-2</v>
      </c>
      <c r="E36" s="7">
        <v>0.10490234700000001</v>
      </c>
      <c r="F36" s="7">
        <v>6.1187430000000001E-2</v>
      </c>
      <c r="G36" s="7">
        <v>5.9954723000000001E-2</v>
      </c>
      <c r="H36" s="7">
        <v>0.12918987400000001</v>
      </c>
      <c r="I36" s="7">
        <v>0.10192100699999999</v>
      </c>
      <c r="J36" s="7">
        <v>9.2072231000000004E-2</v>
      </c>
      <c r="K36" s="7">
        <v>4.8324979999999997E-2</v>
      </c>
      <c r="L36" s="7">
        <v>0.17808169300000001</v>
      </c>
      <c r="M36" s="7">
        <v>8.0892371000000005E-2</v>
      </c>
      <c r="N36" s="7">
        <v>0.123164012</v>
      </c>
      <c r="O36" s="7">
        <v>3.4018296000000003E-2</v>
      </c>
      <c r="P36" s="7">
        <v>0.13591367300000001</v>
      </c>
      <c r="Q36" s="7">
        <v>9.1434629000000003E-2</v>
      </c>
      <c r="R36" s="7">
        <v>1.9910865E-2</v>
      </c>
      <c r="S36" s="7">
        <v>3.2525396999999998E-2</v>
      </c>
      <c r="T36" s="7">
        <v>6.0089992000000002E-2</v>
      </c>
      <c r="U36" s="7">
        <v>6.5859966000000006E-2</v>
      </c>
      <c r="AB36" s="4">
        <v>0</v>
      </c>
      <c r="AC36" s="4">
        <v>1</v>
      </c>
      <c r="AD36" s="4">
        <v>1</v>
      </c>
    </row>
    <row r="37" spans="1:30" x14ac:dyDescent="0.3">
      <c r="A37" s="6">
        <v>44623</v>
      </c>
      <c r="B37" s="7">
        <v>0.10699898300000001</v>
      </c>
      <c r="C37" s="7">
        <v>3.1558409000000003E-2</v>
      </c>
      <c r="D37" s="7">
        <v>0.254530692</v>
      </c>
      <c r="E37" s="7">
        <v>9.3108878000000006E-2</v>
      </c>
      <c r="F37" s="7">
        <v>3.3366337000000003E-2</v>
      </c>
      <c r="G37" s="7">
        <v>3.7676299000000003E-2</v>
      </c>
      <c r="H37" s="7">
        <v>7.9741121999999998E-2</v>
      </c>
      <c r="I37" s="7">
        <v>0.10490234700000001</v>
      </c>
      <c r="J37" s="7">
        <v>6.1187430000000001E-2</v>
      </c>
      <c r="K37" s="7">
        <v>5.9954723000000001E-2</v>
      </c>
      <c r="L37" s="7">
        <v>0.12918987400000001</v>
      </c>
      <c r="M37" s="7">
        <v>0.10192100699999999</v>
      </c>
      <c r="N37" s="7">
        <v>9.2072231000000004E-2</v>
      </c>
      <c r="O37" s="7">
        <v>4.8324979999999997E-2</v>
      </c>
      <c r="P37" s="7">
        <v>0.17808169300000001</v>
      </c>
      <c r="Q37" s="7">
        <v>8.0892371000000005E-2</v>
      </c>
      <c r="R37" s="7">
        <v>0.123164012</v>
      </c>
      <c r="S37" s="7">
        <v>3.4018296000000003E-2</v>
      </c>
      <c r="T37" s="7">
        <v>0.13591367300000001</v>
      </c>
      <c r="U37" s="7">
        <v>9.1434629000000003E-2</v>
      </c>
      <c r="AB37" s="4">
        <v>0</v>
      </c>
      <c r="AC37" s="4">
        <v>1</v>
      </c>
      <c r="AD37" s="4">
        <v>1</v>
      </c>
    </row>
    <row r="38" spans="1:30" x14ac:dyDescent="0.3">
      <c r="A38" s="6">
        <v>44624</v>
      </c>
      <c r="B38" s="7">
        <v>0.121560879</v>
      </c>
      <c r="C38" s="7">
        <v>3.7932809999999997E-2</v>
      </c>
      <c r="D38" s="7">
        <v>0.18630287400000001</v>
      </c>
      <c r="E38" s="7">
        <v>9.1471378000000006E-2</v>
      </c>
      <c r="F38" s="7">
        <v>0.10699898300000001</v>
      </c>
      <c r="G38" s="7">
        <v>3.1558409000000003E-2</v>
      </c>
      <c r="H38" s="7">
        <v>0.254530692</v>
      </c>
      <c r="I38" s="7">
        <v>9.3108878000000006E-2</v>
      </c>
      <c r="J38" s="7">
        <v>3.3366337000000003E-2</v>
      </c>
      <c r="K38" s="7">
        <v>3.7676299000000003E-2</v>
      </c>
      <c r="L38" s="7">
        <v>7.9741121999999998E-2</v>
      </c>
      <c r="M38" s="7">
        <v>0.10490234700000001</v>
      </c>
      <c r="N38" s="7">
        <v>6.1187430000000001E-2</v>
      </c>
      <c r="O38" s="7">
        <v>5.9954723000000001E-2</v>
      </c>
      <c r="P38" s="7">
        <v>0.12918987400000001</v>
      </c>
      <c r="Q38" s="7">
        <v>0.10192100699999999</v>
      </c>
      <c r="R38" s="7">
        <v>9.2072231000000004E-2</v>
      </c>
      <c r="S38" s="7">
        <v>4.8324979999999997E-2</v>
      </c>
      <c r="T38" s="7">
        <v>0.17808169300000001</v>
      </c>
      <c r="U38" s="7">
        <v>8.0892371000000005E-2</v>
      </c>
      <c r="AB38" s="4">
        <v>0</v>
      </c>
      <c r="AC38" s="4">
        <v>1</v>
      </c>
      <c r="AD38" s="4">
        <v>1</v>
      </c>
    </row>
    <row r="39" spans="1:30" x14ac:dyDescent="0.3">
      <c r="A39" s="6">
        <v>44627</v>
      </c>
      <c r="B39" s="7">
        <v>0.182007008</v>
      </c>
      <c r="C39" s="7">
        <v>5.1638980000000001E-2</v>
      </c>
      <c r="D39" s="7">
        <v>0.23790795000000001</v>
      </c>
      <c r="E39" s="7">
        <v>0.18100637999999999</v>
      </c>
      <c r="F39" s="7">
        <v>0.121560879</v>
      </c>
      <c r="G39" s="7">
        <v>3.7932809999999997E-2</v>
      </c>
      <c r="H39" s="7">
        <v>0.18630287400000001</v>
      </c>
      <c r="I39" s="7">
        <v>9.1471378000000006E-2</v>
      </c>
      <c r="J39" s="7">
        <v>0.10699898300000001</v>
      </c>
      <c r="K39" s="7">
        <v>3.1558409000000003E-2</v>
      </c>
      <c r="L39" s="7">
        <v>0.254530692</v>
      </c>
      <c r="M39" s="7">
        <v>9.3108878000000006E-2</v>
      </c>
      <c r="N39" s="7">
        <v>3.3366337000000003E-2</v>
      </c>
      <c r="O39" s="7">
        <v>3.7676299000000003E-2</v>
      </c>
      <c r="P39" s="7">
        <v>7.9741121999999998E-2</v>
      </c>
      <c r="Q39" s="7">
        <v>0.10490234700000001</v>
      </c>
      <c r="R39" s="7">
        <v>6.1187430000000001E-2</v>
      </c>
      <c r="S39" s="7">
        <v>5.9954723000000001E-2</v>
      </c>
      <c r="T39" s="7">
        <v>0.12918987400000001</v>
      </c>
      <c r="U39" s="7">
        <v>0.10192100699999999</v>
      </c>
      <c r="AB39" s="4">
        <v>0</v>
      </c>
      <c r="AC39" s="4">
        <v>0</v>
      </c>
      <c r="AD39" s="4">
        <v>0</v>
      </c>
    </row>
    <row r="40" spans="1:30" x14ac:dyDescent="0.3">
      <c r="A40" s="6">
        <v>44628</v>
      </c>
      <c r="B40" s="7">
        <v>0.16947617500000001</v>
      </c>
      <c r="C40" s="7">
        <v>7.1236121999999999E-2</v>
      </c>
      <c r="D40" s="7">
        <v>0.17034489899999999</v>
      </c>
      <c r="E40" s="7">
        <v>0.129749432</v>
      </c>
      <c r="F40" s="7">
        <v>0.182007008</v>
      </c>
      <c r="G40" s="7">
        <v>5.1638980000000001E-2</v>
      </c>
      <c r="H40" s="7">
        <v>0.23790795000000001</v>
      </c>
      <c r="I40" s="7">
        <v>0.18100637999999999</v>
      </c>
      <c r="J40" s="7">
        <v>0.121560879</v>
      </c>
      <c r="K40" s="7">
        <v>3.7932809999999997E-2</v>
      </c>
      <c r="L40" s="7">
        <v>0.18630287400000001</v>
      </c>
      <c r="M40" s="7">
        <v>9.1471378000000006E-2</v>
      </c>
      <c r="N40" s="7">
        <v>0.10699898300000001</v>
      </c>
      <c r="O40" s="7">
        <v>3.1558409000000003E-2</v>
      </c>
      <c r="P40" s="7">
        <v>0.254530692</v>
      </c>
      <c r="Q40" s="7">
        <v>9.3108878000000006E-2</v>
      </c>
      <c r="R40" s="7">
        <v>3.3366337000000003E-2</v>
      </c>
      <c r="S40" s="7">
        <v>3.7676299000000003E-2</v>
      </c>
      <c r="T40" s="7">
        <v>7.9741121999999998E-2</v>
      </c>
      <c r="U40" s="7">
        <v>0.10490234700000001</v>
      </c>
      <c r="AB40" s="4">
        <v>0</v>
      </c>
      <c r="AC40" s="4">
        <v>0</v>
      </c>
      <c r="AD40" s="4">
        <v>0</v>
      </c>
    </row>
    <row r="41" spans="1:30" x14ac:dyDescent="0.3">
      <c r="A41" s="6">
        <v>44629</v>
      </c>
      <c r="B41" s="7">
        <v>6.1978521000000002E-2</v>
      </c>
      <c r="C41" s="7">
        <v>8.1534761999999997E-2</v>
      </c>
      <c r="D41" s="7">
        <v>0.11553548600000001</v>
      </c>
      <c r="E41" s="7">
        <v>0.123452806</v>
      </c>
      <c r="F41" s="7">
        <v>0.16947617500000001</v>
      </c>
      <c r="G41" s="7">
        <v>7.1236121999999999E-2</v>
      </c>
      <c r="H41" s="7">
        <v>0.17034489899999999</v>
      </c>
      <c r="I41" s="7">
        <v>0.129749432</v>
      </c>
      <c r="J41" s="7">
        <v>0.182007008</v>
      </c>
      <c r="K41" s="7">
        <v>5.1638980000000001E-2</v>
      </c>
      <c r="L41" s="7">
        <v>0.23790795000000001</v>
      </c>
      <c r="M41" s="7">
        <v>0.18100637999999999</v>
      </c>
      <c r="N41" s="7">
        <v>0.121560879</v>
      </c>
      <c r="O41" s="7">
        <v>3.7932809999999997E-2</v>
      </c>
      <c r="P41" s="7">
        <v>0.18630287400000001</v>
      </c>
      <c r="Q41" s="7">
        <v>9.1471378000000006E-2</v>
      </c>
      <c r="R41" s="7">
        <v>0.10699898300000001</v>
      </c>
      <c r="S41" s="7">
        <v>3.1558409000000003E-2</v>
      </c>
      <c r="T41" s="7">
        <v>0.254530692</v>
      </c>
      <c r="U41" s="7">
        <v>9.3108878000000006E-2</v>
      </c>
      <c r="AB41" s="4">
        <v>0</v>
      </c>
      <c r="AC41" s="4">
        <v>0</v>
      </c>
      <c r="AD41" s="4">
        <v>0</v>
      </c>
    </row>
    <row r="42" spans="1:30" x14ac:dyDescent="0.3">
      <c r="A42" s="6">
        <v>44630</v>
      </c>
      <c r="B42" s="7">
        <v>0.17250510699999999</v>
      </c>
      <c r="C42" s="7">
        <v>8.9678988000000001E-2</v>
      </c>
      <c r="D42" s="7">
        <v>0.33244741</v>
      </c>
      <c r="E42" s="7">
        <v>8.2297889999999999E-2</v>
      </c>
      <c r="F42" s="7">
        <v>6.1978521000000002E-2</v>
      </c>
      <c r="G42" s="7">
        <v>8.1534761999999997E-2</v>
      </c>
      <c r="H42" s="7">
        <v>0.11553548600000001</v>
      </c>
      <c r="I42" s="7">
        <v>0.123452806</v>
      </c>
      <c r="J42" s="7">
        <v>0.16947617500000001</v>
      </c>
      <c r="K42" s="7">
        <v>7.1236121999999999E-2</v>
      </c>
      <c r="L42" s="7">
        <v>0.17034489899999999</v>
      </c>
      <c r="M42" s="7">
        <v>0.129749432</v>
      </c>
      <c r="N42" s="7">
        <v>0.182007008</v>
      </c>
      <c r="O42" s="7">
        <v>5.1638980000000001E-2</v>
      </c>
      <c r="P42" s="7">
        <v>0.23790795000000001</v>
      </c>
      <c r="Q42" s="7">
        <v>0.18100637999999999</v>
      </c>
      <c r="R42" s="7">
        <v>0.121560879</v>
      </c>
      <c r="S42" s="7">
        <v>3.7932809999999997E-2</v>
      </c>
      <c r="T42" s="7">
        <v>0.18630287400000001</v>
      </c>
      <c r="U42" s="7">
        <v>9.1471378000000006E-2</v>
      </c>
      <c r="AB42" s="4">
        <v>0</v>
      </c>
      <c r="AC42" s="4">
        <v>0</v>
      </c>
      <c r="AD42" s="4">
        <v>0</v>
      </c>
    </row>
    <row r="43" spans="1:30" x14ac:dyDescent="0.3">
      <c r="A43" s="6">
        <v>44631</v>
      </c>
      <c r="B43" s="7">
        <v>0.214834835</v>
      </c>
      <c r="C43" s="7">
        <v>8.3176179000000003E-2</v>
      </c>
      <c r="D43" s="7">
        <v>0.31421689800000002</v>
      </c>
      <c r="E43" s="7">
        <v>0.18052217100000001</v>
      </c>
      <c r="F43" s="7">
        <v>0.17250510699999999</v>
      </c>
      <c r="G43" s="7">
        <v>8.9678988000000001E-2</v>
      </c>
      <c r="H43" s="7">
        <v>0.33244741</v>
      </c>
      <c r="I43" s="7">
        <v>8.2297889999999999E-2</v>
      </c>
      <c r="J43" s="7">
        <v>6.1978521000000002E-2</v>
      </c>
      <c r="K43" s="7">
        <v>8.1534761999999997E-2</v>
      </c>
      <c r="L43" s="7">
        <v>0.11553548600000001</v>
      </c>
      <c r="M43" s="7">
        <v>0.123452806</v>
      </c>
      <c r="N43" s="7">
        <v>0.16947617500000001</v>
      </c>
      <c r="O43" s="7">
        <v>7.1236121999999999E-2</v>
      </c>
      <c r="P43" s="7">
        <v>0.17034489899999999</v>
      </c>
      <c r="Q43" s="7">
        <v>0.129749432</v>
      </c>
      <c r="R43" s="7">
        <v>0.182007008</v>
      </c>
      <c r="S43" s="7">
        <v>5.1638980000000001E-2</v>
      </c>
      <c r="T43" s="7">
        <v>0.23790795000000001</v>
      </c>
      <c r="U43" s="7">
        <v>0.18100637999999999</v>
      </c>
      <c r="AB43" s="4">
        <v>0</v>
      </c>
      <c r="AC43" s="4">
        <v>0</v>
      </c>
      <c r="AD43" s="4">
        <v>0</v>
      </c>
    </row>
    <row r="44" spans="1:30" x14ac:dyDescent="0.3">
      <c r="A44" s="6">
        <v>44634</v>
      </c>
      <c r="B44" s="7">
        <v>0.27763957900000003</v>
      </c>
      <c r="C44" s="7">
        <v>0.15358372200000001</v>
      </c>
      <c r="D44" s="7">
        <v>0.38724637899999997</v>
      </c>
      <c r="E44" s="7">
        <v>0.211888143</v>
      </c>
      <c r="F44" s="7">
        <v>0.214834835</v>
      </c>
      <c r="G44" s="7">
        <v>8.3176179000000003E-2</v>
      </c>
      <c r="H44" s="7">
        <v>0.31421689800000002</v>
      </c>
      <c r="I44" s="7">
        <v>0.18052217100000001</v>
      </c>
      <c r="J44" s="7">
        <v>0.17250510699999999</v>
      </c>
      <c r="K44" s="7">
        <v>8.9678988000000001E-2</v>
      </c>
      <c r="L44" s="7">
        <v>0.33244741</v>
      </c>
      <c r="M44" s="7">
        <v>8.2297889999999999E-2</v>
      </c>
      <c r="N44" s="7">
        <v>6.1978521000000002E-2</v>
      </c>
      <c r="O44" s="7">
        <v>8.1534761999999997E-2</v>
      </c>
      <c r="P44" s="7">
        <v>0.11553548600000001</v>
      </c>
      <c r="Q44" s="7">
        <v>0.123452806</v>
      </c>
      <c r="R44" s="7">
        <v>0.16947617500000001</v>
      </c>
      <c r="S44" s="7">
        <v>7.1236121999999999E-2</v>
      </c>
      <c r="T44" s="7">
        <v>0.17034489899999999</v>
      </c>
      <c r="U44" s="7">
        <v>0.129749432</v>
      </c>
      <c r="AB44" s="4">
        <v>1</v>
      </c>
      <c r="AC44" s="4">
        <v>0</v>
      </c>
      <c r="AD44" s="4">
        <v>1</v>
      </c>
    </row>
    <row r="45" spans="1:30" x14ac:dyDescent="0.3">
      <c r="A45" s="6">
        <v>44635</v>
      </c>
      <c r="B45" s="7">
        <v>0.35460587500000001</v>
      </c>
      <c r="C45" s="7">
        <v>0.17652089300000001</v>
      </c>
      <c r="D45" s="7">
        <v>0.35478109800000002</v>
      </c>
      <c r="E45" s="7">
        <v>0.28090250700000002</v>
      </c>
      <c r="F45" s="7">
        <v>0.27763957900000003</v>
      </c>
      <c r="G45" s="7">
        <v>0.15358372200000001</v>
      </c>
      <c r="H45" s="7">
        <v>0.38724637899999997</v>
      </c>
      <c r="I45" s="7">
        <v>0.211888143</v>
      </c>
      <c r="J45" s="7">
        <v>0.214834835</v>
      </c>
      <c r="K45" s="7">
        <v>8.3176179000000003E-2</v>
      </c>
      <c r="L45" s="7">
        <v>0.31421689800000002</v>
      </c>
      <c r="M45" s="7">
        <v>0.18052217100000001</v>
      </c>
      <c r="N45" s="7">
        <v>0.17250510699999999</v>
      </c>
      <c r="O45" s="7">
        <v>8.9678988000000001E-2</v>
      </c>
      <c r="P45" s="7">
        <v>0.33244741</v>
      </c>
      <c r="Q45" s="7">
        <v>8.2297889999999999E-2</v>
      </c>
      <c r="R45" s="7">
        <v>6.1978521000000002E-2</v>
      </c>
      <c r="S45" s="7">
        <v>8.1534761999999997E-2</v>
      </c>
      <c r="T45" s="7">
        <v>0.11553548600000001</v>
      </c>
      <c r="U45" s="7">
        <v>0.123452806</v>
      </c>
      <c r="AB45" s="4">
        <v>1</v>
      </c>
      <c r="AC45" s="4">
        <v>0</v>
      </c>
      <c r="AD45" s="4">
        <v>1</v>
      </c>
    </row>
    <row r="46" spans="1:30" x14ac:dyDescent="0.3">
      <c r="A46" s="6">
        <v>44636</v>
      </c>
      <c r="B46" s="7">
        <v>3.9701469000000003E-2</v>
      </c>
      <c r="C46" s="7">
        <v>7.3264289999999996E-2</v>
      </c>
      <c r="D46" s="7">
        <v>4.9257744999999999E-2</v>
      </c>
      <c r="E46" s="7">
        <v>4.8168557000000001E-2</v>
      </c>
      <c r="F46" s="7">
        <v>0.35460587500000001</v>
      </c>
      <c r="G46" s="7">
        <v>0.17652089300000001</v>
      </c>
      <c r="H46" s="7">
        <v>0.35478109800000002</v>
      </c>
      <c r="I46" s="7">
        <v>0.28090250700000002</v>
      </c>
      <c r="J46" s="7">
        <v>0.27763957900000003</v>
      </c>
      <c r="K46" s="7">
        <v>0.15358372200000001</v>
      </c>
      <c r="L46" s="7">
        <v>0.38724637899999997</v>
      </c>
      <c r="M46" s="7">
        <v>0.211888143</v>
      </c>
      <c r="N46" s="7">
        <v>0.214834835</v>
      </c>
      <c r="O46" s="7">
        <v>8.3176179000000003E-2</v>
      </c>
      <c r="P46" s="7">
        <v>0.31421689800000002</v>
      </c>
      <c r="Q46" s="7">
        <v>0.18052217100000001</v>
      </c>
      <c r="R46" s="7">
        <v>0.17250510699999999</v>
      </c>
      <c r="S46" s="7">
        <v>8.9678988000000001E-2</v>
      </c>
      <c r="T46" s="7">
        <v>0.33244741</v>
      </c>
      <c r="U46" s="7">
        <v>8.2297889999999999E-2</v>
      </c>
      <c r="AB46" s="4">
        <v>1</v>
      </c>
      <c r="AC46" s="4">
        <v>0</v>
      </c>
      <c r="AD46" s="4">
        <v>1</v>
      </c>
    </row>
    <row r="47" spans="1:30" x14ac:dyDescent="0.3">
      <c r="A47" s="6">
        <v>44637</v>
      </c>
      <c r="B47" s="7">
        <v>7.5120123999999996E-2</v>
      </c>
      <c r="C47" s="7">
        <v>4.1463003999999998E-2</v>
      </c>
      <c r="D47" s="7">
        <v>0.15027347199999999</v>
      </c>
      <c r="E47" s="7">
        <v>7.3184814000000001E-2</v>
      </c>
      <c r="F47" s="7">
        <v>3.9701469000000003E-2</v>
      </c>
      <c r="G47" s="7">
        <v>7.3264289999999996E-2</v>
      </c>
      <c r="H47" s="7">
        <v>4.9257744999999999E-2</v>
      </c>
      <c r="I47" s="7">
        <v>4.8168557000000001E-2</v>
      </c>
      <c r="J47" s="7">
        <v>0.35460587500000001</v>
      </c>
      <c r="K47" s="7">
        <v>0.17652089300000001</v>
      </c>
      <c r="L47" s="7">
        <v>0.35478109800000002</v>
      </c>
      <c r="M47" s="7">
        <v>0.28090250700000002</v>
      </c>
      <c r="N47" s="7">
        <v>0.27763957900000003</v>
      </c>
      <c r="O47" s="7">
        <v>0.15358372200000001</v>
      </c>
      <c r="P47" s="7">
        <v>0.38724637899999997</v>
      </c>
      <c r="Q47" s="7">
        <v>0.211888143</v>
      </c>
      <c r="R47" s="7">
        <v>0.214834835</v>
      </c>
      <c r="S47" s="7">
        <v>8.3176179000000003E-2</v>
      </c>
      <c r="T47" s="7">
        <v>0.31421689800000002</v>
      </c>
      <c r="U47" s="7">
        <v>0.18052217100000001</v>
      </c>
      <c r="AB47" s="4">
        <v>0</v>
      </c>
      <c r="AC47" s="4">
        <v>0</v>
      </c>
      <c r="AD47" s="4">
        <v>0</v>
      </c>
    </row>
    <row r="48" spans="1:30" x14ac:dyDescent="0.3">
      <c r="A48" s="6">
        <v>44638</v>
      </c>
      <c r="B48" s="7">
        <v>6.7812743999999994E-2</v>
      </c>
      <c r="C48" s="7">
        <v>3.2816995000000002E-2</v>
      </c>
      <c r="D48" s="7">
        <v>0.113433388</v>
      </c>
      <c r="E48" s="7">
        <v>4.6031929999999999E-2</v>
      </c>
      <c r="F48" s="7">
        <v>7.5120123999999996E-2</v>
      </c>
      <c r="G48" s="7">
        <v>4.1463003999999998E-2</v>
      </c>
      <c r="H48" s="7">
        <v>0.15027347199999999</v>
      </c>
      <c r="I48" s="7">
        <v>7.3184814000000001E-2</v>
      </c>
      <c r="J48" s="7">
        <v>3.9701469000000003E-2</v>
      </c>
      <c r="K48" s="7">
        <v>7.3264289999999996E-2</v>
      </c>
      <c r="L48" s="7">
        <v>4.9257744999999999E-2</v>
      </c>
      <c r="M48" s="7">
        <v>4.8168557000000001E-2</v>
      </c>
      <c r="N48" s="7">
        <v>0.35460587500000001</v>
      </c>
      <c r="O48" s="7">
        <v>0.17652089300000001</v>
      </c>
      <c r="P48" s="7">
        <v>0.35478109800000002</v>
      </c>
      <c r="Q48" s="7">
        <v>0.28090250700000002</v>
      </c>
      <c r="R48" s="7">
        <v>0.27763957900000003</v>
      </c>
      <c r="S48" s="7">
        <v>0.15358372200000001</v>
      </c>
      <c r="T48" s="7">
        <v>0.38724637899999997</v>
      </c>
      <c r="U48" s="7">
        <v>0.211888143</v>
      </c>
      <c r="AB48" s="4">
        <v>0</v>
      </c>
      <c r="AC48" s="4">
        <v>0</v>
      </c>
      <c r="AD48" s="4">
        <v>0</v>
      </c>
    </row>
    <row r="49" spans="1:30" x14ac:dyDescent="0.3">
      <c r="A49" s="6">
        <v>44641</v>
      </c>
      <c r="B49" s="7">
        <v>5.0049733999999999E-2</v>
      </c>
      <c r="C49" s="7">
        <v>3.7547887000000002E-2</v>
      </c>
      <c r="D49" s="7">
        <v>0.104858296</v>
      </c>
      <c r="E49" s="7">
        <v>7.6445715999999997E-2</v>
      </c>
      <c r="F49" s="7">
        <v>6.7812743999999994E-2</v>
      </c>
      <c r="G49" s="7">
        <v>3.2816995000000002E-2</v>
      </c>
      <c r="H49" s="7">
        <v>0.113433388</v>
      </c>
      <c r="I49" s="7">
        <v>4.6031929999999999E-2</v>
      </c>
      <c r="J49" s="7">
        <v>7.5120123999999996E-2</v>
      </c>
      <c r="K49" s="7">
        <v>4.1463003999999998E-2</v>
      </c>
      <c r="L49" s="7">
        <v>0.15027347199999999</v>
      </c>
      <c r="M49" s="7">
        <v>7.3184814000000001E-2</v>
      </c>
      <c r="N49" s="7">
        <v>3.9701469000000003E-2</v>
      </c>
      <c r="O49" s="7">
        <v>7.3264289999999996E-2</v>
      </c>
      <c r="P49" s="7">
        <v>4.9257744999999999E-2</v>
      </c>
      <c r="Q49" s="7">
        <v>4.8168557000000001E-2</v>
      </c>
      <c r="R49" s="7">
        <v>0.35460587500000001</v>
      </c>
      <c r="S49" s="7">
        <v>0.17652089300000001</v>
      </c>
      <c r="T49" s="7">
        <v>0.35478109800000002</v>
      </c>
      <c r="U49" s="7">
        <v>0.28090250700000002</v>
      </c>
      <c r="AB49" s="4">
        <v>0</v>
      </c>
      <c r="AC49" s="4">
        <v>0</v>
      </c>
      <c r="AD49" s="4">
        <v>0</v>
      </c>
    </row>
    <row r="50" spans="1:30" x14ac:dyDescent="0.3">
      <c r="A50" s="6">
        <v>44642</v>
      </c>
      <c r="B50" s="7">
        <v>3.5668050999999999E-2</v>
      </c>
      <c r="C50" s="7">
        <v>2.9951182E-2</v>
      </c>
      <c r="D50" s="7">
        <v>6.2132114000000002E-2</v>
      </c>
      <c r="E50" s="7">
        <v>4.8104501000000001E-2</v>
      </c>
      <c r="F50" s="7">
        <v>5.0049733999999999E-2</v>
      </c>
      <c r="G50" s="7">
        <v>3.7547887000000002E-2</v>
      </c>
      <c r="H50" s="7">
        <v>0.104858296</v>
      </c>
      <c r="I50" s="7">
        <v>7.6445715999999997E-2</v>
      </c>
      <c r="J50" s="7">
        <v>6.7812743999999994E-2</v>
      </c>
      <c r="K50" s="7">
        <v>3.2816995000000002E-2</v>
      </c>
      <c r="L50" s="7">
        <v>0.113433388</v>
      </c>
      <c r="M50" s="7">
        <v>4.6031929999999999E-2</v>
      </c>
      <c r="N50" s="7">
        <v>7.5120123999999996E-2</v>
      </c>
      <c r="O50" s="7">
        <v>4.1463003999999998E-2</v>
      </c>
      <c r="P50" s="7">
        <v>0.15027347199999999</v>
      </c>
      <c r="Q50" s="7">
        <v>7.3184814000000001E-2</v>
      </c>
      <c r="R50" s="7">
        <v>3.9701469000000003E-2</v>
      </c>
      <c r="S50" s="7">
        <v>7.3264289999999996E-2</v>
      </c>
      <c r="T50" s="7">
        <v>4.9257744999999999E-2</v>
      </c>
      <c r="U50" s="7">
        <v>4.8168557000000001E-2</v>
      </c>
      <c r="AB50" s="4">
        <v>0</v>
      </c>
      <c r="AC50" s="4">
        <v>0</v>
      </c>
      <c r="AD50" s="4">
        <v>0</v>
      </c>
    </row>
    <row r="51" spans="1:30" x14ac:dyDescent="0.3">
      <c r="A51" s="6">
        <v>44643</v>
      </c>
      <c r="B51" s="7">
        <v>1.6056364E-2</v>
      </c>
      <c r="C51" s="7">
        <v>3.5200932999999997E-2</v>
      </c>
      <c r="D51" s="7">
        <v>4.7641372000000001E-2</v>
      </c>
      <c r="E51" s="7">
        <v>5.6164143999999999E-2</v>
      </c>
      <c r="F51" s="7">
        <v>3.5668050999999999E-2</v>
      </c>
      <c r="G51" s="7">
        <v>2.9951182E-2</v>
      </c>
      <c r="H51" s="7">
        <v>6.2132114000000002E-2</v>
      </c>
      <c r="I51" s="7">
        <v>4.8104501000000001E-2</v>
      </c>
      <c r="J51" s="7">
        <v>5.0049733999999999E-2</v>
      </c>
      <c r="K51" s="7">
        <v>3.7547887000000002E-2</v>
      </c>
      <c r="L51" s="7">
        <v>0.104858296</v>
      </c>
      <c r="M51" s="7">
        <v>7.6445715999999997E-2</v>
      </c>
      <c r="N51" s="7">
        <v>6.7812743999999994E-2</v>
      </c>
      <c r="O51" s="7">
        <v>3.2816995000000002E-2</v>
      </c>
      <c r="P51" s="7">
        <v>0.113433388</v>
      </c>
      <c r="Q51" s="7">
        <v>4.6031929999999999E-2</v>
      </c>
      <c r="R51" s="7">
        <v>7.5120123999999996E-2</v>
      </c>
      <c r="S51" s="7">
        <v>4.1463003999999998E-2</v>
      </c>
      <c r="T51" s="7">
        <v>0.15027347199999999</v>
      </c>
      <c r="U51" s="7">
        <v>7.3184814000000001E-2</v>
      </c>
      <c r="AB51" s="4">
        <v>0</v>
      </c>
      <c r="AC51" s="4">
        <v>0</v>
      </c>
      <c r="AD51" s="4">
        <v>0</v>
      </c>
    </row>
    <row r="52" spans="1:30" x14ac:dyDescent="0.3">
      <c r="A52" s="6">
        <v>44644</v>
      </c>
      <c r="B52" s="7">
        <v>5.8896406999999998E-2</v>
      </c>
      <c r="C52" s="7">
        <v>2.4826994000000002E-2</v>
      </c>
      <c r="D52" s="7">
        <v>0.12359388</v>
      </c>
      <c r="E52" s="7">
        <v>7.6370997999999995E-2</v>
      </c>
      <c r="F52" s="7">
        <v>1.6056364E-2</v>
      </c>
      <c r="G52" s="7">
        <v>3.5200932999999997E-2</v>
      </c>
      <c r="H52" s="7">
        <v>4.7641372000000001E-2</v>
      </c>
      <c r="I52" s="7">
        <v>5.6164143999999999E-2</v>
      </c>
      <c r="J52" s="7">
        <v>3.5668050999999999E-2</v>
      </c>
      <c r="K52" s="7">
        <v>2.9951182E-2</v>
      </c>
      <c r="L52" s="7">
        <v>6.2132114000000002E-2</v>
      </c>
      <c r="M52" s="7">
        <v>4.8104501000000001E-2</v>
      </c>
      <c r="N52" s="7">
        <v>5.0049733999999999E-2</v>
      </c>
      <c r="O52" s="7">
        <v>3.7547887000000002E-2</v>
      </c>
      <c r="P52" s="7">
        <v>0.104858296</v>
      </c>
      <c r="Q52" s="7">
        <v>7.6445715999999997E-2</v>
      </c>
      <c r="R52" s="7">
        <v>6.7812743999999994E-2</v>
      </c>
      <c r="S52" s="7">
        <v>3.2816995000000002E-2</v>
      </c>
      <c r="T52" s="7">
        <v>0.113433388</v>
      </c>
      <c r="U52" s="7">
        <v>4.6031929999999999E-2</v>
      </c>
      <c r="AB52" s="4">
        <v>0</v>
      </c>
      <c r="AC52" s="4">
        <v>0</v>
      </c>
      <c r="AD52" s="4">
        <v>0</v>
      </c>
    </row>
    <row r="53" spans="1:30" x14ac:dyDescent="0.3">
      <c r="A53" s="6">
        <v>44645</v>
      </c>
      <c r="B53" s="7">
        <v>6.1741798000000001E-2</v>
      </c>
      <c r="C53" s="7">
        <v>2.6076591999999999E-2</v>
      </c>
      <c r="D53" s="7">
        <v>9.2262990000000003E-2</v>
      </c>
      <c r="E53" s="7">
        <v>5.961491E-2</v>
      </c>
      <c r="F53" s="7">
        <v>5.8896406999999998E-2</v>
      </c>
      <c r="G53" s="7">
        <v>2.4826994000000002E-2</v>
      </c>
      <c r="H53" s="7">
        <v>0.12359388</v>
      </c>
      <c r="I53" s="7">
        <v>7.6370997999999995E-2</v>
      </c>
      <c r="J53" s="7">
        <v>1.6056364E-2</v>
      </c>
      <c r="K53" s="7">
        <v>3.5200932999999997E-2</v>
      </c>
      <c r="L53" s="7">
        <v>4.7641372000000001E-2</v>
      </c>
      <c r="M53" s="7">
        <v>5.6164143999999999E-2</v>
      </c>
      <c r="N53" s="7">
        <v>3.5668050999999999E-2</v>
      </c>
      <c r="O53" s="7">
        <v>2.9951182E-2</v>
      </c>
      <c r="P53" s="7">
        <v>6.2132114000000002E-2</v>
      </c>
      <c r="Q53" s="7">
        <v>4.8104501000000001E-2</v>
      </c>
      <c r="R53" s="7">
        <v>5.0049733999999999E-2</v>
      </c>
      <c r="S53" s="7">
        <v>3.7547887000000002E-2</v>
      </c>
      <c r="T53" s="7">
        <v>0.104858296</v>
      </c>
      <c r="U53" s="7">
        <v>7.6445715999999997E-2</v>
      </c>
      <c r="AB53" s="4">
        <v>0</v>
      </c>
      <c r="AC53" s="4">
        <v>0</v>
      </c>
      <c r="AD53" s="4">
        <v>0</v>
      </c>
    </row>
    <row r="54" spans="1:30" x14ac:dyDescent="0.3">
      <c r="A54" s="6">
        <v>44648</v>
      </c>
      <c r="B54" s="7">
        <v>4.5853596000000003E-2</v>
      </c>
      <c r="C54" s="7">
        <v>3.2075874999999997E-2</v>
      </c>
      <c r="D54" s="7">
        <v>0.105537834</v>
      </c>
      <c r="E54" s="7">
        <v>7.3660017999999994E-2</v>
      </c>
      <c r="F54" s="7">
        <v>6.1741798000000001E-2</v>
      </c>
      <c r="G54" s="7">
        <v>2.6076591999999999E-2</v>
      </c>
      <c r="H54" s="7">
        <v>9.2262990000000003E-2</v>
      </c>
      <c r="I54" s="7">
        <v>5.961491E-2</v>
      </c>
      <c r="J54" s="7">
        <v>5.8896406999999998E-2</v>
      </c>
      <c r="K54" s="7">
        <v>2.4826994000000002E-2</v>
      </c>
      <c r="L54" s="7">
        <v>0.12359388</v>
      </c>
      <c r="M54" s="7">
        <v>7.6370997999999995E-2</v>
      </c>
      <c r="N54" s="7">
        <v>1.6056364E-2</v>
      </c>
      <c r="O54" s="7">
        <v>3.5200932999999997E-2</v>
      </c>
      <c r="P54" s="7">
        <v>4.7641372000000001E-2</v>
      </c>
      <c r="Q54" s="7">
        <v>5.6164143999999999E-2</v>
      </c>
      <c r="R54" s="7">
        <v>3.5668050999999999E-2</v>
      </c>
      <c r="S54" s="7">
        <v>2.9951182E-2</v>
      </c>
      <c r="T54" s="7">
        <v>6.2132114000000002E-2</v>
      </c>
      <c r="U54" s="7">
        <v>4.8104501000000001E-2</v>
      </c>
      <c r="AB54" s="4">
        <v>0</v>
      </c>
      <c r="AC54" s="4">
        <v>0</v>
      </c>
      <c r="AD54" s="4">
        <v>0</v>
      </c>
    </row>
    <row r="55" spans="1:30" x14ac:dyDescent="0.3">
      <c r="A55" s="6">
        <v>44649</v>
      </c>
      <c r="B55" s="7">
        <v>3.6225091000000001E-2</v>
      </c>
      <c r="C55" s="7">
        <v>2.6403540999999999E-2</v>
      </c>
      <c r="D55" s="7">
        <v>6.1975534999999998E-2</v>
      </c>
      <c r="E55" s="7">
        <v>5.7159534999999997E-2</v>
      </c>
      <c r="F55" s="7">
        <v>4.5853596000000003E-2</v>
      </c>
      <c r="G55" s="7">
        <v>3.2075874999999997E-2</v>
      </c>
      <c r="H55" s="7">
        <v>0.105537834</v>
      </c>
      <c r="I55" s="7">
        <v>7.3660017999999994E-2</v>
      </c>
      <c r="J55" s="7">
        <v>6.1741798000000001E-2</v>
      </c>
      <c r="K55" s="7">
        <v>2.6076591999999999E-2</v>
      </c>
      <c r="L55" s="7">
        <v>9.2262990000000003E-2</v>
      </c>
      <c r="M55" s="7">
        <v>5.961491E-2</v>
      </c>
      <c r="N55" s="7">
        <v>5.8896406999999998E-2</v>
      </c>
      <c r="O55" s="7">
        <v>2.4826994000000002E-2</v>
      </c>
      <c r="P55" s="7">
        <v>0.12359388</v>
      </c>
      <c r="Q55" s="7">
        <v>7.6370997999999995E-2</v>
      </c>
      <c r="R55" s="7">
        <v>1.6056364E-2</v>
      </c>
      <c r="S55" s="7">
        <v>3.5200932999999997E-2</v>
      </c>
      <c r="T55" s="7">
        <v>4.7641372000000001E-2</v>
      </c>
      <c r="U55" s="7">
        <v>5.6164143999999999E-2</v>
      </c>
      <c r="AB55" s="4">
        <v>0</v>
      </c>
      <c r="AC55" s="4">
        <v>1</v>
      </c>
      <c r="AD55" s="4">
        <v>1</v>
      </c>
    </row>
    <row r="56" spans="1:30" x14ac:dyDescent="0.3">
      <c r="A56" s="6">
        <v>44650</v>
      </c>
      <c r="B56" s="7">
        <v>1.5716937E-2</v>
      </c>
      <c r="C56" s="7">
        <v>2.8286183999999999E-2</v>
      </c>
      <c r="D56" s="7">
        <v>4.3986716000000002E-2</v>
      </c>
      <c r="E56" s="7">
        <v>5.4325551E-2</v>
      </c>
      <c r="F56" s="7">
        <v>3.6225091000000001E-2</v>
      </c>
      <c r="G56" s="7">
        <v>2.6403540999999999E-2</v>
      </c>
      <c r="H56" s="7">
        <v>6.1975534999999998E-2</v>
      </c>
      <c r="I56" s="7">
        <v>5.7159534999999997E-2</v>
      </c>
      <c r="J56" s="7">
        <v>4.5853596000000003E-2</v>
      </c>
      <c r="K56" s="7">
        <v>3.2075874999999997E-2</v>
      </c>
      <c r="L56" s="7">
        <v>0.105537834</v>
      </c>
      <c r="M56" s="7">
        <v>7.3660017999999994E-2</v>
      </c>
      <c r="N56" s="7">
        <v>6.1741798000000001E-2</v>
      </c>
      <c r="O56" s="7">
        <v>2.6076591999999999E-2</v>
      </c>
      <c r="P56" s="7">
        <v>9.2262990000000003E-2</v>
      </c>
      <c r="Q56" s="7">
        <v>5.961491E-2</v>
      </c>
      <c r="R56" s="7">
        <v>5.8896406999999998E-2</v>
      </c>
      <c r="S56" s="7">
        <v>2.4826994000000002E-2</v>
      </c>
      <c r="T56" s="7">
        <v>0.12359388</v>
      </c>
      <c r="U56" s="7">
        <v>7.6370997999999995E-2</v>
      </c>
      <c r="AB56" s="4">
        <v>0</v>
      </c>
      <c r="AC56" s="4">
        <v>1</v>
      </c>
      <c r="AD56" s="4">
        <v>1</v>
      </c>
    </row>
    <row r="57" spans="1:30" x14ac:dyDescent="0.3">
      <c r="A57" s="6">
        <v>44651</v>
      </c>
      <c r="B57" s="7">
        <v>7.7826268000000004E-2</v>
      </c>
      <c r="C57" s="7">
        <v>2.6627535000000001E-2</v>
      </c>
      <c r="D57" s="7">
        <v>0.107343536</v>
      </c>
      <c r="E57" s="7">
        <v>7.0603687999999998E-2</v>
      </c>
      <c r="F57" s="7">
        <v>1.5716937E-2</v>
      </c>
      <c r="G57" s="7">
        <v>2.8286183999999999E-2</v>
      </c>
      <c r="H57" s="7">
        <v>4.3986716000000002E-2</v>
      </c>
      <c r="I57" s="7">
        <v>5.4325551E-2</v>
      </c>
      <c r="J57" s="7">
        <v>3.6225091000000001E-2</v>
      </c>
      <c r="K57" s="7">
        <v>2.6403540999999999E-2</v>
      </c>
      <c r="L57" s="7">
        <v>6.1975534999999998E-2</v>
      </c>
      <c r="M57" s="7">
        <v>5.7159534999999997E-2</v>
      </c>
      <c r="N57" s="7">
        <v>4.5853596000000003E-2</v>
      </c>
      <c r="O57" s="7">
        <v>3.2075874999999997E-2</v>
      </c>
      <c r="P57" s="7">
        <v>0.105537834</v>
      </c>
      <c r="Q57" s="7">
        <v>7.3660017999999994E-2</v>
      </c>
      <c r="R57" s="7">
        <v>6.1741798000000001E-2</v>
      </c>
      <c r="S57" s="7">
        <v>2.6076591999999999E-2</v>
      </c>
      <c r="T57" s="7">
        <v>9.2262990000000003E-2</v>
      </c>
      <c r="U57" s="7">
        <v>5.961491E-2</v>
      </c>
      <c r="AB57" s="4">
        <v>0</v>
      </c>
      <c r="AC57" s="4">
        <v>1</v>
      </c>
      <c r="AD57" s="4">
        <v>1</v>
      </c>
    </row>
    <row r="58" spans="1:30" x14ac:dyDescent="0.3">
      <c r="A58" s="6">
        <v>44652</v>
      </c>
      <c r="B58" s="7">
        <v>5.3115513000000003E-2</v>
      </c>
      <c r="C58" s="7">
        <v>3.3857355999999998E-2</v>
      </c>
      <c r="D58" s="7">
        <v>0.10396369</v>
      </c>
      <c r="E58" s="7">
        <v>3.8663015000000002E-2</v>
      </c>
      <c r="F58" s="7">
        <v>7.7826268000000004E-2</v>
      </c>
      <c r="G58" s="7">
        <v>2.6627535000000001E-2</v>
      </c>
      <c r="H58" s="7">
        <v>0.107343536</v>
      </c>
      <c r="I58" s="7">
        <v>7.0603687999999998E-2</v>
      </c>
      <c r="J58" s="7">
        <v>1.5716937E-2</v>
      </c>
      <c r="K58" s="7">
        <v>2.8286183999999999E-2</v>
      </c>
      <c r="L58" s="7">
        <v>4.3986716000000002E-2</v>
      </c>
      <c r="M58" s="7">
        <v>5.4325551E-2</v>
      </c>
      <c r="N58" s="7">
        <v>3.6225091000000001E-2</v>
      </c>
      <c r="O58" s="7">
        <v>2.6403540999999999E-2</v>
      </c>
      <c r="P58" s="7">
        <v>6.1975534999999998E-2</v>
      </c>
      <c r="Q58" s="7">
        <v>5.7159534999999997E-2</v>
      </c>
      <c r="R58" s="7">
        <v>4.5853596000000003E-2</v>
      </c>
      <c r="S58" s="7">
        <v>3.2075874999999997E-2</v>
      </c>
      <c r="T58" s="7">
        <v>0.105537834</v>
      </c>
      <c r="U58" s="7">
        <v>7.3660017999999994E-2</v>
      </c>
      <c r="AB58" s="4">
        <v>0</v>
      </c>
      <c r="AC58" s="4">
        <v>1</v>
      </c>
      <c r="AD58" s="4">
        <v>1</v>
      </c>
    </row>
    <row r="59" spans="1:30" x14ac:dyDescent="0.3">
      <c r="A59" s="6">
        <v>44657</v>
      </c>
      <c r="B59" s="7">
        <v>2.7677009999999998E-2</v>
      </c>
      <c r="C59" s="7">
        <v>4.1188810999999999E-2</v>
      </c>
      <c r="D59" s="7">
        <v>6.8994047000000003E-2</v>
      </c>
      <c r="E59" s="7">
        <v>6.8320253999999997E-2</v>
      </c>
      <c r="F59" s="7">
        <v>5.3115513000000003E-2</v>
      </c>
      <c r="G59" s="7">
        <v>3.3857355999999998E-2</v>
      </c>
      <c r="H59" s="7">
        <v>0.10396369</v>
      </c>
      <c r="I59" s="7">
        <v>3.8663015000000002E-2</v>
      </c>
      <c r="J59" s="7">
        <v>7.7826268000000004E-2</v>
      </c>
      <c r="K59" s="7">
        <v>2.6627535000000001E-2</v>
      </c>
      <c r="L59" s="7">
        <v>0.107343536</v>
      </c>
      <c r="M59" s="7">
        <v>7.0603687999999998E-2</v>
      </c>
      <c r="N59" s="7">
        <v>1.5716937E-2</v>
      </c>
      <c r="O59" s="7">
        <v>2.8286183999999999E-2</v>
      </c>
      <c r="P59" s="7">
        <v>4.3986716000000002E-2</v>
      </c>
      <c r="Q59" s="7">
        <v>5.4325551E-2</v>
      </c>
      <c r="R59" s="7">
        <v>3.6225091000000001E-2</v>
      </c>
      <c r="S59" s="7">
        <v>2.6403540999999999E-2</v>
      </c>
      <c r="T59" s="7">
        <v>6.1975534999999998E-2</v>
      </c>
      <c r="U59" s="7">
        <v>5.7159534999999997E-2</v>
      </c>
      <c r="AB59" s="4">
        <v>0</v>
      </c>
      <c r="AC59" s="4">
        <v>0</v>
      </c>
      <c r="AD59" s="4">
        <v>0</v>
      </c>
    </row>
    <row r="60" spans="1:30" x14ac:dyDescent="0.3">
      <c r="A60" s="6">
        <v>44658</v>
      </c>
      <c r="B60" s="7">
        <v>0.13351084899999999</v>
      </c>
      <c r="C60" s="7">
        <v>4.1188113999999998E-2</v>
      </c>
      <c r="D60" s="7">
        <v>0.16413698099999999</v>
      </c>
      <c r="E60" s="7">
        <v>0.10575453899999999</v>
      </c>
      <c r="F60" s="7">
        <v>2.7677009999999998E-2</v>
      </c>
      <c r="G60" s="7">
        <v>4.1188810999999999E-2</v>
      </c>
      <c r="H60" s="7">
        <v>6.8994047000000003E-2</v>
      </c>
      <c r="I60" s="7">
        <v>6.8320253999999997E-2</v>
      </c>
      <c r="J60" s="7">
        <v>5.3115513000000003E-2</v>
      </c>
      <c r="K60" s="7">
        <v>3.3857355999999998E-2</v>
      </c>
      <c r="L60" s="7">
        <v>0.10396369</v>
      </c>
      <c r="M60" s="7">
        <v>3.8663015000000002E-2</v>
      </c>
      <c r="N60" s="7">
        <v>7.7826268000000004E-2</v>
      </c>
      <c r="O60" s="7">
        <v>2.6627535000000001E-2</v>
      </c>
      <c r="P60" s="7">
        <v>0.107343536</v>
      </c>
      <c r="Q60" s="7">
        <v>7.0603687999999998E-2</v>
      </c>
      <c r="R60" s="7">
        <v>1.5716937E-2</v>
      </c>
      <c r="S60" s="7">
        <v>2.8286183999999999E-2</v>
      </c>
      <c r="T60" s="7">
        <v>4.3986716000000002E-2</v>
      </c>
      <c r="U60" s="7">
        <v>5.4325551E-2</v>
      </c>
      <c r="AB60" s="4">
        <v>0</v>
      </c>
      <c r="AC60" s="4">
        <v>0</v>
      </c>
      <c r="AD60" s="4">
        <v>0</v>
      </c>
    </row>
    <row r="61" spans="1:30" x14ac:dyDescent="0.3">
      <c r="A61" s="6">
        <v>44659</v>
      </c>
      <c r="B61" s="7">
        <v>9.9010039999999994E-2</v>
      </c>
      <c r="C61" s="7">
        <v>4.8480817000000002E-2</v>
      </c>
      <c r="D61" s="7">
        <v>0.179735899</v>
      </c>
      <c r="E61" s="7">
        <v>7.5949157000000003E-2</v>
      </c>
      <c r="F61" s="7">
        <v>0.13351084899999999</v>
      </c>
      <c r="G61" s="7">
        <v>4.1188113999999998E-2</v>
      </c>
      <c r="H61" s="7">
        <v>0.16413698099999999</v>
      </c>
      <c r="I61" s="7">
        <v>0.10575453899999999</v>
      </c>
      <c r="J61" s="7">
        <v>2.7677009999999998E-2</v>
      </c>
      <c r="K61" s="7">
        <v>4.1188810999999999E-2</v>
      </c>
      <c r="L61" s="7">
        <v>6.8994047000000003E-2</v>
      </c>
      <c r="M61" s="7">
        <v>6.8320253999999997E-2</v>
      </c>
      <c r="N61" s="7">
        <v>5.3115513000000003E-2</v>
      </c>
      <c r="O61" s="7">
        <v>3.3857355999999998E-2</v>
      </c>
      <c r="P61" s="7">
        <v>0.10396369</v>
      </c>
      <c r="Q61" s="7">
        <v>3.8663015000000002E-2</v>
      </c>
      <c r="R61" s="7">
        <v>7.7826268000000004E-2</v>
      </c>
      <c r="S61" s="7">
        <v>2.6627535000000001E-2</v>
      </c>
      <c r="T61" s="7">
        <v>0.107343536</v>
      </c>
      <c r="U61" s="7">
        <v>7.0603687999999998E-2</v>
      </c>
      <c r="AB61" s="4">
        <v>0</v>
      </c>
      <c r="AC61" s="4">
        <v>1</v>
      </c>
      <c r="AD61" s="4">
        <v>1</v>
      </c>
    </row>
    <row r="62" spans="1:30" x14ac:dyDescent="0.3">
      <c r="A62" s="6">
        <v>44662</v>
      </c>
      <c r="B62" s="7">
        <v>0.126804054</v>
      </c>
      <c r="C62" s="7">
        <v>4.9271277000000002E-2</v>
      </c>
      <c r="D62" s="7">
        <v>0.12506479600000001</v>
      </c>
      <c r="E62" s="7">
        <v>9.9969455999999998E-2</v>
      </c>
      <c r="F62" s="7">
        <v>9.9010039999999994E-2</v>
      </c>
      <c r="G62" s="7">
        <v>4.8480817000000002E-2</v>
      </c>
      <c r="H62" s="7">
        <v>0.179735899</v>
      </c>
      <c r="I62" s="7">
        <v>7.5949157000000003E-2</v>
      </c>
      <c r="J62" s="7">
        <v>0.13351084899999999</v>
      </c>
      <c r="K62" s="7">
        <v>4.1188113999999998E-2</v>
      </c>
      <c r="L62" s="7">
        <v>0.16413698099999999</v>
      </c>
      <c r="M62" s="7">
        <v>0.10575453899999999</v>
      </c>
      <c r="N62" s="7">
        <v>2.7677009999999998E-2</v>
      </c>
      <c r="O62" s="7">
        <v>4.1188810999999999E-2</v>
      </c>
      <c r="P62" s="7">
        <v>6.8994047000000003E-2</v>
      </c>
      <c r="Q62" s="7">
        <v>6.8320253999999997E-2</v>
      </c>
      <c r="R62" s="7">
        <v>5.3115513000000003E-2</v>
      </c>
      <c r="S62" s="7">
        <v>3.3857355999999998E-2</v>
      </c>
      <c r="T62" s="7">
        <v>0.10396369</v>
      </c>
      <c r="U62" s="7">
        <v>3.8663015000000002E-2</v>
      </c>
      <c r="V62" s="7">
        <v>-0.128196867064234</v>
      </c>
      <c r="W62" s="7">
        <v>0.1987071079832784</v>
      </c>
      <c r="X62" s="7">
        <v>0.14104139581362135</v>
      </c>
      <c r="AB62" s="4">
        <v>0</v>
      </c>
      <c r="AC62" s="4">
        <v>0</v>
      </c>
      <c r="AD62" s="4">
        <v>0</v>
      </c>
    </row>
    <row r="63" spans="1:30" x14ac:dyDescent="0.3">
      <c r="A63" s="6">
        <v>44663</v>
      </c>
      <c r="B63" s="7">
        <v>9.7283118000000002E-2</v>
      </c>
      <c r="C63" s="7">
        <v>4.9623076000000002E-2</v>
      </c>
      <c r="D63" s="7">
        <v>0.12350710400000001</v>
      </c>
      <c r="E63" s="7">
        <v>8.3176535999999995E-2</v>
      </c>
      <c r="F63" s="7">
        <v>0.126804054</v>
      </c>
      <c r="G63" s="7">
        <v>4.9271277000000002E-2</v>
      </c>
      <c r="H63" s="7">
        <v>0.12506479600000001</v>
      </c>
      <c r="I63" s="7">
        <v>9.9969455999999998E-2</v>
      </c>
      <c r="J63" s="7">
        <v>9.9010039999999994E-2</v>
      </c>
      <c r="K63" s="7">
        <v>4.8480817000000002E-2</v>
      </c>
      <c r="L63" s="7">
        <v>0.179735899</v>
      </c>
      <c r="M63" s="7">
        <v>7.5949157000000003E-2</v>
      </c>
      <c r="N63" s="7">
        <v>0.13351084899999999</v>
      </c>
      <c r="O63" s="7">
        <v>4.1188113999999998E-2</v>
      </c>
      <c r="P63" s="7">
        <v>0.16413698099999999</v>
      </c>
      <c r="Q63" s="7">
        <v>0.10575453899999999</v>
      </c>
      <c r="R63" s="7">
        <v>2.7677009999999998E-2</v>
      </c>
      <c r="S63" s="7">
        <v>4.1188810999999999E-2</v>
      </c>
      <c r="T63" s="7">
        <v>6.8994047000000003E-2</v>
      </c>
      <c r="U63" s="7">
        <v>6.8320253999999997E-2</v>
      </c>
      <c r="V63" s="7">
        <v>-0.30606373339737097</v>
      </c>
      <c r="W63" s="7">
        <v>0.19522566329340993</v>
      </c>
      <c r="X63" s="7">
        <v>0.13835344091336024</v>
      </c>
      <c r="AB63" s="4">
        <v>0</v>
      </c>
      <c r="AC63" s="4">
        <v>0</v>
      </c>
      <c r="AD63" s="4">
        <v>0</v>
      </c>
    </row>
    <row r="64" spans="1:30" x14ac:dyDescent="0.3">
      <c r="A64" s="6">
        <v>44664</v>
      </c>
      <c r="B64" s="7">
        <v>3.2047271000000002E-2</v>
      </c>
      <c r="C64" s="7">
        <v>5.5188753E-2</v>
      </c>
      <c r="D64" s="7">
        <v>9.7880515000000001E-2</v>
      </c>
      <c r="E64" s="7">
        <v>7.7346281000000003E-2</v>
      </c>
      <c r="F64" s="7">
        <v>9.7283118000000002E-2</v>
      </c>
      <c r="G64" s="7">
        <v>4.9623076000000002E-2</v>
      </c>
      <c r="H64" s="7">
        <v>0.12350710400000001</v>
      </c>
      <c r="I64" s="7">
        <v>8.3176535999999995E-2</v>
      </c>
      <c r="J64" s="7">
        <v>0.126804054</v>
      </c>
      <c r="K64" s="7">
        <v>4.9271277000000002E-2</v>
      </c>
      <c r="L64" s="7">
        <v>0.12506479600000001</v>
      </c>
      <c r="M64" s="7">
        <v>9.9969455999999998E-2</v>
      </c>
      <c r="N64" s="7">
        <v>9.9010039999999994E-2</v>
      </c>
      <c r="O64" s="7">
        <v>4.8480817000000002E-2</v>
      </c>
      <c r="P64" s="7">
        <v>0.179735899</v>
      </c>
      <c r="Q64" s="7">
        <v>7.5949157000000003E-2</v>
      </c>
      <c r="R64" s="7">
        <v>0.13351084899999999</v>
      </c>
      <c r="S64" s="7">
        <v>4.1188113999999998E-2</v>
      </c>
      <c r="T64" s="7">
        <v>0.16413698099999999</v>
      </c>
      <c r="U64" s="7">
        <v>0.10575453899999999</v>
      </c>
      <c r="V64" s="7">
        <v>-0.1281968670642343</v>
      </c>
      <c r="W64" s="7">
        <v>0.20101200713314077</v>
      </c>
      <c r="X64" s="7">
        <v>0.14153036263351157</v>
      </c>
      <c r="AB64" s="4">
        <v>0</v>
      </c>
      <c r="AC64" s="4">
        <v>0</v>
      </c>
      <c r="AD64" s="4">
        <v>0</v>
      </c>
    </row>
    <row r="65" spans="1:30" x14ac:dyDescent="0.3">
      <c r="A65" s="6">
        <v>44665</v>
      </c>
      <c r="B65" s="7">
        <v>0.166858599</v>
      </c>
      <c r="C65" s="7">
        <v>6.337392E-2</v>
      </c>
      <c r="D65" s="7">
        <v>0.19546904100000001</v>
      </c>
      <c r="E65" s="7">
        <v>9.6108585999999996E-2</v>
      </c>
      <c r="F65" s="7">
        <v>3.2047271000000002E-2</v>
      </c>
      <c r="G65" s="7">
        <v>5.5188753E-2</v>
      </c>
      <c r="H65" s="7">
        <v>9.7880515000000001E-2</v>
      </c>
      <c r="I65" s="7">
        <v>7.7346281000000003E-2</v>
      </c>
      <c r="J65" s="7">
        <v>9.7283118000000002E-2</v>
      </c>
      <c r="K65" s="7">
        <v>4.9623076000000002E-2</v>
      </c>
      <c r="L65" s="7">
        <v>0.12350710400000001</v>
      </c>
      <c r="M65" s="7">
        <v>8.3176535999999995E-2</v>
      </c>
      <c r="N65" s="7">
        <v>0.126804054</v>
      </c>
      <c r="O65" s="7">
        <v>4.9271277000000002E-2</v>
      </c>
      <c r="P65" s="7">
        <v>0.12506479600000001</v>
      </c>
      <c r="Q65" s="7">
        <v>9.9969455999999998E-2</v>
      </c>
      <c r="R65" s="7">
        <v>9.9010039999999994E-2</v>
      </c>
      <c r="S65" s="7">
        <v>4.8480817000000002E-2</v>
      </c>
      <c r="T65" s="7">
        <v>0.179735899</v>
      </c>
      <c r="U65" s="7">
        <v>7.5949157000000003E-2</v>
      </c>
      <c r="V65" s="7">
        <v>-0.1281968670642343</v>
      </c>
      <c r="W65" s="7">
        <v>0.20049631805087564</v>
      </c>
      <c r="X65" s="7">
        <v>0.14145160746282692</v>
      </c>
      <c r="AB65" s="4">
        <v>0</v>
      </c>
      <c r="AC65" s="4">
        <v>0</v>
      </c>
      <c r="AD65" s="4">
        <v>0</v>
      </c>
    </row>
    <row r="66" spans="1:30" x14ac:dyDescent="0.3">
      <c r="A66" s="6">
        <v>44666</v>
      </c>
      <c r="B66" s="7">
        <v>0.172134499</v>
      </c>
      <c r="C66" s="7">
        <v>6.1877805000000001E-2</v>
      </c>
      <c r="D66" s="7">
        <v>0.17933334500000001</v>
      </c>
      <c r="E66" s="7">
        <v>9.6400171000000007E-2</v>
      </c>
      <c r="F66" s="7">
        <v>0.166858599</v>
      </c>
      <c r="G66" s="7">
        <v>6.337392E-2</v>
      </c>
      <c r="H66" s="7">
        <v>0.19546904100000001</v>
      </c>
      <c r="I66" s="7">
        <v>9.6108585999999996E-2</v>
      </c>
      <c r="J66" s="7">
        <v>3.2047271000000002E-2</v>
      </c>
      <c r="K66" s="7">
        <v>5.5188753E-2</v>
      </c>
      <c r="L66" s="7">
        <v>9.7880515000000001E-2</v>
      </c>
      <c r="M66" s="7">
        <v>7.7346281000000003E-2</v>
      </c>
      <c r="N66" s="7">
        <v>9.7283118000000002E-2</v>
      </c>
      <c r="O66" s="7">
        <v>4.9623076000000002E-2</v>
      </c>
      <c r="P66" s="7">
        <v>0.12350710400000001</v>
      </c>
      <c r="Q66" s="7">
        <v>8.3176535999999995E-2</v>
      </c>
      <c r="R66" s="7">
        <v>0.126804054</v>
      </c>
      <c r="S66" s="7">
        <v>4.9271277000000002E-2</v>
      </c>
      <c r="T66" s="7">
        <v>0.12506479600000001</v>
      </c>
      <c r="U66" s="7">
        <v>9.9969455999999998E-2</v>
      </c>
      <c r="V66" s="7">
        <v>-0.1281968670642343</v>
      </c>
      <c r="W66" s="7">
        <v>0.20165206458765803</v>
      </c>
      <c r="X66" s="7">
        <v>0.14253155653137695</v>
      </c>
      <c r="AB66" s="4">
        <v>0</v>
      </c>
      <c r="AC66" s="4">
        <v>0</v>
      </c>
      <c r="AD66" s="4">
        <v>0</v>
      </c>
    </row>
    <row r="67" spans="1:30" x14ac:dyDescent="0.3">
      <c r="A67" s="6">
        <v>44669</v>
      </c>
      <c r="B67" s="7">
        <v>0.236409858</v>
      </c>
      <c r="C67" s="7">
        <v>0.121334497</v>
      </c>
      <c r="D67" s="7">
        <v>0.28629190199999999</v>
      </c>
      <c r="E67" s="7">
        <v>0.10956624099999999</v>
      </c>
      <c r="F67" s="7">
        <v>0.172134499</v>
      </c>
      <c r="G67" s="7">
        <v>6.1877805000000001E-2</v>
      </c>
      <c r="H67" s="7">
        <v>0.17933334500000001</v>
      </c>
      <c r="I67" s="7">
        <v>9.6400171000000007E-2</v>
      </c>
      <c r="J67" s="7">
        <v>0.166858599</v>
      </c>
      <c r="K67" s="7">
        <v>6.337392E-2</v>
      </c>
      <c r="L67" s="7">
        <v>0.19546904100000001</v>
      </c>
      <c r="M67" s="7">
        <v>9.6108585999999996E-2</v>
      </c>
      <c r="N67" s="7">
        <v>3.2047271000000002E-2</v>
      </c>
      <c r="O67" s="7">
        <v>5.5188753E-2</v>
      </c>
      <c r="P67" s="7">
        <v>9.7880515000000001E-2</v>
      </c>
      <c r="Q67" s="7">
        <v>7.7346281000000003E-2</v>
      </c>
      <c r="R67" s="7">
        <v>9.7283118000000002E-2</v>
      </c>
      <c r="S67" s="7">
        <v>4.9623076000000002E-2</v>
      </c>
      <c r="T67" s="7">
        <v>0.12350710400000001</v>
      </c>
      <c r="U67" s="7">
        <v>8.3176535999999995E-2</v>
      </c>
      <c r="V67" s="7">
        <v>-0.30606373339737097</v>
      </c>
      <c r="W67" s="7">
        <v>0.2015960516515457</v>
      </c>
      <c r="X67" s="7">
        <v>0.14172934298952181</v>
      </c>
      <c r="AB67" s="4">
        <v>0</v>
      </c>
      <c r="AC67" s="4">
        <v>1</v>
      </c>
      <c r="AD67" s="4">
        <v>1</v>
      </c>
    </row>
    <row r="68" spans="1:30" x14ac:dyDescent="0.3">
      <c r="A68" s="6">
        <v>44670</v>
      </c>
      <c r="B68" s="7">
        <v>0.30080690500000001</v>
      </c>
      <c r="C68" s="7">
        <v>0.20632010100000001</v>
      </c>
      <c r="D68" s="7">
        <v>0.216861106</v>
      </c>
      <c r="E68" s="7">
        <v>0.17476963200000001</v>
      </c>
      <c r="F68" s="7">
        <v>0.236409858</v>
      </c>
      <c r="G68" s="7">
        <v>0.121334497</v>
      </c>
      <c r="H68" s="7">
        <v>0.28629190199999999</v>
      </c>
      <c r="I68" s="7">
        <v>0.10956624099999999</v>
      </c>
      <c r="J68" s="7">
        <v>0.172134499</v>
      </c>
      <c r="K68" s="7">
        <v>6.1877805000000001E-2</v>
      </c>
      <c r="L68" s="7">
        <v>0.17933334500000001</v>
      </c>
      <c r="M68" s="7">
        <v>9.6400171000000007E-2</v>
      </c>
      <c r="N68" s="7">
        <v>0.166858599</v>
      </c>
      <c r="O68" s="7">
        <v>6.337392E-2</v>
      </c>
      <c r="P68" s="7">
        <v>0.19546904100000001</v>
      </c>
      <c r="Q68" s="7">
        <v>9.6108585999999996E-2</v>
      </c>
      <c r="R68" s="7">
        <v>3.2047271000000002E-2</v>
      </c>
      <c r="S68" s="7">
        <v>5.5188753E-2</v>
      </c>
      <c r="T68" s="7">
        <v>9.7880515000000001E-2</v>
      </c>
      <c r="U68" s="7">
        <v>7.7346281000000003E-2</v>
      </c>
      <c r="V68" s="7">
        <v>-0.30606373339737097</v>
      </c>
      <c r="W68" s="7">
        <v>0.20205499375745709</v>
      </c>
      <c r="X68" s="7">
        <v>0.14220475545955824</v>
      </c>
      <c r="AB68" s="4">
        <v>0</v>
      </c>
      <c r="AC68" s="4">
        <v>1</v>
      </c>
      <c r="AD68" s="4">
        <v>1</v>
      </c>
    </row>
    <row r="69" spans="1:30" x14ac:dyDescent="0.3">
      <c r="A69" s="6">
        <v>44671</v>
      </c>
      <c r="B69" s="7">
        <v>1.2241264E-2</v>
      </c>
      <c r="C69" s="7">
        <v>2.7678112000000001E-2</v>
      </c>
      <c r="D69" s="7">
        <v>4.8665658000000001E-2</v>
      </c>
      <c r="E69" s="7">
        <v>4.6427493E-2</v>
      </c>
      <c r="F69" s="7">
        <v>0.30080690500000001</v>
      </c>
      <c r="G69" s="7">
        <v>0.20632010100000001</v>
      </c>
      <c r="H69" s="7">
        <v>0.216861106</v>
      </c>
      <c r="I69" s="7">
        <v>0.17476963200000001</v>
      </c>
      <c r="J69" s="7">
        <v>0.236409858</v>
      </c>
      <c r="K69" s="7">
        <v>0.121334497</v>
      </c>
      <c r="L69" s="7">
        <v>0.28629190199999999</v>
      </c>
      <c r="M69" s="7">
        <v>0.10956624099999999</v>
      </c>
      <c r="N69" s="7">
        <v>0.172134499</v>
      </c>
      <c r="O69" s="7">
        <v>6.1877805000000001E-2</v>
      </c>
      <c r="P69" s="7">
        <v>0.17933334500000001</v>
      </c>
      <c r="Q69" s="7">
        <v>9.6400171000000007E-2</v>
      </c>
      <c r="R69" s="7">
        <v>0.166858599</v>
      </c>
      <c r="S69" s="7">
        <v>6.337392E-2</v>
      </c>
      <c r="T69" s="7">
        <v>0.19546904100000001</v>
      </c>
      <c r="U69" s="7">
        <v>9.6108585999999996E-2</v>
      </c>
      <c r="V69" s="7">
        <v>-0.30606373339737097</v>
      </c>
      <c r="W69" s="7">
        <v>0.20310485048100391</v>
      </c>
      <c r="X69" s="7">
        <v>0.142919621786291</v>
      </c>
      <c r="AB69" s="4">
        <v>0</v>
      </c>
      <c r="AC69" s="4">
        <v>1</v>
      </c>
      <c r="AD69" s="4">
        <v>1</v>
      </c>
    </row>
    <row r="70" spans="1:30" x14ac:dyDescent="0.3">
      <c r="A70" s="6">
        <v>44672</v>
      </c>
      <c r="B70" s="7">
        <v>7.6575844000000004E-2</v>
      </c>
      <c r="C70" s="7">
        <v>2.6928943E-2</v>
      </c>
      <c r="D70" s="7">
        <v>9.1122181999999996E-2</v>
      </c>
      <c r="E70" s="7">
        <v>3.5102973000000003E-2</v>
      </c>
      <c r="F70" s="7">
        <v>1.2241264E-2</v>
      </c>
      <c r="G70" s="7">
        <v>2.7678112000000001E-2</v>
      </c>
      <c r="H70" s="7">
        <v>4.8665658000000001E-2</v>
      </c>
      <c r="I70" s="7">
        <v>4.6427493E-2</v>
      </c>
      <c r="J70" s="7">
        <v>0.30080690500000001</v>
      </c>
      <c r="K70" s="7">
        <v>0.20632010100000001</v>
      </c>
      <c r="L70" s="7">
        <v>0.216861106</v>
      </c>
      <c r="M70" s="7">
        <v>0.17476963200000001</v>
      </c>
      <c r="N70" s="7">
        <v>0.236409858</v>
      </c>
      <c r="O70" s="7">
        <v>0.121334497</v>
      </c>
      <c r="P70" s="7">
        <v>0.28629190199999999</v>
      </c>
      <c r="Q70" s="7">
        <v>0.10956624099999999</v>
      </c>
      <c r="R70" s="7">
        <v>0.172134499</v>
      </c>
      <c r="S70" s="7">
        <v>6.1877805000000001E-2</v>
      </c>
      <c r="T70" s="7">
        <v>0.17933334500000001</v>
      </c>
      <c r="U70" s="7">
        <v>9.6400171000000007E-2</v>
      </c>
      <c r="V70" s="7">
        <v>-0.43700317189416926</v>
      </c>
      <c r="W70" s="7">
        <v>0.20282235962749981</v>
      </c>
      <c r="X70" s="7">
        <v>0.14217089831466415</v>
      </c>
      <c r="AB70" s="4">
        <v>0</v>
      </c>
      <c r="AC70" s="4">
        <v>1</v>
      </c>
      <c r="AD70" s="4">
        <v>1</v>
      </c>
    </row>
    <row r="71" spans="1:30" x14ac:dyDescent="0.3">
      <c r="A71" s="6">
        <v>44673</v>
      </c>
      <c r="B71" s="7">
        <v>5.5295196999999997E-2</v>
      </c>
      <c r="C71" s="7">
        <v>2.3531223E-2</v>
      </c>
      <c r="D71" s="7">
        <v>0.102757204</v>
      </c>
      <c r="E71" s="7">
        <v>4.4807671E-2</v>
      </c>
      <c r="F71" s="7">
        <v>7.6575844000000004E-2</v>
      </c>
      <c r="G71" s="7">
        <v>2.6928943E-2</v>
      </c>
      <c r="H71" s="7">
        <v>9.1122181999999996E-2</v>
      </c>
      <c r="I71" s="7">
        <v>3.5102973000000003E-2</v>
      </c>
      <c r="J71" s="7">
        <v>1.2241264E-2</v>
      </c>
      <c r="K71" s="7">
        <v>2.7678112000000001E-2</v>
      </c>
      <c r="L71" s="7">
        <v>4.8665658000000001E-2</v>
      </c>
      <c r="M71" s="7">
        <v>4.6427493E-2</v>
      </c>
      <c r="N71" s="7">
        <v>0.30080690500000001</v>
      </c>
      <c r="O71" s="7">
        <v>0.20632010100000001</v>
      </c>
      <c r="P71" s="7">
        <v>0.216861106</v>
      </c>
      <c r="Q71" s="7">
        <v>0.17476963200000001</v>
      </c>
      <c r="R71" s="7">
        <v>0.236409858</v>
      </c>
      <c r="S71" s="7">
        <v>0.121334497</v>
      </c>
      <c r="T71" s="7">
        <v>0.28629190199999999</v>
      </c>
      <c r="U71" s="7">
        <v>0.10956624099999999</v>
      </c>
      <c r="V71" s="7">
        <v>-0.43700317189416926</v>
      </c>
      <c r="W71" s="7">
        <v>0.2031910399175022</v>
      </c>
      <c r="X71" s="7">
        <v>0.1419966065094693</v>
      </c>
      <c r="AB71" s="4">
        <v>0</v>
      </c>
      <c r="AC71" s="4">
        <v>1</v>
      </c>
      <c r="AD71" s="4">
        <v>1</v>
      </c>
    </row>
    <row r="72" spans="1:30" x14ac:dyDescent="0.3">
      <c r="A72" s="6">
        <v>44676</v>
      </c>
      <c r="B72" s="7">
        <v>8.5957380999999999E-2</v>
      </c>
      <c r="C72" s="7">
        <v>3.1985549000000002E-2</v>
      </c>
      <c r="D72" s="7">
        <v>0.101241478</v>
      </c>
      <c r="E72" s="7">
        <v>6.0131478000000002E-2</v>
      </c>
      <c r="F72" s="7">
        <v>5.5295196999999997E-2</v>
      </c>
      <c r="G72" s="7">
        <v>2.3531223E-2</v>
      </c>
      <c r="H72" s="7">
        <v>0.102757204</v>
      </c>
      <c r="I72" s="7">
        <v>4.4807671E-2</v>
      </c>
      <c r="J72" s="7">
        <v>7.6575844000000004E-2</v>
      </c>
      <c r="K72" s="7">
        <v>2.6928943E-2</v>
      </c>
      <c r="L72" s="7">
        <v>9.1122181999999996E-2</v>
      </c>
      <c r="M72" s="7">
        <v>3.5102973000000003E-2</v>
      </c>
      <c r="N72" s="7">
        <v>1.2241264E-2</v>
      </c>
      <c r="O72" s="7">
        <v>2.7678112000000001E-2</v>
      </c>
      <c r="P72" s="7">
        <v>4.8665658000000001E-2</v>
      </c>
      <c r="Q72" s="7">
        <v>4.6427493E-2</v>
      </c>
      <c r="R72" s="7">
        <v>0.30080690500000001</v>
      </c>
      <c r="S72" s="7">
        <v>0.20632010100000001</v>
      </c>
      <c r="T72" s="7">
        <v>0.216861106</v>
      </c>
      <c r="U72" s="7">
        <v>0.17476963200000001</v>
      </c>
      <c r="V72" s="7">
        <v>-0.45103122432359005</v>
      </c>
      <c r="W72" s="7">
        <v>0.20522845059923672</v>
      </c>
      <c r="X72" s="7">
        <v>0.14246853504648316</v>
      </c>
      <c r="AB72" s="4">
        <v>0</v>
      </c>
      <c r="AC72" s="4">
        <v>0</v>
      </c>
      <c r="AD72" s="4">
        <v>0</v>
      </c>
    </row>
    <row r="73" spans="1:30" x14ac:dyDescent="0.3">
      <c r="A73" s="6">
        <v>44677</v>
      </c>
      <c r="B73" s="7">
        <v>5.1263342000000003E-2</v>
      </c>
      <c r="C73" s="7">
        <v>3.0883514000000001E-2</v>
      </c>
      <c r="D73" s="7">
        <v>8.1673174000000001E-2</v>
      </c>
      <c r="E73" s="7">
        <v>4.6367518000000003E-2</v>
      </c>
      <c r="F73" s="7">
        <v>8.5957380999999999E-2</v>
      </c>
      <c r="G73" s="7">
        <v>3.1985549000000002E-2</v>
      </c>
      <c r="H73" s="7">
        <v>0.101241478</v>
      </c>
      <c r="I73" s="7">
        <v>6.0131478000000002E-2</v>
      </c>
      <c r="J73" s="7">
        <v>5.5295196999999997E-2</v>
      </c>
      <c r="K73" s="7">
        <v>2.3531223E-2</v>
      </c>
      <c r="L73" s="7">
        <v>0.102757204</v>
      </c>
      <c r="M73" s="7">
        <v>4.4807671E-2</v>
      </c>
      <c r="N73" s="7">
        <v>7.6575844000000004E-2</v>
      </c>
      <c r="O73" s="7">
        <v>2.6928943E-2</v>
      </c>
      <c r="P73" s="7">
        <v>9.1122181999999996E-2</v>
      </c>
      <c r="Q73" s="7">
        <v>3.5102973000000003E-2</v>
      </c>
      <c r="R73" s="7">
        <v>1.2241264E-2</v>
      </c>
      <c r="S73" s="7">
        <v>2.7678112000000001E-2</v>
      </c>
      <c r="T73" s="7">
        <v>4.8665658000000001E-2</v>
      </c>
      <c r="U73" s="7">
        <v>4.6427493E-2</v>
      </c>
      <c r="V73" s="7">
        <v>-0.43700317189416926</v>
      </c>
      <c r="W73" s="7">
        <v>0.20467127580851185</v>
      </c>
      <c r="X73" s="7">
        <v>0.14308831995041038</v>
      </c>
      <c r="AB73" s="4">
        <v>0</v>
      </c>
      <c r="AC73" s="4">
        <v>0</v>
      </c>
      <c r="AD73" s="4">
        <v>0</v>
      </c>
    </row>
    <row r="74" spans="1:30" x14ac:dyDescent="0.3">
      <c r="A74" s="6">
        <v>44678</v>
      </c>
      <c r="B74" s="7">
        <v>5.1219374999999998E-2</v>
      </c>
      <c r="C74" s="7">
        <v>4.2661778999999997E-2</v>
      </c>
      <c r="D74" s="7">
        <v>4.5497465000000001E-2</v>
      </c>
      <c r="E74" s="7">
        <v>5.9872266E-2</v>
      </c>
      <c r="F74" s="7">
        <v>5.1263342000000003E-2</v>
      </c>
      <c r="G74" s="7">
        <v>3.0883514000000001E-2</v>
      </c>
      <c r="H74" s="7">
        <v>8.1673174000000001E-2</v>
      </c>
      <c r="I74" s="7">
        <v>4.6367518000000003E-2</v>
      </c>
      <c r="J74" s="7">
        <v>8.5957380999999999E-2</v>
      </c>
      <c r="K74" s="7">
        <v>3.1985549000000002E-2</v>
      </c>
      <c r="L74" s="7">
        <v>0.101241478</v>
      </c>
      <c r="M74" s="7">
        <v>6.0131478000000002E-2</v>
      </c>
      <c r="N74" s="7">
        <v>5.5295196999999997E-2</v>
      </c>
      <c r="O74" s="7">
        <v>2.3531223E-2</v>
      </c>
      <c r="P74" s="7">
        <v>0.102757204</v>
      </c>
      <c r="Q74" s="7">
        <v>4.4807671E-2</v>
      </c>
      <c r="R74" s="7">
        <v>7.6575844000000004E-2</v>
      </c>
      <c r="S74" s="7">
        <v>2.6928943E-2</v>
      </c>
      <c r="T74" s="7">
        <v>9.1122181999999996E-2</v>
      </c>
      <c r="U74" s="7">
        <v>3.5102973000000003E-2</v>
      </c>
      <c r="V74" s="7">
        <v>-0.43700317189416926</v>
      </c>
      <c r="W74" s="7">
        <v>0.20957646860300957</v>
      </c>
      <c r="X74" s="7">
        <v>0.14789733453809523</v>
      </c>
      <c r="AB74" s="4">
        <v>1</v>
      </c>
      <c r="AC74" s="4">
        <v>0</v>
      </c>
      <c r="AD74" s="4">
        <v>1</v>
      </c>
    </row>
    <row r="75" spans="1:30" x14ac:dyDescent="0.3">
      <c r="A75" s="6">
        <v>44679</v>
      </c>
      <c r="B75" s="7">
        <v>8.3434221000000003E-2</v>
      </c>
      <c r="C75" s="7">
        <v>2.6132987E-2</v>
      </c>
      <c r="D75" s="7">
        <v>0.16582941700000001</v>
      </c>
      <c r="E75" s="7">
        <v>4.7905070000000001E-2</v>
      </c>
      <c r="F75" s="7">
        <v>5.1219374999999998E-2</v>
      </c>
      <c r="G75" s="7">
        <v>4.2661778999999997E-2</v>
      </c>
      <c r="H75" s="7">
        <v>4.5497465000000001E-2</v>
      </c>
      <c r="I75" s="7">
        <v>5.9872266E-2</v>
      </c>
      <c r="J75" s="7">
        <v>5.1263342000000003E-2</v>
      </c>
      <c r="K75" s="7">
        <v>3.0883514000000001E-2</v>
      </c>
      <c r="L75" s="7">
        <v>8.1673174000000001E-2</v>
      </c>
      <c r="M75" s="7">
        <v>4.6367518000000003E-2</v>
      </c>
      <c r="N75" s="7">
        <v>8.5957380999999999E-2</v>
      </c>
      <c r="O75" s="7">
        <v>3.1985549000000002E-2</v>
      </c>
      <c r="P75" s="7">
        <v>0.101241478</v>
      </c>
      <c r="Q75" s="7">
        <v>6.0131478000000002E-2</v>
      </c>
      <c r="R75" s="7">
        <v>5.5295196999999997E-2</v>
      </c>
      <c r="S75" s="7">
        <v>2.3531223E-2</v>
      </c>
      <c r="T75" s="7">
        <v>0.102757204</v>
      </c>
      <c r="U75" s="7">
        <v>4.4807671E-2</v>
      </c>
      <c r="V75" s="7">
        <v>-0.43700317189416926</v>
      </c>
      <c r="W75" s="7">
        <v>0.21061751071373966</v>
      </c>
      <c r="X75" s="7">
        <v>0.14915161472156835</v>
      </c>
      <c r="AB75" s="4">
        <v>0</v>
      </c>
      <c r="AC75" s="4">
        <v>0</v>
      </c>
      <c r="AD75" s="4">
        <v>0</v>
      </c>
    </row>
    <row r="76" spans="1:30" x14ac:dyDescent="0.3">
      <c r="A76" s="6">
        <v>44680</v>
      </c>
      <c r="B76" s="7">
        <v>7.3500821999999993E-2</v>
      </c>
      <c r="C76" s="7">
        <v>3.3748544999999998E-2</v>
      </c>
      <c r="D76" s="7">
        <v>0.143391342</v>
      </c>
      <c r="E76" s="7">
        <v>5.8663011000000001E-2</v>
      </c>
      <c r="F76" s="7">
        <v>8.3434221000000003E-2</v>
      </c>
      <c r="G76" s="7">
        <v>2.6132987E-2</v>
      </c>
      <c r="H76" s="7">
        <v>0.16582941700000001</v>
      </c>
      <c r="I76" s="7">
        <v>4.7905070000000001E-2</v>
      </c>
      <c r="J76" s="7">
        <v>5.1219374999999998E-2</v>
      </c>
      <c r="K76" s="7">
        <v>4.2661778999999997E-2</v>
      </c>
      <c r="L76" s="7">
        <v>4.5497465000000001E-2</v>
      </c>
      <c r="M76" s="7">
        <v>5.9872266E-2</v>
      </c>
      <c r="N76" s="7">
        <v>5.1263342000000003E-2</v>
      </c>
      <c r="O76" s="7">
        <v>3.0883514000000001E-2</v>
      </c>
      <c r="P76" s="7">
        <v>8.1673174000000001E-2</v>
      </c>
      <c r="Q76" s="7">
        <v>4.6367518000000003E-2</v>
      </c>
      <c r="R76" s="7">
        <v>8.5957380999999999E-2</v>
      </c>
      <c r="S76" s="7">
        <v>3.1985549000000002E-2</v>
      </c>
      <c r="T76" s="7">
        <v>0.101241478</v>
      </c>
      <c r="U76" s="7">
        <v>6.0131478000000002E-2</v>
      </c>
      <c r="V76" s="7">
        <v>-0.25035440737397963</v>
      </c>
      <c r="W76" s="7">
        <v>0.20851263837083298</v>
      </c>
      <c r="X76" s="7">
        <v>0.14816632375620134</v>
      </c>
      <c r="AB76" s="4">
        <v>0</v>
      </c>
      <c r="AC76" s="4">
        <v>1</v>
      </c>
      <c r="AD76" s="4">
        <v>1</v>
      </c>
    </row>
    <row r="77" spans="1:30" x14ac:dyDescent="0.3">
      <c r="A77" s="6">
        <v>44684</v>
      </c>
      <c r="B77" s="7">
        <v>6.6973414999999994E-2</v>
      </c>
      <c r="C77" s="7">
        <v>2.7923078E-2</v>
      </c>
      <c r="D77" s="7">
        <v>9.7556920000000005E-2</v>
      </c>
      <c r="E77" s="7">
        <v>7.6552334999999999E-2</v>
      </c>
      <c r="F77" s="7">
        <v>7.3500821999999993E-2</v>
      </c>
      <c r="G77" s="7">
        <v>3.3748544999999998E-2</v>
      </c>
      <c r="H77" s="7">
        <v>0.143391342</v>
      </c>
      <c r="I77" s="7">
        <v>5.8663011000000001E-2</v>
      </c>
      <c r="J77" s="7">
        <v>8.3434221000000003E-2</v>
      </c>
      <c r="K77" s="7">
        <v>2.6132987E-2</v>
      </c>
      <c r="L77" s="7">
        <v>0.16582941700000001</v>
      </c>
      <c r="M77" s="7">
        <v>4.7905070000000001E-2</v>
      </c>
      <c r="N77" s="7">
        <v>5.1219374999999998E-2</v>
      </c>
      <c r="O77" s="7">
        <v>4.2661778999999997E-2</v>
      </c>
      <c r="P77" s="7">
        <v>4.5497465000000001E-2</v>
      </c>
      <c r="Q77" s="7">
        <v>5.9872266E-2</v>
      </c>
      <c r="R77" s="7">
        <v>5.1263342000000003E-2</v>
      </c>
      <c r="S77" s="7">
        <v>3.0883514000000001E-2</v>
      </c>
      <c r="T77" s="7">
        <v>8.1673174000000001E-2</v>
      </c>
      <c r="U77" s="7">
        <v>4.6367518000000003E-2</v>
      </c>
      <c r="V77" s="7">
        <v>-0.43700317189416926</v>
      </c>
      <c r="W77" s="7">
        <v>0.20835848429026363</v>
      </c>
      <c r="X77" s="7">
        <v>0.14730085939331836</v>
      </c>
      <c r="AB77" s="4">
        <v>0</v>
      </c>
      <c r="AC77" s="4">
        <v>1</v>
      </c>
      <c r="AD77" s="4">
        <v>1</v>
      </c>
    </row>
    <row r="78" spans="1:30" x14ac:dyDescent="0.3">
      <c r="A78" s="6">
        <v>44685</v>
      </c>
      <c r="B78" s="7">
        <v>2.9280354000000001E-2</v>
      </c>
      <c r="C78" s="7">
        <v>4.0563798999999998E-2</v>
      </c>
      <c r="D78" s="7">
        <v>5.9322053999999999E-2</v>
      </c>
      <c r="E78" s="7">
        <v>6.3022663000000007E-2</v>
      </c>
      <c r="F78" s="7">
        <v>6.6973414999999994E-2</v>
      </c>
      <c r="G78" s="7">
        <v>2.7923078E-2</v>
      </c>
      <c r="H78" s="7">
        <v>9.7556920000000005E-2</v>
      </c>
      <c r="I78" s="7">
        <v>7.6552334999999999E-2</v>
      </c>
      <c r="J78" s="7">
        <v>7.3500821999999993E-2</v>
      </c>
      <c r="K78" s="7">
        <v>3.3748544999999998E-2</v>
      </c>
      <c r="L78" s="7">
        <v>0.143391342</v>
      </c>
      <c r="M78" s="7">
        <v>5.8663011000000001E-2</v>
      </c>
      <c r="N78" s="7">
        <v>8.3434221000000003E-2</v>
      </c>
      <c r="O78" s="7">
        <v>2.6132987E-2</v>
      </c>
      <c r="P78" s="7">
        <v>0.16582941700000001</v>
      </c>
      <c r="Q78" s="7">
        <v>4.7905070000000001E-2</v>
      </c>
      <c r="R78" s="7">
        <v>5.1219374999999998E-2</v>
      </c>
      <c r="S78" s="7">
        <v>4.2661778999999997E-2</v>
      </c>
      <c r="T78" s="7">
        <v>4.5497465000000001E-2</v>
      </c>
      <c r="U78" s="7">
        <v>5.9872266E-2</v>
      </c>
      <c r="V78" s="7">
        <v>-0.25035440737397963</v>
      </c>
      <c r="W78" s="7">
        <v>0.20516519733864552</v>
      </c>
      <c r="X78" s="7">
        <v>0.14571227957102856</v>
      </c>
      <c r="AB78" s="4">
        <v>0</v>
      </c>
      <c r="AC78" s="4">
        <v>1</v>
      </c>
      <c r="AD78" s="4">
        <v>1</v>
      </c>
    </row>
    <row r="79" spans="1:30" x14ac:dyDescent="0.3">
      <c r="A79" s="6">
        <v>44686</v>
      </c>
      <c r="B79" s="7">
        <v>0.103770548</v>
      </c>
      <c r="C79" s="7">
        <v>2.673031E-2</v>
      </c>
      <c r="D79" s="7">
        <v>0.172660959</v>
      </c>
      <c r="E79" s="7">
        <v>6.7139174999999995E-2</v>
      </c>
      <c r="F79" s="7">
        <v>2.9280354000000001E-2</v>
      </c>
      <c r="G79" s="7">
        <v>4.0563798999999998E-2</v>
      </c>
      <c r="H79" s="7">
        <v>5.9322053999999999E-2</v>
      </c>
      <c r="I79" s="7">
        <v>6.3022663000000007E-2</v>
      </c>
      <c r="J79" s="7">
        <v>6.6973414999999994E-2</v>
      </c>
      <c r="K79" s="7">
        <v>2.7923078E-2</v>
      </c>
      <c r="L79" s="7">
        <v>9.7556920000000005E-2</v>
      </c>
      <c r="M79" s="7">
        <v>7.6552334999999999E-2</v>
      </c>
      <c r="N79" s="7">
        <v>7.3500821999999993E-2</v>
      </c>
      <c r="O79" s="7">
        <v>3.3748544999999998E-2</v>
      </c>
      <c r="P79" s="7">
        <v>0.143391342</v>
      </c>
      <c r="Q79" s="7">
        <v>5.8663011000000001E-2</v>
      </c>
      <c r="R79" s="7">
        <v>8.3434221000000003E-2</v>
      </c>
      <c r="S79" s="7">
        <v>2.6132987E-2</v>
      </c>
      <c r="T79" s="7">
        <v>0.16582941700000001</v>
      </c>
      <c r="U79" s="7">
        <v>4.7905070000000001E-2</v>
      </c>
      <c r="V79" s="7">
        <v>-4.2982954066211693E-2</v>
      </c>
      <c r="W79" s="7">
        <v>0.20619702204050894</v>
      </c>
      <c r="X79" s="7">
        <v>0.1472248588640975</v>
      </c>
      <c r="AB79" s="4">
        <v>0</v>
      </c>
      <c r="AC79" s="4">
        <v>1</v>
      </c>
      <c r="AD79" s="4">
        <v>1</v>
      </c>
    </row>
    <row r="80" spans="1:30" x14ac:dyDescent="0.3">
      <c r="A80" s="6">
        <v>44687</v>
      </c>
      <c r="B80" s="7">
        <v>0.114300889</v>
      </c>
      <c r="C80" s="7">
        <v>3.7156527000000002E-2</v>
      </c>
      <c r="D80" s="7">
        <v>0.17675400699999999</v>
      </c>
      <c r="E80" s="7">
        <v>6.5615998999999994E-2</v>
      </c>
      <c r="F80" s="7">
        <v>0.103770548</v>
      </c>
      <c r="G80" s="7">
        <v>2.673031E-2</v>
      </c>
      <c r="H80" s="7">
        <v>0.172660959</v>
      </c>
      <c r="I80" s="7">
        <v>6.7139174999999995E-2</v>
      </c>
      <c r="J80" s="7">
        <v>2.9280354000000001E-2</v>
      </c>
      <c r="K80" s="7">
        <v>4.0563798999999998E-2</v>
      </c>
      <c r="L80" s="7">
        <v>5.9322053999999999E-2</v>
      </c>
      <c r="M80" s="7">
        <v>6.3022663000000007E-2</v>
      </c>
      <c r="N80" s="7">
        <v>6.6973414999999994E-2</v>
      </c>
      <c r="O80" s="7">
        <v>2.7923078E-2</v>
      </c>
      <c r="P80" s="7">
        <v>9.7556920000000005E-2</v>
      </c>
      <c r="Q80" s="7">
        <v>7.6552334999999999E-2</v>
      </c>
      <c r="R80" s="7">
        <v>7.3500821999999993E-2</v>
      </c>
      <c r="S80" s="7">
        <v>3.3748544999999998E-2</v>
      </c>
      <c r="T80" s="7">
        <v>0.143391342</v>
      </c>
      <c r="U80" s="7">
        <v>5.8663011000000001E-2</v>
      </c>
      <c r="V80" s="7">
        <v>-0.25035440737397963</v>
      </c>
      <c r="W80" s="7">
        <v>0.2101139296935976</v>
      </c>
      <c r="X80" s="7">
        <v>0.14951857914959391</v>
      </c>
      <c r="AB80" s="4">
        <v>0</v>
      </c>
      <c r="AC80" s="4">
        <v>1</v>
      </c>
      <c r="AD80" s="4">
        <v>1</v>
      </c>
    </row>
    <row r="81" spans="1:30" x14ac:dyDescent="0.3">
      <c r="A81" s="6">
        <v>44690</v>
      </c>
      <c r="B81" s="7">
        <v>0.146302987</v>
      </c>
      <c r="C81" s="7">
        <v>4.1831038000000001E-2</v>
      </c>
      <c r="D81" s="7">
        <v>0.160257397</v>
      </c>
      <c r="E81" s="7">
        <v>0.106150571</v>
      </c>
      <c r="F81" s="7">
        <v>0.114300889</v>
      </c>
      <c r="G81" s="7">
        <v>3.7156527000000002E-2</v>
      </c>
      <c r="H81" s="7">
        <v>0.17675400699999999</v>
      </c>
      <c r="I81" s="7">
        <v>6.5615998999999994E-2</v>
      </c>
      <c r="J81" s="7">
        <v>0.103770548</v>
      </c>
      <c r="K81" s="7">
        <v>2.673031E-2</v>
      </c>
      <c r="L81" s="7">
        <v>0.172660959</v>
      </c>
      <c r="M81" s="7">
        <v>6.7139174999999995E-2</v>
      </c>
      <c r="N81" s="7">
        <v>2.9280354000000001E-2</v>
      </c>
      <c r="O81" s="7">
        <v>4.0563798999999998E-2</v>
      </c>
      <c r="P81" s="7">
        <v>5.9322053999999999E-2</v>
      </c>
      <c r="Q81" s="7">
        <v>6.3022663000000007E-2</v>
      </c>
      <c r="R81" s="7">
        <v>6.6973414999999994E-2</v>
      </c>
      <c r="S81" s="7">
        <v>2.7923078E-2</v>
      </c>
      <c r="T81" s="7">
        <v>9.7556920000000005E-2</v>
      </c>
      <c r="U81" s="7">
        <v>7.6552334999999999E-2</v>
      </c>
      <c r="V81" s="7">
        <v>-0.43700317189416926</v>
      </c>
      <c r="W81" s="7">
        <v>0.21186479604576094</v>
      </c>
      <c r="X81" s="7">
        <v>0.1496210301982043</v>
      </c>
      <c r="AB81" s="4">
        <v>0</v>
      </c>
      <c r="AC81" s="4">
        <v>0</v>
      </c>
      <c r="AD81" s="4">
        <v>0</v>
      </c>
    </row>
    <row r="82" spans="1:30" x14ac:dyDescent="0.3">
      <c r="A82" s="6">
        <v>44691</v>
      </c>
      <c r="B82" s="7">
        <v>7.9662021E-2</v>
      </c>
      <c r="C82" s="7">
        <v>5.4255357999999997E-2</v>
      </c>
      <c r="D82" s="7">
        <v>0.16021347399999999</v>
      </c>
      <c r="E82" s="7">
        <v>7.8768732999999994E-2</v>
      </c>
      <c r="F82" s="7">
        <v>0.146302987</v>
      </c>
      <c r="G82" s="7">
        <v>4.1831038000000001E-2</v>
      </c>
      <c r="H82" s="7">
        <v>0.160257397</v>
      </c>
      <c r="I82" s="7">
        <v>0.106150571</v>
      </c>
      <c r="J82" s="7">
        <v>0.114300889</v>
      </c>
      <c r="K82" s="7">
        <v>3.7156527000000002E-2</v>
      </c>
      <c r="L82" s="7">
        <v>0.17675400699999999</v>
      </c>
      <c r="M82" s="7">
        <v>6.5615998999999994E-2</v>
      </c>
      <c r="N82" s="7">
        <v>0.103770548</v>
      </c>
      <c r="O82" s="7">
        <v>2.673031E-2</v>
      </c>
      <c r="P82" s="7">
        <v>0.172660959</v>
      </c>
      <c r="Q82" s="7">
        <v>6.7139174999999995E-2</v>
      </c>
      <c r="R82" s="7">
        <v>2.9280354000000001E-2</v>
      </c>
      <c r="S82" s="7">
        <v>4.0563798999999998E-2</v>
      </c>
      <c r="T82" s="7">
        <v>5.9322053999999999E-2</v>
      </c>
      <c r="U82" s="7">
        <v>6.3022663000000007E-2</v>
      </c>
      <c r="V82" s="7">
        <v>-0.43700317189416926</v>
      </c>
      <c r="W82" s="7">
        <v>0.21001677470000021</v>
      </c>
      <c r="X82" s="7">
        <v>0.14803381806932117</v>
      </c>
      <c r="AB82" s="4">
        <v>0</v>
      </c>
      <c r="AC82" s="4">
        <v>0</v>
      </c>
      <c r="AD82" s="4">
        <v>0</v>
      </c>
    </row>
    <row r="83" spans="1:30" x14ac:dyDescent="0.3">
      <c r="A83" s="6">
        <v>44692</v>
      </c>
      <c r="B83" s="7">
        <v>8.5057997999999996E-2</v>
      </c>
      <c r="C83" s="7">
        <v>7.4666987000000004E-2</v>
      </c>
      <c r="D83" s="7">
        <v>8.8215557999999999E-2</v>
      </c>
      <c r="E83" s="7">
        <v>0.108979506</v>
      </c>
      <c r="F83" s="7">
        <v>7.9662021E-2</v>
      </c>
      <c r="G83" s="7">
        <v>5.4255357999999997E-2</v>
      </c>
      <c r="H83" s="7">
        <v>0.16021347399999999</v>
      </c>
      <c r="I83" s="7">
        <v>7.8768732999999994E-2</v>
      </c>
      <c r="J83" s="7">
        <v>0.146302987</v>
      </c>
      <c r="K83" s="7">
        <v>4.1831038000000001E-2</v>
      </c>
      <c r="L83" s="7">
        <v>0.160257397</v>
      </c>
      <c r="M83" s="7">
        <v>0.106150571</v>
      </c>
      <c r="N83" s="7">
        <v>0.114300889</v>
      </c>
      <c r="O83" s="7">
        <v>3.7156527000000002E-2</v>
      </c>
      <c r="P83" s="7">
        <v>0.17675400699999999</v>
      </c>
      <c r="Q83" s="7">
        <v>6.5615998999999994E-2</v>
      </c>
      <c r="R83" s="7">
        <v>0.103770548</v>
      </c>
      <c r="S83" s="7">
        <v>2.673031E-2</v>
      </c>
      <c r="T83" s="7">
        <v>0.172660959</v>
      </c>
      <c r="U83" s="7">
        <v>6.7139174999999995E-2</v>
      </c>
      <c r="V83" s="7">
        <v>-0.45103122432359005</v>
      </c>
      <c r="W83" s="7">
        <v>0.20811379252207024</v>
      </c>
      <c r="X83" s="7">
        <v>0.14584947816510446</v>
      </c>
      <c r="AB83" s="4">
        <v>1</v>
      </c>
      <c r="AC83" s="4">
        <v>0</v>
      </c>
      <c r="AD83" s="4">
        <v>1</v>
      </c>
    </row>
    <row r="84" spans="1:30" x14ac:dyDescent="0.3">
      <c r="A84" s="6">
        <v>44693</v>
      </c>
      <c r="B84" s="7">
        <v>0.26419857800000002</v>
      </c>
      <c r="C84" s="7">
        <v>9.0738308000000004E-2</v>
      </c>
      <c r="D84" s="7">
        <v>0.23057339900000001</v>
      </c>
      <c r="E84" s="7">
        <v>0.10545386700000001</v>
      </c>
      <c r="F84" s="7">
        <v>8.5057997999999996E-2</v>
      </c>
      <c r="G84" s="7">
        <v>7.4666987000000004E-2</v>
      </c>
      <c r="H84" s="7">
        <v>8.8215557999999999E-2</v>
      </c>
      <c r="I84" s="7">
        <v>0.108979506</v>
      </c>
      <c r="J84" s="7">
        <v>7.9662021E-2</v>
      </c>
      <c r="K84" s="7">
        <v>5.4255357999999997E-2</v>
      </c>
      <c r="L84" s="7">
        <v>0.16021347399999999</v>
      </c>
      <c r="M84" s="7">
        <v>7.8768732999999994E-2</v>
      </c>
      <c r="N84" s="7">
        <v>0.146302987</v>
      </c>
      <c r="O84" s="7">
        <v>4.1831038000000001E-2</v>
      </c>
      <c r="P84" s="7">
        <v>0.160257397</v>
      </c>
      <c r="Q84" s="7">
        <v>0.106150571</v>
      </c>
      <c r="R84" s="7">
        <v>0.114300889</v>
      </c>
      <c r="S84" s="7">
        <v>3.7156527000000002E-2</v>
      </c>
      <c r="T84" s="7">
        <v>0.17675400699999999</v>
      </c>
      <c r="U84" s="7">
        <v>6.5615998999999994E-2</v>
      </c>
      <c r="V84" s="7">
        <v>-0.45103122432359005</v>
      </c>
      <c r="W84" s="7">
        <v>0.21583563888122434</v>
      </c>
      <c r="X84" s="7">
        <v>0.15277566744560225</v>
      </c>
      <c r="AB84" s="4">
        <v>1</v>
      </c>
      <c r="AC84" s="4">
        <v>0</v>
      </c>
      <c r="AD84" s="4">
        <v>1</v>
      </c>
    </row>
    <row r="85" spans="1:30" x14ac:dyDescent="0.3">
      <c r="A85" s="6">
        <v>44694</v>
      </c>
      <c r="B85" s="7">
        <v>0.181353133</v>
      </c>
      <c r="C85" s="7">
        <v>6.5142698999999998E-2</v>
      </c>
      <c r="D85" s="7">
        <v>0.29779530300000001</v>
      </c>
      <c r="E85" s="7">
        <v>0.11921625399999999</v>
      </c>
      <c r="F85" s="7">
        <v>0.26419857800000002</v>
      </c>
      <c r="G85" s="7">
        <v>9.0738308000000004E-2</v>
      </c>
      <c r="H85" s="7">
        <v>0.23057339900000001</v>
      </c>
      <c r="I85" s="7">
        <v>0.10545386700000001</v>
      </c>
      <c r="J85" s="7">
        <v>8.5057997999999996E-2</v>
      </c>
      <c r="K85" s="7">
        <v>7.4666987000000004E-2</v>
      </c>
      <c r="L85" s="7">
        <v>8.8215557999999999E-2</v>
      </c>
      <c r="M85" s="7">
        <v>0.108979506</v>
      </c>
      <c r="N85" s="7">
        <v>7.9662021E-2</v>
      </c>
      <c r="O85" s="7">
        <v>5.4255357999999997E-2</v>
      </c>
      <c r="P85" s="7">
        <v>0.16021347399999999</v>
      </c>
      <c r="Q85" s="7">
        <v>7.8768732999999994E-2</v>
      </c>
      <c r="R85" s="7">
        <v>0.146302987</v>
      </c>
      <c r="S85" s="7">
        <v>4.1831038000000001E-2</v>
      </c>
      <c r="T85" s="7">
        <v>0.160257397</v>
      </c>
      <c r="U85" s="7">
        <v>0.106150571</v>
      </c>
      <c r="V85" s="7">
        <v>-0.43700317189416926</v>
      </c>
      <c r="W85" s="7">
        <v>0.21820840325940632</v>
      </c>
      <c r="X85" s="7">
        <v>0.15534237044042326</v>
      </c>
      <c r="AB85" s="4">
        <v>1</v>
      </c>
      <c r="AC85" s="4">
        <v>0</v>
      </c>
      <c r="AD85" s="4">
        <v>1</v>
      </c>
    </row>
    <row r="86" spans="1:30" x14ac:dyDescent="0.3">
      <c r="A86" s="6">
        <v>44697</v>
      </c>
      <c r="B86" s="7">
        <v>0.25676854199999999</v>
      </c>
      <c r="C86" s="7">
        <v>0.150376281</v>
      </c>
      <c r="D86" s="7">
        <v>0.29460873700000001</v>
      </c>
      <c r="E86" s="7">
        <v>0.14872023100000001</v>
      </c>
      <c r="F86" s="7">
        <v>0.181353133</v>
      </c>
      <c r="G86" s="7">
        <v>6.5142698999999998E-2</v>
      </c>
      <c r="H86" s="7">
        <v>0.29779530300000001</v>
      </c>
      <c r="I86" s="7">
        <v>0.11921625399999999</v>
      </c>
      <c r="J86" s="7">
        <v>0.26419857800000002</v>
      </c>
      <c r="K86" s="7">
        <v>9.0738308000000004E-2</v>
      </c>
      <c r="L86" s="7">
        <v>0.23057339900000001</v>
      </c>
      <c r="M86" s="7">
        <v>0.10545386700000001</v>
      </c>
      <c r="N86" s="7">
        <v>8.5057997999999996E-2</v>
      </c>
      <c r="O86" s="7">
        <v>7.4666987000000004E-2</v>
      </c>
      <c r="P86" s="7">
        <v>8.8215557999999999E-2</v>
      </c>
      <c r="Q86" s="7">
        <v>0.108979506</v>
      </c>
      <c r="R86" s="7">
        <v>7.9662021E-2</v>
      </c>
      <c r="S86" s="7">
        <v>5.4255357999999997E-2</v>
      </c>
      <c r="T86" s="7">
        <v>0.16021347399999999</v>
      </c>
      <c r="U86" s="7">
        <v>7.8768732999999994E-2</v>
      </c>
      <c r="V86" s="7">
        <v>-0.25035440737397963</v>
      </c>
      <c r="W86" s="7">
        <v>0.21840311588700886</v>
      </c>
      <c r="X86" s="7">
        <v>0.15615257797709436</v>
      </c>
      <c r="AB86" s="4">
        <v>1</v>
      </c>
      <c r="AC86" s="4">
        <v>0</v>
      </c>
      <c r="AD86" s="4">
        <v>1</v>
      </c>
    </row>
    <row r="87" spans="1:30" x14ac:dyDescent="0.3">
      <c r="A87" s="6">
        <v>44698</v>
      </c>
      <c r="B87" s="7">
        <v>0.18391508000000001</v>
      </c>
      <c r="C87" s="7">
        <v>0.16478860000000001</v>
      </c>
      <c r="D87" s="7">
        <v>0.28400067499999998</v>
      </c>
      <c r="E87" s="7">
        <v>0.179555507</v>
      </c>
      <c r="F87" s="7">
        <v>0.25676854199999999</v>
      </c>
      <c r="G87" s="7">
        <v>0.150376281</v>
      </c>
      <c r="H87" s="7">
        <v>0.29460873700000001</v>
      </c>
      <c r="I87" s="7">
        <v>0.14872023100000001</v>
      </c>
      <c r="J87" s="7">
        <v>0.181353133</v>
      </c>
      <c r="K87" s="7">
        <v>6.5142698999999998E-2</v>
      </c>
      <c r="L87" s="7">
        <v>0.29779530300000001</v>
      </c>
      <c r="M87" s="7">
        <v>0.11921625399999999</v>
      </c>
      <c r="N87" s="7">
        <v>0.26419857800000002</v>
      </c>
      <c r="O87" s="7">
        <v>9.0738308000000004E-2</v>
      </c>
      <c r="P87" s="7">
        <v>0.23057339900000001</v>
      </c>
      <c r="Q87" s="7">
        <v>0.10545386700000001</v>
      </c>
      <c r="R87" s="7">
        <v>8.5057997999999996E-2</v>
      </c>
      <c r="S87" s="7">
        <v>7.4666987000000004E-2</v>
      </c>
      <c r="T87" s="7">
        <v>8.8215557999999999E-2</v>
      </c>
      <c r="U87" s="7">
        <v>0.108979506</v>
      </c>
      <c r="V87" s="7">
        <v>-0.25035440737397963</v>
      </c>
      <c r="W87" s="7">
        <v>0.21611255266637186</v>
      </c>
      <c r="X87" s="7">
        <v>0.15520055853354126</v>
      </c>
      <c r="AB87" s="4">
        <v>0</v>
      </c>
      <c r="AC87" s="4">
        <v>0</v>
      </c>
      <c r="AD87" s="4">
        <v>0</v>
      </c>
    </row>
    <row r="88" spans="1:30" x14ac:dyDescent="0.3">
      <c r="A88" s="6">
        <v>44699</v>
      </c>
      <c r="B88" s="7">
        <v>1.2840516999999999E-2</v>
      </c>
      <c r="C88" s="7">
        <v>3.1380392E-2</v>
      </c>
      <c r="D88" s="7">
        <v>5.4149182999999997E-2</v>
      </c>
      <c r="E88" s="7">
        <v>6.0729693000000001E-2</v>
      </c>
      <c r="F88" s="7">
        <v>0.18391508000000001</v>
      </c>
      <c r="G88" s="7">
        <v>0.16478860000000001</v>
      </c>
      <c r="H88" s="7">
        <v>0.28400067499999998</v>
      </c>
      <c r="I88" s="7">
        <v>0.179555507</v>
      </c>
      <c r="J88" s="7">
        <v>0.25676854199999999</v>
      </c>
      <c r="K88" s="7">
        <v>0.150376281</v>
      </c>
      <c r="L88" s="7">
        <v>0.29460873700000001</v>
      </c>
      <c r="M88" s="7">
        <v>0.14872023100000001</v>
      </c>
      <c r="N88" s="7">
        <v>0.181353133</v>
      </c>
      <c r="O88" s="7">
        <v>6.5142698999999998E-2</v>
      </c>
      <c r="P88" s="7">
        <v>0.29779530300000001</v>
      </c>
      <c r="Q88" s="7">
        <v>0.11921625399999999</v>
      </c>
      <c r="R88" s="7">
        <v>0.26419857800000002</v>
      </c>
      <c r="S88" s="7">
        <v>9.0738308000000004E-2</v>
      </c>
      <c r="T88" s="7">
        <v>0.23057339900000001</v>
      </c>
      <c r="U88" s="7">
        <v>0.10545386700000001</v>
      </c>
      <c r="V88" s="7">
        <v>-0.25035440737397963</v>
      </c>
      <c r="W88" s="7">
        <v>0.2196871495008498</v>
      </c>
      <c r="X88" s="7">
        <v>0.15733243764749921</v>
      </c>
      <c r="AB88" s="4">
        <v>0</v>
      </c>
      <c r="AC88" s="4">
        <v>0</v>
      </c>
      <c r="AD88" s="4">
        <v>0</v>
      </c>
    </row>
    <row r="89" spans="1:30" x14ac:dyDescent="0.3">
      <c r="A89" s="6">
        <v>44700</v>
      </c>
      <c r="B89" s="7">
        <v>9.3497764999999997E-2</v>
      </c>
      <c r="C89" s="7">
        <v>5.7908026000000001E-2</v>
      </c>
      <c r="D89" s="7">
        <v>0.145306347</v>
      </c>
      <c r="E89" s="7">
        <v>4.9999319E-2</v>
      </c>
      <c r="F89" s="7">
        <v>1.2840516999999999E-2</v>
      </c>
      <c r="G89" s="7">
        <v>3.1380392E-2</v>
      </c>
      <c r="H89" s="7">
        <v>5.4149182999999997E-2</v>
      </c>
      <c r="I89" s="7">
        <v>6.0729693000000001E-2</v>
      </c>
      <c r="J89" s="7">
        <v>0.18391508000000001</v>
      </c>
      <c r="K89" s="7">
        <v>0.16478860000000001</v>
      </c>
      <c r="L89" s="7">
        <v>0.28400067499999998</v>
      </c>
      <c r="M89" s="7">
        <v>0.179555507</v>
      </c>
      <c r="N89" s="7">
        <v>0.25676854199999999</v>
      </c>
      <c r="O89" s="7">
        <v>0.150376281</v>
      </c>
      <c r="P89" s="7">
        <v>0.29460873700000001</v>
      </c>
      <c r="Q89" s="7">
        <v>0.14872023100000001</v>
      </c>
      <c r="R89" s="7">
        <v>0.181353133</v>
      </c>
      <c r="S89" s="7">
        <v>6.5142698999999998E-2</v>
      </c>
      <c r="T89" s="7">
        <v>0.29779530300000001</v>
      </c>
      <c r="U89" s="7">
        <v>0.11921625399999999</v>
      </c>
      <c r="V89" s="7">
        <v>-0.25035440737397963</v>
      </c>
      <c r="W89" s="7">
        <v>0.22315022512682145</v>
      </c>
      <c r="X89" s="7">
        <v>0.15954788404274109</v>
      </c>
      <c r="AB89" s="4">
        <v>0</v>
      </c>
      <c r="AC89" s="4">
        <v>0</v>
      </c>
      <c r="AD89" s="4">
        <v>0</v>
      </c>
    </row>
    <row r="90" spans="1:30" x14ac:dyDescent="0.3">
      <c r="A90" s="6">
        <v>44701</v>
      </c>
      <c r="B90" s="7">
        <v>6.5881046999999998E-2</v>
      </c>
      <c r="C90" s="7">
        <v>3.6485825E-2</v>
      </c>
      <c r="D90" s="7">
        <v>0.13768065800000001</v>
      </c>
      <c r="E90" s="7">
        <v>6.6418121999999996E-2</v>
      </c>
      <c r="F90" s="7">
        <v>9.3497764999999997E-2</v>
      </c>
      <c r="G90" s="7">
        <v>5.7908026000000001E-2</v>
      </c>
      <c r="H90" s="7">
        <v>0.145306347</v>
      </c>
      <c r="I90" s="7">
        <v>4.9999319E-2</v>
      </c>
      <c r="J90" s="7">
        <v>1.2840516999999999E-2</v>
      </c>
      <c r="K90" s="7">
        <v>3.1380392E-2</v>
      </c>
      <c r="L90" s="7">
        <v>5.4149182999999997E-2</v>
      </c>
      <c r="M90" s="7">
        <v>6.0729693000000001E-2</v>
      </c>
      <c r="N90" s="7">
        <v>0.18391508000000001</v>
      </c>
      <c r="O90" s="7">
        <v>0.16478860000000001</v>
      </c>
      <c r="P90" s="7">
        <v>0.28400067499999998</v>
      </c>
      <c r="Q90" s="7">
        <v>0.179555507</v>
      </c>
      <c r="R90" s="7">
        <v>0.25676854199999999</v>
      </c>
      <c r="S90" s="7">
        <v>0.150376281</v>
      </c>
      <c r="T90" s="7">
        <v>0.29460873700000001</v>
      </c>
      <c r="U90" s="7">
        <v>0.14872023100000001</v>
      </c>
      <c r="V90" s="7">
        <v>-0.22084982039934836</v>
      </c>
      <c r="W90" s="7">
        <v>0.22429423599068882</v>
      </c>
      <c r="X90" s="7">
        <v>0.16092249276379192</v>
      </c>
      <c r="AB90" s="4">
        <v>0</v>
      </c>
      <c r="AC90" s="4">
        <v>0</v>
      </c>
      <c r="AD90" s="4">
        <v>0</v>
      </c>
    </row>
    <row r="91" spans="1:30" x14ac:dyDescent="0.3">
      <c r="A91" s="6">
        <v>44704</v>
      </c>
      <c r="B91" s="7">
        <v>8.2286284000000001E-2</v>
      </c>
      <c r="C91" s="7">
        <v>3.6050250999999998E-2</v>
      </c>
      <c r="D91" s="7">
        <v>8.9962566999999993E-2</v>
      </c>
      <c r="E91" s="7">
        <v>4.1376792000000003E-2</v>
      </c>
      <c r="F91" s="7">
        <v>6.5881046999999998E-2</v>
      </c>
      <c r="G91" s="7">
        <v>3.6485825E-2</v>
      </c>
      <c r="H91" s="7">
        <v>0.13768065800000001</v>
      </c>
      <c r="I91" s="7">
        <v>6.6418121999999996E-2</v>
      </c>
      <c r="J91" s="7">
        <v>9.3497764999999997E-2</v>
      </c>
      <c r="K91" s="7">
        <v>5.7908026000000001E-2</v>
      </c>
      <c r="L91" s="7">
        <v>0.145306347</v>
      </c>
      <c r="M91" s="7">
        <v>4.9999319E-2</v>
      </c>
      <c r="N91" s="7">
        <v>1.2840516999999999E-2</v>
      </c>
      <c r="O91" s="7">
        <v>3.1380392E-2</v>
      </c>
      <c r="P91" s="7">
        <v>5.4149182999999997E-2</v>
      </c>
      <c r="Q91" s="7">
        <v>6.0729693000000001E-2</v>
      </c>
      <c r="R91" s="7">
        <v>0.18391508000000001</v>
      </c>
      <c r="S91" s="7">
        <v>0.16478860000000001</v>
      </c>
      <c r="T91" s="7">
        <v>0.28400067499999998</v>
      </c>
      <c r="U91" s="7">
        <v>0.179555507</v>
      </c>
      <c r="V91" s="7">
        <v>-1.2733651992844311E-2</v>
      </c>
      <c r="W91" s="7">
        <v>0.22209335028421412</v>
      </c>
      <c r="X91" s="7">
        <v>0.16028766287408375</v>
      </c>
      <c r="AB91" s="4">
        <v>1</v>
      </c>
      <c r="AC91" s="4">
        <v>0</v>
      </c>
      <c r="AD91" s="4">
        <v>1</v>
      </c>
    </row>
    <row r="92" spans="1:30" x14ac:dyDescent="0.3">
      <c r="A92" s="6">
        <v>44705</v>
      </c>
      <c r="B92" s="7">
        <v>7.3574484999999995E-2</v>
      </c>
      <c r="C92" s="7">
        <v>3.0214564999999999E-2</v>
      </c>
      <c r="D92" s="7">
        <v>3.6664285999999997E-2</v>
      </c>
      <c r="E92" s="7">
        <v>4.5059176999999999E-2</v>
      </c>
      <c r="F92" s="7">
        <v>8.2286284000000001E-2</v>
      </c>
      <c r="G92" s="7">
        <v>3.6050250999999998E-2</v>
      </c>
      <c r="H92" s="7">
        <v>8.9962566999999993E-2</v>
      </c>
      <c r="I92" s="7">
        <v>4.1376792000000003E-2</v>
      </c>
      <c r="J92" s="7">
        <v>6.5881046999999998E-2</v>
      </c>
      <c r="K92" s="7">
        <v>3.6485825E-2</v>
      </c>
      <c r="L92" s="7">
        <v>0.13768065800000001</v>
      </c>
      <c r="M92" s="7">
        <v>6.6418121999999996E-2</v>
      </c>
      <c r="N92" s="7">
        <v>9.3497764999999997E-2</v>
      </c>
      <c r="O92" s="7">
        <v>5.7908026000000001E-2</v>
      </c>
      <c r="P92" s="7">
        <v>0.145306347</v>
      </c>
      <c r="Q92" s="7">
        <v>4.9999319E-2</v>
      </c>
      <c r="R92" s="7">
        <v>1.2840516999999999E-2</v>
      </c>
      <c r="S92" s="7">
        <v>3.1380392E-2</v>
      </c>
      <c r="T92" s="7">
        <v>5.4149182999999997E-2</v>
      </c>
      <c r="U92" s="7">
        <v>6.0729693000000001E-2</v>
      </c>
      <c r="V92" s="7">
        <v>-0.22084982039934836</v>
      </c>
      <c r="W92" s="7">
        <v>0.2231919004896486</v>
      </c>
      <c r="X92" s="7">
        <v>0.15965389761616464</v>
      </c>
      <c r="AB92" s="4">
        <v>1</v>
      </c>
      <c r="AC92" s="4">
        <v>0</v>
      </c>
      <c r="AD92" s="4">
        <v>1</v>
      </c>
    </row>
    <row r="93" spans="1:30" x14ac:dyDescent="0.3">
      <c r="A93" s="6">
        <v>44706</v>
      </c>
      <c r="B93" s="7">
        <v>2.4558913000000002E-2</v>
      </c>
      <c r="C93" s="7">
        <v>3.4511425999999998E-2</v>
      </c>
      <c r="D93" s="7">
        <v>4.8964462E-2</v>
      </c>
      <c r="E93" s="7">
        <v>5.6528653999999998E-2</v>
      </c>
      <c r="F93" s="7">
        <v>7.3574484999999995E-2</v>
      </c>
      <c r="G93" s="7">
        <v>3.0214564999999999E-2</v>
      </c>
      <c r="H93" s="7">
        <v>3.6664285999999997E-2</v>
      </c>
      <c r="I93" s="7">
        <v>4.5059176999999999E-2</v>
      </c>
      <c r="J93" s="7">
        <v>8.2286284000000001E-2</v>
      </c>
      <c r="K93" s="7">
        <v>3.6050250999999998E-2</v>
      </c>
      <c r="L93" s="7">
        <v>8.9962566999999993E-2</v>
      </c>
      <c r="M93" s="7">
        <v>4.1376792000000003E-2</v>
      </c>
      <c r="N93" s="7">
        <v>6.5881046999999998E-2</v>
      </c>
      <c r="O93" s="7">
        <v>3.6485825E-2</v>
      </c>
      <c r="P93" s="7">
        <v>0.13768065800000001</v>
      </c>
      <c r="Q93" s="7">
        <v>6.6418121999999996E-2</v>
      </c>
      <c r="R93" s="7">
        <v>9.3497764999999997E-2</v>
      </c>
      <c r="S93" s="7">
        <v>5.7908026000000001E-2</v>
      </c>
      <c r="T93" s="7">
        <v>0.145306347</v>
      </c>
      <c r="U93" s="7">
        <v>4.9999319E-2</v>
      </c>
      <c r="V93" s="7">
        <v>-1.2733651992844311E-2</v>
      </c>
      <c r="W93" s="7">
        <v>0.2159147425168963</v>
      </c>
      <c r="X93" s="7">
        <v>0.15364084977958706</v>
      </c>
      <c r="AB93" s="4">
        <v>1</v>
      </c>
      <c r="AC93" s="4">
        <v>0</v>
      </c>
      <c r="AD93" s="4">
        <v>1</v>
      </c>
    </row>
    <row r="94" spans="1:30" x14ac:dyDescent="0.3">
      <c r="A94" s="6">
        <v>44707</v>
      </c>
      <c r="B94" s="7">
        <v>0.111182559</v>
      </c>
      <c r="C94" s="7">
        <v>2.6944276999999999E-2</v>
      </c>
      <c r="D94" s="7">
        <v>0.11693804100000001</v>
      </c>
      <c r="E94" s="7">
        <v>5.8290369000000002E-2</v>
      </c>
      <c r="F94" s="7">
        <v>2.4558913000000002E-2</v>
      </c>
      <c r="G94" s="7">
        <v>3.4511425999999998E-2</v>
      </c>
      <c r="H94" s="7">
        <v>4.8964462E-2</v>
      </c>
      <c r="I94" s="7">
        <v>5.6528653999999998E-2</v>
      </c>
      <c r="J94" s="7">
        <v>7.3574484999999995E-2</v>
      </c>
      <c r="K94" s="7">
        <v>3.0214564999999999E-2</v>
      </c>
      <c r="L94" s="7">
        <v>3.6664285999999997E-2</v>
      </c>
      <c r="M94" s="7">
        <v>4.5059176999999999E-2</v>
      </c>
      <c r="N94" s="7">
        <v>8.2286284000000001E-2</v>
      </c>
      <c r="O94" s="7">
        <v>3.6050250999999998E-2</v>
      </c>
      <c r="P94" s="7">
        <v>8.9962566999999993E-2</v>
      </c>
      <c r="Q94" s="7">
        <v>4.1376792000000003E-2</v>
      </c>
      <c r="R94" s="7">
        <v>6.5881046999999998E-2</v>
      </c>
      <c r="S94" s="7">
        <v>3.6485825E-2</v>
      </c>
      <c r="T94" s="7">
        <v>0.13768065800000001</v>
      </c>
      <c r="U94" s="7">
        <v>6.6418121999999996E-2</v>
      </c>
      <c r="V94" s="7">
        <v>-0.22084982039934836</v>
      </c>
      <c r="W94" s="7">
        <v>0.21647406803073815</v>
      </c>
      <c r="X94" s="7">
        <v>0.15274823518020988</v>
      </c>
      <c r="AB94" s="4">
        <v>1</v>
      </c>
      <c r="AC94" s="4">
        <v>0</v>
      </c>
      <c r="AD94" s="4">
        <v>1</v>
      </c>
    </row>
    <row r="95" spans="1:30" x14ac:dyDescent="0.3">
      <c r="A95" s="6">
        <v>44708</v>
      </c>
      <c r="B95" s="7">
        <v>6.4645109000000006E-2</v>
      </c>
      <c r="C95" s="7">
        <v>2.8570706000000001E-2</v>
      </c>
      <c r="D95" s="7">
        <v>0.133040826</v>
      </c>
      <c r="E95" s="7">
        <v>6.1763181E-2</v>
      </c>
      <c r="F95" s="7">
        <v>0.111182559</v>
      </c>
      <c r="G95" s="7">
        <v>2.6944276999999999E-2</v>
      </c>
      <c r="H95" s="7">
        <v>0.11693804100000001</v>
      </c>
      <c r="I95" s="7">
        <v>5.8290369000000002E-2</v>
      </c>
      <c r="J95" s="7">
        <v>2.4558913000000002E-2</v>
      </c>
      <c r="K95" s="7">
        <v>3.4511425999999998E-2</v>
      </c>
      <c r="L95" s="7">
        <v>4.8964462E-2</v>
      </c>
      <c r="M95" s="7">
        <v>5.6528653999999998E-2</v>
      </c>
      <c r="N95" s="7">
        <v>7.3574484999999995E-2</v>
      </c>
      <c r="O95" s="7">
        <v>3.0214564999999999E-2</v>
      </c>
      <c r="P95" s="7">
        <v>3.6664285999999997E-2</v>
      </c>
      <c r="Q95" s="7">
        <v>4.5059176999999999E-2</v>
      </c>
      <c r="R95" s="7">
        <v>8.2286284000000001E-2</v>
      </c>
      <c r="S95" s="7">
        <v>3.6050250999999998E-2</v>
      </c>
      <c r="T95" s="7">
        <v>8.9962566999999993E-2</v>
      </c>
      <c r="U95" s="7">
        <v>4.1376792000000003E-2</v>
      </c>
      <c r="V95" s="7">
        <v>-0.22084982039934836</v>
      </c>
      <c r="W95" s="7">
        <v>0.22090932497440774</v>
      </c>
      <c r="X95" s="7">
        <v>0.15475575244503412</v>
      </c>
      <c r="AB95" s="4">
        <v>1</v>
      </c>
      <c r="AC95" s="4">
        <v>0</v>
      </c>
      <c r="AD95" s="4">
        <v>1</v>
      </c>
    </row>
    <row r="96" spans="1:30" x14ac:dyDescent="0.3">
      <c r="A96" s="6">
        <v>44711</v>
      </c>
      <c r="B96" s="7">
        <v>3.7278278999999998E-2</v>
      </c>
      <c r="C96" s="7">
        <v>4.4009603000000001E-2</v>
      </c>
      <c r="D96" s="7">
        <v>0.12544265900000001</v>
      </c>
      <c r="E96" s="7">
        <v>7.5857367999999994E-2</v>
      </c>
      <c r="F96" s="7">
        <v>6.4645109000000006E-2</v>
      </c>
      <c r="G96" s="7">
        <v>2.8570706000000001E-2</v>
      </c>
      <c r="H96" s="7">
        <v>0.133040826</v>
      </c>
      <c r="I96" s="7">
        <v>6.1763181E-2</v>
      </c>
      <c r="J96" s="7">
        <v>0.111182559</v>
      </c>
      <c r="K96" s="7">
        <v>2.6944276999999999E-2</v>
      </c>
      <c r="L96" s="7">
        <v>0.11693804100000001</v>
      </c>
      <c r="M96" s="7">
        <v>5.8290369000000002E-2</v>
      </c>
      <c r="N96" s="7">
        <v>2.4558913000000002E-2</v>
      </c>
      <c r="O96" s="7">
        <v>3.4511425999999998E-2</v>
      </c>
      <c r="P96" s="7">
        <v>4.8964462E-2</v>
      </c>
      <c r="Q96" s="7">
        <v>5.6528653999999998E-2</v>
      </c>
      <c r="R96" s="7">
        <v>7.3574484999999995E-2</v>
      </c>
      <c r="S96" s="7">
        <v>3.0214564999999999E-2</v>
      </c>
      <c r="T96" s="7">
        <v>3.6664285999999997E-2</v>
      </c>
      <c r="U96" s="7">
        <v>4.5059176999999999E-2</v>
      </c>
      <c r="V96" s="7">
        <v>-1.2733651992844311E-2</v>
      </c>
      <c r="W96" s="7">
        <v>0.22317620845403771</v>
      </c>
      <c r="X96" s="7">
        <v>0.15715833809298102</v>
      </c>
      <c r="AB96" s="4">
        <v>0</v>
      </c>
      <c r="AC96" s="4">
        <v>0</v>
      </c>
      <c r="AD96" s="4">
        <v>0</v>
      </c>
    </row>
    <row r="97" spans="1:30" x14ac:dyDescent="0.3">
      <c r="A97" s="6">
        <v>44712</v>
      </c>
      <c r="B97" s="7">
        <v>9.7789550000000006E-3</v>
      </c>
      <c r="C97" s="7">
        <v>2.8337602E-2</v>
      </c>
      <c r="D97" s="7">
        <v>0.10658404</v>
      </c>
      <c r="E97" s="7">
        <v>5.7031046000000002E-2</v>
      </c>
      <c r="F97" s="7">
        <v>3.7278278999999998E-2</v>
      </c>
      <c r="G97" s="7">
        <v>4.4009603000000001E-2</v>
      </c>
      <c r="H97" s="7">
        <v>0.12544265900000001</v>
      </c>
      <c r="I97" s="7">
        <v>7.5857367999999994E-2</v>
      </c>
      <c r="J97" s="7">
        <v>6.4645109000000006E-2</v>
      </c>
      <c r="K97" s="7">
        <v>2.8570706000000001E-2</v>
      </c>
      <c r="L97" s="7">
        <v>0.133040826</v>
      </c>
      <c r="M97" s="7">
        <v>6.1763181E-2</v>
      </c>
      <c r="N97" s="7">
        <v>0.111182559</v>
      </c>
      <c r="O97" s="7">
        <v>2.6944276999999999E-2</v>
      </c>
      <c r="P97" s="7">
        <v>0.11693804100000001</v>
      </c>
      <c r="Q97" s="7">
        <v>5.8290369000000002E-2</v>
      </c>
      <c r="R97" s="7">
        <v>2.4558913000000002E-2</v>
      </c>
      <c r="S97" s="7">
        <v>3.4511425999999998E-2</v>
      </c>
      <c r="T97" s="7">
        <v>4.8964462E-2</v>
      </c>
      <c r="U97" s="7">
        <v>5.6528653999999998E-2</v>
      </c>
      <c r="V97" s="7">
        <v>-1.2733651992844311E-2</v>
      </c>
      <c r="W97" s="7">
        <v>0.22502093792974465</v>
      </c>
      <c r="X97" s="7">
        <v>0.15858129268337698</v>
      </c>
      <c r="AB97" s="4">
        <v>0</v>
      </c>
      <c r="AC97" s="4">
        <v>0</v>
      </c>
      <c r="AD97" s="4">
        <v>0</v>
      </c>
    </row>
    <row r="98" spans="1:30" x14ac:dyDescent="0.3">
      <c r="A98" s="6">
        <v>44713</v>
      </c>
      <c r="B98" s="7">
        <v>4.8914083999999997E-2</v>
      </c>
      <c r="C98" s="7">
        <v>3.6157017E-2</v>
      </c>
      <c r="D98" s="7">
        <v>4.7261866E-2</v>
      </c>
      <c r="E98" s="7">
        <v>6.9413972000000004E-2</v>
      </c>
      <c r="F98" s="7">
        <v>9.7789550000000006E-3</v>
      </c>
      <c r="G98" s="7">
        <v>2.8337602E-2</v>
      </c>
      <c r="H98" s="7">
        <v>0.10658404</v>
      </c>
      <c r="I98" s="7">
        <v>5.7031046000000002E-2</v>
      </c>
      <c r="J98" s="7">
        <v>3.7278278999999998E-2</v>
      </c>
      <c r="K98" s="7">
        <v>4.4009603000000001E-2</v>
      </c>
      <c r="L98" s="7">
        <v>0.12544265900000001</v>
      </c>
      <c r="M98" s="7">
        <v>7.5857367999999994E-2</v>
      </c>
      <c r="N98" s="7">
        <v>6.4645109000000006E-2</v>
      </c>
      <c r="O98" s="7">
        <v>2.8570706000000001E-2</v>
      </c>
      <c r="P98" s="7">
        <v>0.133040826</v>
      </c>
      <c r="Q98" s="7">
        <v>6.1763181E-2</v>
      </c>
      <c r="R98" s="7">
        <v>0.111182559</v>
      </c>
      <c r="S98" s="7">
        <v>2.6944276999999999E-2</v>
      </c>
      <c r="T98" s="7">
        <v>0.11693804100000001</v>
      </c>
      <c r="U98" s="7">
        <v>5.8290369000000002E-2</v>
      </c>
      <c r="V98" s="7">
        <v>-1.2733651992844311E-2</v>
      </c>
      <c r="W98" s="7">
        <v>0.22422777654799861</v>
      </c>
      <c r="X98" s="7">
        <v>0.1580344488345729</v>
      </c>
      <c r="AB98" s="4">
        <v>0</v>
      </c>
      <c r="AC98" s="4">
        <v>0</v>
      </c>
      <c r="AD98" s="4">
        <v>0</v>
      </c>
    </row>
    <row r="99" spans="1:30" x14ac:dyDescent="0.3">
      <c r="A99" s="6">
        <v>44714</v>
      </c>
      <c r="B99" s="7">
        <v>0.11227095400000001</v>
      </c>
      <c r="C99" s="7">
        <v>1.9205940000000001E-2</v>
      </c>
      <c r="D99" s="7">
        <v>0.16584376100000001</v>
      </c>
      <c r="E99" s="7">
        <v>7.1549582E-2</v>
      </c>
      <c r="F99" s="7">
        <v>4.8914083999999997E-2</v>
      </c>
      <c r="G99" s="7">
        <v>3.6157017E-2</v>
      </c>
      <c r="H99" s="7">
        <v>4.7261866E-2</v>
      </c>
      <c r="I99" s="7">
        <v>6.9413972000000004E-2</v>
      </c>
      <c r="J99" s="7">
        <v>9.7789550000000006E-3</v>
      </c>
      <c r="K99" s="7">
        <v>2.8337602E-2</v>
      </c>
      <c r="L99" s="7">
        <v>0.10658404</v>
      </c>
      <c r="M99" s="7">
        <v>5.7031046000000002E-2</v>
      </c>
      <c r="N99" s="7">
        <v>3.7278278999999998E-2</v>
      </c>
      <c r="O99" s="7">
        <v>4.4009603000000001E-2</v>
      </c>
      <c r="P99" s="7">
        <v>0.12544265900000001</v>
      </c>
      <c r="Q99" s="7">
        <v>7.5857367999999994E-2</v>
      </c>
      <c r="R99" s="7">
        <v>6.4645109000000006E-2</v>
      </c>
      <c r="S99" s="7">
        <v>2.8570706000000001E-2</v>
      </c>
      <c r="T99" s="7">
        <v>0.133040826</v>
      </c>
      <c r="U99" s="7">
        <v>6.1763181E-2</v>
      </c>
      <c r="V99" s="7">
        <v>-1.2733651992844311E-2</v>
      </c>
      <c r="W99" s="7">
        <v>0.22034189885342972</v>
      </c>
      <c r="X99" s="7">
        <v>0.15455487686758385</v>
      </c>
      <c r="AB99" s="4">
        <v>0</v>
      </c>
      <c r="AC99" s="4">
        <v>0</v>
      </c>
      <c r="AD99" s="4">
        <v>0</v>
      </c>
    </row>
    <row r="100" spans="1:30" x14ac:dyDescent="0.3">
      <c r="A100" s="6">
        <v>44718</v>
      </c>
      <c r="B100" s="7">
        <v>9.4899065000000005E-2</v>
      </c>
      <c r="C100" s="7">
        <v>3.0048410000000001E-2</v>
      </c>
      <c r="D100" s="7">
        <v>0.144126791</v>
      </c>
      <c r="E100" s="7">
        <v>9.5940161999999996E-2</v>
      </c>
      <c r="F100" s="7">
        <v>0.11227095400000001</v>
      </c>
      <c r="G100" s="7">
        <v>1.9205940000000001E-2</v>
      </c>
      <c r="H100" s="7">
        <v>0.16584376100000001</v>
      </c>
      <c r="I100" s="7">
        <v>7.1549582E-2</v>
      </c>
      <c r="J100" s="7">
        <v>4.8914083999999997E-2</v>
      </c>
      <c r="K100" s="7">
        <v>3.6157017E-2</v>
      </c>
      <c r="L100" s="7">
        <v>4.7261866E-2</v>
      </c>
      <c r="M100" s="7">
        <v>6.9413972000000004E-2</v>
      </c>
      <c r="N100" s="7">
        <v>9.7789550000000006E-3</v>
      </c>
      <c r="O100" s="7">
        <v>2.8337602E-2</v>
      </c>
      <c r="P100" s="7">
        <v>0.10658404</v>
      </c>
      <c r="Q100" s="7">
        <v>5.7031046000000002E-2</v>
      </c>
      <c r="R100" s="7">
        <v>3.7278278999999998E-2</v>
      </c>
      <c r="S100" s="7">
        <v>4.4009603000000001E-2</v>
      </c>
      <c r="T100" s="7">
        <v>0.12544265900000001</v>
      </c>
      <c r="U100" s="7">
        <v>7.5857367999999994E-2</v>
      </c>
      <c r="V100" s="7">
        <v>3.7549766465242489E-2</v>
      </c>
      <c r="W100" s="7">
        <v>0.21424356048163465</v>
      </c>
      <c r="X100" s="7">
        <v>0.14988476393462807</v>
      </c>
      <c r="AB100" s="4">
        <v>0</v>
      </c>
      <c r="AC100" s="4">
        <v>1</v>
      </c>
      <c r="AD100" s="4">
        <v>1</v>
      </c>
    </row>
    <row r="101" spans="1:30" x14ac:dyDescent="0.3">
      <c r="A101" s="6">
        <v>44719</v>
      </c>
      <c r="B101" s="7">
        <v>8.2024112999999996E-2</v>
      </c>
      <c r="C101" s="7">
        <v>4.3765266999999997E-2</v>
      </c>
      <c r="D101" s="7">
        <v>0.124741142</v>
      </c>
      <c r="E101" s="7">
        <v>0.121776283</v>
      </c>
      <c r="F101" s="7">
        <v>9.4899065000000005E-2</v>
      </c>
      <c r="G101" s="7">
        <v>3.0048410000000001E-2</v>
      </c>
      <c r="H101" s="7">
        <v>0.144126791</v>
      </c>
      <c r="I101" s="7">
        <v>9.5940161999999996E-2</v>
      </c>
      <c r="J101" s="7">
        <v>0.11227095400000001</v>
      </c>
      <c r="K101" s="7">
        <v>1.9205940000000001E-2</v>
      </c>
      <c r="L101" s="7">
        <v>0.16584376100000001</v>
      </c>
      <c r="M101" s="7">
        <v>7.1549582E-2</v>
      </c>
      <c r="N101" s="7">
        <v>4.8914083999999997E-2</v>
      </c>
      <c r="O101" s="7">
        <v>3.6157017E-2</v>
      </c>
      <c r="P101" s="7">
        <v>4.7261866E-2</v>
      </c>
      <c r="Q101" s="7">
        <v>6.9413972000000004E-2</v>
      </c>
      <c r="R101" s="7">
        <v>9.7789550000000006E-3</v>
      </c>
      <c r="S101" s="7">
        <v>2.8337602E-2</v>
      </c>
      <c r="T101" s="7">
        <v>0.10658404</v>
      </c>
      <c r="U101" s="7">
        <v>5.7031046000000002E-2</v>
      </c>
      <c r="V101" s="7">
        <v>-1.2733651992844311E-2</v>
      </c>
      <c r="W101" s="7">
        <v>0.2128823203021305</v>
      </c>
      <c r="X101" s="7">
        <v>0.1475693663420353</v>
      </c>
      <c r="AB101" s="4">
        <v>0</v>
      </c>
      <c r="AC101" s="4">
        <v>1</v>
      </c>
      <c r="AD101" s="4">
        <v>1</v>
      </c>
    </row>
    <row r="102" spans="1:30" x14ac:dyDescent="0.3">
      <c r="A102" s="6">
        <v>44720</v>
      </c>
      <c r="B102" s="7">
        <v>4.2765326999999999E-2</v>
      </c>
      <c r="C102" s="7">
        <v>5.1885430000000003E-2</v>
      </c>
      <c r="D102" s="7">
        <v>8.6251573999999998E-2</v>
      </c>
      <c r="E102" s="7">
        <v>9.3223685000000001E-2</v>
      </c>
      <c r="F102" s="7">
        <v>8.2024112999999996E-2</v>
      </c>
      <c r="G102" s="7">
        <v>4.3765266999999997E-2</v>
      </c>
      <c r="H102" s="7">
        <v>0.124741142</v>
      </c>
      <c r="I102" s="7">
        <v>0.121776283</v>
      </c>
      <c r="J102" s="7">
        <v>9.4899065000000005E-2</v>
      </c>
      <c r="K102" s="7">
        <v>3.0048410000000001E-2</v>
      </c>
      <c r="L102" s="7">
        <v>0.144126791</v>
      </c>
      <c r="M102" s="7">
        <v>9.5940161999999996E-2</v>
      </c>
      <c r="N102" s="7">
        <v>0.11227095400000001</v>
      </c>
      <c r="O102" s="7">
        <v>1.9205940000000001E-2</v>
      </c>
      <c r="P102" s="7">
        <v>0.16584376100000001</v>
      </c>
      <c r="Q102" s="7">
        <v>7.1549582E-2</v>
      </c>
      <c r="R102" s="7">
        <v>4.8914083999999997E-2</v>
      </c>
      <c r="S102" s="7">
        <v>3.6157017E-2</v>
      </c>
      <c r="T102" s="7">
        <v>4.7261866E-2</v>
      </c>
      <c r="U102" s="7">
        <v>6.9413972000000004E-2</v>
      </c>
      <c r="V102" s="7">
        <v>-1.2733651992844311E-2</v>
      </c>
      <c r="W102" s="7">
        <v>0.20540628729028632</v>
      </c>
      <c r="X102" s="7">
        <v>0.14497927807596994</v>
      </c>
      <c r="AB102" s="4">
        <v>0</v>
      </c>
      <c r="AC102" s="4">
        <v>1</v>
      </c>
      <c r="AD102" s="4">
        <v>1</v>
      </c>
    </row>
    <row r="103" spans="1:30" x14ac:dyDescent="0.3">
      <c r="A103" s="6">
        <v>44721</v>
      </c>
      <c r="B103" s="7">
        <v>0.14241594699999999</v>
      </c>
      <c r="C103" s="7">
        <v>2.4072532000000001E-2</v>
      </c>
      <c r="D103" s="7">
        <v>0.23681996399999999</v>
      </c>
      <c r="E103" s="7">
        <v>0.128307592</v>
      </c>
      <c r="F103" s="7">
        <v>4.2765326999999999E-2</v>
      </c>
      <c r="G103" s="7">
        <v>5.1885430000000003E-2</v>
      </c>
      <c r="H103" s="7">
        <v>8.6251573999999998E-2</v>
      </c>
      <c r="I103" s="7">
        <v>9.3223685000000001E-2</v>
      </c>
      <c r="J103" s="7">
        <v>8.2024112999999996E-2</v>
      </c>
      <c r="K103" s="7">
        <v>4.3765266999999997E-2</v>
      </c>
      <c r="L103" s="7">
        <v>0.124741142</v>
      </c>
      <c r="M103" s="7">
        <v>0.121776283</v>
      </c>
      <c r="N103" s="7">
        <v>9.4899065000000005E-2</v>
      </c>
      <c r="O103" s="7">
        <v>3.0048410000000001E-2</v>
      </c>
      <c r="P103" s="7">
        <v>0.144126791</v>
      </c>
      <c r="Q103" s="7">
        <v>9.5940161999999996E-2</v>
      </c>
      <c r="R103" s="7">
        <v>0.11227095400000001</v>
      </c>
      <c r="S103" s="7">
        <v>1.9205940000000001E-2</v>
      </c>
      <c r="T103" s="7">
        <v>0.16584376100000001</v>
      </c>
      <c r="U103" s="7">
        <v>7.1549582E-2</v>
      </c>
      <c r="V103" s="7">
        <v>-1.2733651992844311E-2</v>
      </c>
      <c r="W103" s="7">
        <v>0.20417733408964991</v>
      </c>
      <c r="X103" s="7">
        <v>0.14444237054987549</v>
      </c>
      <c r="AB103" s="4">
        <v>0</v>
      </c>
      <c r="AC103" s="4">
        <v>1</v>
      </c>
      <c r="AD103" s="4">
        <v>1</v>
      </c>
    </row>
    <row r="104" spans="1:30" x14ac:dyDescent="0.3">
      <c r="A104" s="6">
        <v>44722</v>
      </c>
      <c r="B104" s="7">
        <v>0.15540011200000001</v>
      </c>
      <c r="C104" s="7">
        <v>3.6814201999999997E-2</v>
      </c>
      <c r="D104" s="7">
        <v>0.22102622399999999</v>
      </c>
      <c r="E104" s="7">
        <v>0.11396345200000001</v>
      </c>
      <c r="F104" s="7">
        <v>0.14241594699999999</v>
      </c>
      <c r="G104" s="7">
        <v>2.4072532000000001E-2</v>
      </c>
      <c r="H104" s="7">
        <v>0.23681996399999999</v>
      </c>
      <c r="I104" s="7">
        <v>0.128307592</v>
      </c>
      <c r="J104" s="7">
        <v>4.2765326999999999E-2</v>
      </c>
      <c r="K104" s="7">
        <v>5.1885430000000003E-2</v>
      </c>
      <c r="L104" s="7">
        <v>8.6251573999999998E-2</v>
      </c>
      <c r="M104" s="7">
        <v>9.3223685000000001E-2</v>
      </c>
      <c r="N104" s="7">
        <v>8.2024112999999996E-2</v>
      </c>
      <c r="O104" s="7">
        <v>4.3765266999999997E-2</v>
      </c>
      <c r="P104" s="7">
        <v>0.124741142</v>
      </c>
      <c r="Q104" s="7">
        <v>0.121776283</v>
      </c>
      <c r="R104" s="7">
        <v>9.4899065000000005E-2</v>
      </c>
      <c r="S104" s="7">
        <v>3.0048410000000001E-2</v>
      </c>
      <c r="T104" s="7">
        <v>0.144126791</v>
      </c>
      <c r="U104" s="7">
        <v>9.5940161999999996E-2</v>
      </c>
      <c r="V104" s="7">
        <v>-0.22084982039934836</v>
      </c>
      <c r="W104" s="7">
        <v>0.2055138342208627</v>
      </c>
      <c r="X104" s="7">
        <v>0.14461771231496182</v>
      </c>
      <c r="AB104" s="4">
        <v>0</v>
      </c>
      <c r="AC104" s="4">
        <v>1</v>
      </c>
      <c r="AD104" s="4">
        <v>1</v>
      </c>
    </row>
    <row r="105" spans="1:30" x14ac:dyDescent="0.3">
      <c r="A105" s="6">
        <v>44725</v>
      </c>
      <c r="B105" s="7">
        <v>0.29648053800000002</v>
      </c>
      <c r="C105" s="7">
        <v>0.14770053999999999</v>
      </c>
      <c r="D105" s="7">
        <v>0.33292577099999998</v>
      </c>
      <c r="E105" s="7">
        <v>0.16905561199999999</v>
      </c>
      <c r="F105" s="7">
        <v>0.15540011200000001</v>
      </c>
      <c r="G105" s="7">
        <v>3.6814201999999997E-2</v>
      </c>
      <c r="H105" s="7">
        <v>0.22102622399999999</v>
      </c>
      <c r="I105" s="7">
        <v>0.11396345200000001</v>
      </c>
      <c r="J105" s="7">
        <v>0.14241594699999999</v>
      </c>
      <c r="K105" s="7">
        <v>2.4072532000000001E-2</v>
      </c>
      <c r="L105" s="7">
        <v>0.23681996399999999</v>
      </c>
      <c r="M105" s="7">
        <v>0.128307592</v>
      </c>
      <c r="N105" s="7">
        <v>4.2765326999999999E-2</v>
      </c>
      <c r="O105" s="7">
        <v>5.1885430000000003E-2</v>
      </c>
      <c r="P105" s="7">
        <v>8.6251573999999998E-2</v>
      </c>
      <c r="Q105" s="7">
        <v>9.3223685000000001E-2</v>
      </c>
      <c r="R105" s="7">
        <v>8.2024112999999996E-2</v>
      </c>
      <c r="S105" s="7">
        <v>4.3765266999999997E-2</v>
      </c>
      <c r="T105" s="7">
        <v>0.124741142</v>
      </c>
      <c r="U105" s="7">
        <v>0.121776283</v>
      </c>
      <c r="V105" s="7">
        <v>-0.22084982039934836</v>
      </c>
      <c r="W105" s="7">
        <v>0.20258077950396833</v>
      </c>
      <c r="X105" s="7">
        <v>0.14154687865805521</v>
      </c>
      <c r="AB105" s="4">
        <v>0</v>
      </c>
      <c r="AC105" s="4">
        <v>1</v>
      </c>
      <c r="AD105" s="4">
        <v>1</v>
      </c>
    </row>
    <row r="106" spans="1:30" x14ac:dyDescent="0.3">
      <c r="A106" s="6">
        <v>44726</v>
      </c>
      <c r="B106" s="7">
        <v>0.276822811</v>
      </c>
      <c r="C106" s="7">
        <v>0.241040642</v>
      </c>
      <c r="D106" s="7">
        <v>0.448962099</v>
      </c>
      <c r="E106" s="7">
        <v>0.28613312699999999</v>
      </c>
      <c r="F106" s="7">
        <v>0.29648053800000002</v>
      </c>
      <c r="G106" s="7">
        <v>0.14770053999999999</v>
      </c>
      <c r="H106" s="7">
        <v>0.33292577099999998</v>
      </c>
      <c r="I106" s="7">
        <v>0.16905561199999999</v>
      </c>
      <c r="J106" s="7">
        <v>0.15540011200000001</v>
      </c>
      <c r="K106" s="7">
        <v>3.6814201999999997E-2</v>
      </c>
      <c r="L106" s="7">
        <v>0.22102622399999999</v>
      </c>
      <c r="M106" s="7">
        <v>0.11396345200000001</v>
      </c>
      <c r="N106" s="7">
        <v>0.14241594699999999</v>
      </c>
      <c r="O106" s="7">
        <v>2.4072532000000001E-2</v>
      </c>
      <c r="P106" s="7">
        <v>0.23681996399999999</v>
      </c>
      <c r="Q106" s="7">
        <v>0.128307592</v>
      </c>
      <c r="R106" s="7">
        <v>4.2765326999999999E-2</v>
      </c>
      <c r="S106" s="7">
        <v>5.1885430000000003E-2</v>
      </c>
      <c r="T106" s="7">
        <v>8.6251573999999998E-2</v>
      </c>
      <c r="U106" s="7">
        <v>9.3223685000000001E-2</v>
      </c>
      <c r="V106" s="7">
        <v>-0.43700317189416926</v>
      </c>
      <c r="W106" s="7">
        <v>0.20257806804720238</v>
      </c>
      <c r="X106" s="7">
        <v>0.14115818425618884</v>
      </c>
      <c r="AB106" s="4">
        <v>0</v>
      </c>
      <c r="AC106" s="4">
        <v>1</v>
      </c>
      <c r="AD106" s="4">
        <v>1</v>
      </c>
    </row>
    <row r="107" spans="1:30" x14ac:dyDescent="0.3">
      <c r="A107" s="6">
        <v>44727</v>
      </c>
      <c r="B107" s="7">
        <v>3.1432303000000002E-2</v>
      </c>
      <c r="C107" s="7">
        <v>2.8910297000000001E-2</v>
      </c>
      <c r="D107" s="7">
        <v>2.8305754999999998E-2</v>
      </c>
      <c r="E107" s="7">
        <v>4.3263243999999999E-2</v>
      </c>
      <c r="F107" s="7">
        <v>0.276822811</v>
      </c>
      <c r="G107" s="7">
        <v>0.241040642</v>
      </c>
      <c r="H107" s="7">
        <v>0.448962099</v>
      </c>
      <c r="I107" s="7">
        <v>0.28613312699999999</v>
      </c>
      <c r="J107" s="7">
        <v>0.29648053800000002</v>
      </c>
      <c r="K107" s="7">
        <v>0.14770053999999999</v>
      </c>
      <c r="L107" s="7">
        <v>0.33292577099999998</v>
      </c>
      <c r="M107" s="7">
        <v>0.16905561199999999</v>
      </c>
      <c r="N107" s="7">
        <v>0.15540011200000001</v>
      </c>
      <c r="O107" s="7">
        <v>3.6814201999999997E-2</v>
      </c>
      <c r="P107" s="7">
        <v>0.22102622399999999</v>
      </c>
      <c r="Q107" s="7">
        <v>0.11396345200000001</v>
      </c>
      <c r="R107" s="7">
        <v>0.14241594699999999</v>
      </c>
      <c r="S107" s="7">
        <v>2.4072532000000001E-2</v>
      </c>
      <c r="T107" s="7">
        <v>0.23681996399999999</v>
      </c>
      <c r="U107" s="7">
        <v>0.128307592</v>
      </c>
      <c r="V107" s="7">
        <v>-0.45103122432359005</v>
      </c>
      <c r="W107" s="7">
        <v>0.18829104461953289</v>
      </c>
      <c r="X107" s="7">
        <v>0.13555239677136988</v>
      </c>
      <c r="AB107" s="4">
        <v>0</v>
      </c>
      <c r="AC107" s="4">
        <v>1</v>
      </c>
      <c r="AD107" s="4">
        <v>1</v>
      </c>
    </row>
    <row r="108" spans="1:30" x14ac:dyDescent="0.3">
      <c r="A108" s="6">
        <v>44728</v>
      </c>
      <c r="B108" s="7">
        <v>9.1411323000000003E-2</v>
      </c>
      <c r="C108" s="7">
        <v>2.7223388000000001E-2</v>
      </c>
      <c r="D108" s="7">
        <v>0.100565851</v>
      </c>
      <c r="E108" s="7">
        <v>5.6121458999999999E-2</v>
      </c>
      <c r="F108" s="7">
        <v>3.1432303000000002E-2</v>
      </c>
      <c r="G108" s="7">
        <v>2.8910297000000001E-2</v>
      </c>
      <c r="H108" s="7">
        <v>2.8305754999999998E-2</v>
      </c>
      <c r="I108" s="7">
        <v>4.3263243999999999E-2</v>
      </c>
      <c r="J108" s="7">
        <v>0.276822811</v>
      </c>
      <c r="K108" s="7">
        <v>0.241040642</v>
      </c>
      <c r="L108" s="7">
        <v>0.448962099</v>
      </c>
      <c r="M108" s="7">
        <v>0.28613312699999999</v>
      </c>
      <c r="N108" s="7">
        <v>0.29648053800000002</v>
      </c>
      <c r="O108" s="7">
        <v>0.14770053999999999</v>
      </c>
      <c r="P108" s="7">
        <v>0.33292577099999998</v>
      </c>
      <c r="Q108" s="7">
        <v>0.16905561199999999</v>
      </c>
      <c r="R108" s="7">
        <v>0.15540011200000001</v>
      </c>
      <c r="S108" s="7">
        <v>3.6814201999999997E-2</v>
      </c>
      <c r="T108" s="7">
        <v>0.22102622399999999</v>
      </c>
      <c r="U108" s="7">
        <v>0.11396345200000001</v>
      </c>
      <c r="V108" s="7">
        <v>-0.48536083643826455</v>
      </c>
      <c r="W108" s="7">
        <v>0.18961312527318019</v>
      </c>
      <c r="X108" s="7">
        <v>0.13555696184862817</v>
      </c>
      <c r="AB108" s="4">
        <v>0</v>
      </c>
      <c r="AC108" s="4">
        <v>1</v>
      </c>
      <c r="AD108" s="4">
        <v>1</v>
      </c>
    </row>
    <row r="109" spans="1:30" x14ac:dyDescent="0.3">
      <c r="A109" s="6">
        <v>44729</v>
      </c>
      <c r="B109" s="7">
        <v>8.5930171999999999E-2</v>
      </c>
      <c r="C109" s="7">
        <v>4.2191039E-2</v>
      </c>
      <c r="D109" s="7">
        <v>0.13853230699999999</v>
      </c>
      <c r="E109" s="7">
        <v>5.7694969999999998E-2</v>
      </c>
      <c r="F109" s="7">
        <v>9.1411323000000003E-2</v>
      </c>
      <c r="G109" s="7">
        <v>2.7223388000000001E-2</v>
      </c>
      <c r="H109" s="7">
        <v>0.100565851</v>
      </c>
      <c r="I109" s="7">
        <v>5.6121458999999999E-2</v>
      </c>
      <c r="J109" s="7">
        <v>3.1432303000000002E-2</v>
      </c>
      <c r="K109" s="7">
        <v>2.8910297000000001E-2</v>
      </c>
      <c r="L109" s="7">
        <v>2.8305754999999998E-2</v>
      </c>
      <c r="M109" s="7">
        <v>4.3263243999999999E-2</v>
      </c>
      <c r="N109" s="7">
        <v>0.276822811</v>
      </c>
      <c r="O109" s="7">
        <v>0.241040642</v>
      </c>
      <c r="P109" s="7">
        <v>0.448962099</v>
      </c>
      <c r="Q109" s="7">
        <v>0.28613312699999999</v>
      </c>
      <c r="R109" s="7">
        <v>0.29648053800000002</v>
      </c>
      <c r="S109" s="7">
        <v>0.14770053999999999</v>
      </c>
      <c r="T109" s="7">
        <v>0.33292577099999998</v>
      </c>
      <c r="U109" s="7">
        <v>0.16905561199999999</v>
      </c>
      <c r="V109" s="7">
        <v>-0.5255354055880731</v>
      </c>
      <c r="W109" s="7">
        <v>0.19134967854502635</v>
      </c>
      <c r="X109" s="7">
        <v>0.13559951294903433</v>
      </c>
      <c r="AB109" s="4">
        <v>0</v>
      </c>
      <c r="AC109" s="4">
        <v>1</v>
      </c>
      <c r="AD109" s="4">
        <v>1</v>
      </c>
    </row>
    <row r="110" spans="1:30" x14ac:dyDescent="0.3">
      <c r="A110" s="6">
        <v>44732</v>
      </c>
      <c r="B110" s="7">
        <v>8.3740031000000006E-2</v>
      </c>
      <c r="C110" s="7">
        <v>3.0994995000000001E-2</v>
      </c>
      <c r="D110" s="7">
        <v>8.5217902999999998E-2</v>
      </c>
      <c r="E110" s="7">
        <v>7.0084555000000007E-2</v>
      </c>
      <c r="F110" s="7">
        <v>8.5930171999999999E-2</v>
      </c>
      <c r="G110" s="7">
        <v>4.2191039E-2</v>
      </c>
      <c r="H110" s="7">
        <v>0.13853230699999999</v>
      </c>
      <c r="I110" s="7">
        <v>5.7694969999999998E-2</v>
      </c>
      <c r="J110" s="7">
        <v>9.1411323000000003E-2</v>
      </c>
      <c r="K110" s="7">
        <v>2.7223388000000001E-2</v>
      </c>
      <c r="L110" s="7">
        <v>0.100565851</v>
      </c>
      <c r="M110" s="7">
        <v>5.6121458999999999E-2</v>
      </c>
      <c r="N110" s="7">
        <v>3.1432303000000002E-2</v>
      </c>
      <c r="O110" s="7">
        <v>2.8910297000000001E-2</v>
      </c>
      <c r="P110" s="7">
        <v>2.8305754999999998E-2</v>
      </c>
      <c r="Q110" s="7">
        <v>4.3263243999999999E-2</v>
      </c>
      <c r="R110" s="7">
        <v>0.276822811</v>
      </c>
      <c r="S110" s="7">
        <v>0.241040642</v>
      </c>
      <c r="T110" s="7">
        <v>0.448962099</v>
      </c>
      <c r="U110" s="7">
        <v>0.28613312699999999</v>
      </c>
      <c r="V110" s="7">
        <v>-0.60115253590881923</v>
      </c>
      <c r="W110" s="7">
        <v>0.19255701305651315</v>
      </c>
      <c r="X110" s="7">
        <v>0.13549550426457341</v>
      </c>
      <c r="AB110" s="4">
        <v>0</v>
      </c>
      <c r="AC110" s="4">
        <v>0</v>
      </c>
      <c r="AD110" s="4">
        <v>0</v>
      </c>
    </row>
    <row r="111" spans="1:30" x14ac:dyDescent="0.3">
      <c r="A111" s="6">
        <v>44733</v>
      </c>
      <c r="B111" s="7">
        <v>2.1394922E-2</v>
      </c>
      <c r="C111" s="7">
        <v>2.8894909999999999E-2</v>
      </c>
      <c r="D111" s="7">
        <v>8.384134E-2</v>
      </c>
      <c r="E111" s="7">
        <v>5.7498845E-2</v>
      </c>
      <c r="F111" s="7">
        <v>8.3740031000000006E-2</v>
      </c>
      <c r="G111" s="7">
        <v>3.0994995000000001E-2</v>
      </c>
      <c r="H111" s="7">
        <v>8.5217902999999998E-2</v>
      </c>
      <c r="I111" s="7">
        <v>7.0084555000000007E-2</v>
      </c>
      <c r="J111" s="7">
        <v>8.5930171999999999E-2</v>
      </c>
      <c r="K111" s="7">
        <v>4.2191039E-2</v>
      </c>
      <c r="L111" s="7">
        <v>0.13853230699999999</v>
      </c>
      <c r="M111" s="7">
        <v>5.7694969999999998E-2</v>
      </c>
      <c r="N111" s="7">
        <v>9.1411323000000003E-2</v>
      </c>
      <c r="O111" s="7">
        <v>2.7223388000000001E-2</v>
      </c>
      <c r="P111" s="7">
        <v>0.100565851</v>
      </c>
      <c r="Q111" s="7">
        <v>5.6121458999999999E-2</v>
      </c>
      <c r="R111" s="7">
        <v>3.1432303000000002E-2</v>
      </c>
      <c r="S111" s="7">
        <v>2.8910297000000001E-2</v>
      </c>
      <c r="T111" s="7">
        <v>2.8305754999999998E-2</v>
      </c>
      <c r="U111" s="7">
        <v>4.3263243999999999E-2</v>
      </c>
      <c r="V111" s="7">
        <v>-0.60115253590881923</v>
      </c>
      <c r="W111" s="7">
        <v>0.20015610447876767</v>
      </c>
      <c r="X111" s="7">
        <v>0.13795779337049566</v>
      </c>
      <c r="AB111" s="4">
        <v>0</v>
      </c>
      <c r="AC111" s="4">
        <v>1</v>
      </c>
      <c r="AD111" s="4">
        <v>1</v>
      </c>
    </row>
    <row r="112" spans="1:30" x14ac:dyDescent="0.3">
      <c r="A112" s="6">
        <v>44734</v>
      </c>
      <c r="B112" s="7">
        <v>5.4228571000000003E-2</v>
      </c>
      <c r="C112" s="7">
        <v>3.8251779E-2</v>
      </c>
      <c r="D112" s="7">
        <v>2.2645407999999999E-2</v>
      </c>
      <c r="E112" s="7">
        <v>6.1546608000000003E-2</v>
      </c>
      <c r="F112" s="7">
        <v>2.1394922E-2</v>
      </c>
      <c r="G112" s="7">
        <v>2.8894909999999999E-2</v>
      </c>
      <c r="H112" s="7">
        <v>8.384134E-2</v>
      </c>
      <c r="I112" s="7">
        <v>5.7498845E-2</v>
      </c>
      <c r="J112" s="7">
        <v>8.3740031000000006E-2</v>
      </c>
      <c r="K112" s="7">
        <v>3.0994995000000001E-2</v>
      </c>
      <c r="L112" s="7">
        <v>8.5217902999999998E-2</v>
      </c>
      <c r="M112" s="7">
        <v>7.0084555000000007E-2</v>
      </c>
      <c r="N112" s="7">
        <v>8.5930171999999999E-2</v>
      </c>
      <c r="O112" s="7">
        <v>4.2191039E-2</v>
      </c>
      <c r="P112" s="7">
        <v>0.13853230699999999</v>
      </c>
      <c r="Q112" s="7">
        <v>5.7694969999999998E-2</v>
      </c>
      <c r="R112" s="7">
        <v>9.1411323000000003E-2</v>
      </c>
      <c r="S112" s="7">
        <v>2.7223388000000001E-2</v>
      </c>
      <c r="T112" s="7">
        <v>0.100565851</v>
      </c>
      <c r="U112" s="7">
        <v>5.6121458999999999E-2</v>
      </c>
      <c r="V112" s="7">
        <v>-0.64623870273365092</v>
      </c>
      <c r="W112" s="7">
        <v>0.20819668069545474</v>
      </c>
      <c r="X112" s="7">
        <v>0.14521746623430082</v>
      </c>
      <c r="AB112" s="4">
        <v>0</v>
      </c>
      <c r="AC112" s="4">
        <v>0</v>
      </c>
      <c r="AD112" s="4">
        <v>0</v>
      </c>
    </row>
    <row r="113" spans="1:30" x14ac:dyDescent="0.3">
      <c r="A113" s="6">
        <v>44735</v>
      </c>
      <c r="B113" s="7">
        <v>0.106677746</v>
      </c>
      <c r="C113" s="7">
        <v>2.9548973999999999E-2</v>
      </c>
      <c r="D113" s="7">
        <v>0.14724253200000001</v>
      </c>
      <c r="E113" s="7">
        <v>5.1605918000000001E-2</v>
      </c>
      <c r="F113" s="7">
        <v>5.4228571000000003E-2</v>
      </c>
      <c r="G113" s="7">
        <v>3.8251779E-2</v>
      </c>
      <c r="H113" s="7">
        <v>2.2645407999999999E-2</v>
      </c>
      <c r="I113" s="7">
        <v>6.1546608000000003E-2</v>
      </c>
      <c r="J113" s="7">
        <v>2.1394922E-2</v>
      </c>
      <c r="K113" s="7">
        <v>2.8894909999999999E-2</v>
      </c>
      <c r="L113" s="7">
        <v>8.384134E-2</v>
      </c>
      <c r="M113" s="7">
        <v>5.7498845E-2</v>
      </c>
      <c r="N113" s="7">
        <v>8.3740031000000006E-2</v>
      </c>
      <c r="O113" s="7">
        <v>3.0994995000000001E-2</v>
      </c>
      <c r="P113" s="7">
        <v>8.5217902999999998E-2</v>
      </c>
      <c r="Q113" s="7">
        <v>7.0084555000000007E-2</v>
      </c>
      <c r="R113" s="7">
        <v>8.5930171999999999E-2</v>
      </c>
      <c r="S113" s="7">
        <v>4.2191039E-2</v>
      </c>
      <c r="T113" s="7">
        <v>0.13853230699999999</v>
      </c>
      <c r="U113" s="7">
        <v>5.7694969999999998E-2</v>
      </c>
      <c r="V113" s="7">
        <v>-0.86299035964047288</v>
      </c>
      <c r="W113" s="7">
        <v>0.20952360368470679</v>
      </c>
      <c r="X113" s="7">
        <v>0.14527310169200125</v>
      </c>
      <c r="AB113" s="4">
        <v>0</v>
      </c>
      <c r="AC113" s="4">
        <v>1</v>
      </c>
      <c r="AD113" s="4">
        <v>1</v>
      </c>
    </row>
    <row r="114" spans="1:30" x14ac:dyDescent="0.3">
      <c r="A114" s="6">
        <v>44736</v>
      </c>
      <c r="B114" s="7">
        <v>0.110011041</v>
      </c>
      <c r="C114" s="7">
        <v>9.6292047000000006E-2</v>
      </c>
      <c r="D114" s="7">
        <v>0.13569436900000001</v>
      </c>
      <c r="E114" s="7">
        <v>3.9049236000000001E-2</v>
      </c>
      <c r="F114" s="7">
        <v>0.106677746</v>
      </c>
      <c r="G114" s="7">
        <v>2.9548973999999999E-2</v>
      </c>
      <c r="H114" s="7">
        <v>0.14724253200000001</v>
      </c>
      <c r="I114" s="7">
        <v>5.1605918000000001E-2</v>
      </c>
      <c r="J114" s="7">
        <v>5.4228571000000003E-2</v>
      </c>
      <c r="K114" s="7">
        <v>3.8251779E-2</v>
      </c>
      <c r="L114" s="7">
        <v>2.2645407999999999E-2</v>
      </c>
      <c r="M114" s="7">
        <v>6.1546608000000003E-2</v>
      </c>
      <c r="N114" s="7">
        <v>2.1394922E-2</v>
      </c>
      <c r="O114" s="7">
        <v>2.8894909999999999E-2</v>
      </c>
      <c r="P114" s="7">
        <v>8.384134E-2</v>
      </c>
      <c r="Q114" s="7">
        <v>5.7498845E-2</v>
      </c>
      <c r="R114" s="7">
        <v>8.3740031000000006E-2</v>
      </c>
      <c r="S114" s="7">
        <v>3.0994995000000001E-2</v>
      </c>
      <c r="T114" s="7">
        <v>8.5217902999999998E-2</v>
      </c>
      <c r="U114" s="7">
        <v>7.0084555000000007E-2</v>
      </c>
      <c r="V114" s="7">
        <v>-0.64623870273365092</v>
      </c>
      <c r="W114" s="7">
        <v>0.21083452430268584</v>
      </c>
      <c r="X114" s="7">
        <v>0.14751261768042165</v>
      </c>
      <c r="AB114" s="4">
        <v>0</v>
      </c>
      <c r="AC114" s="4">
        <v>1</v>
      </c>
      <c r="AD114" s="4">
        <v>1</v>
      </c>
    </row>
    <row r="115" spans="1:30" x14ac:dyDescent="0.3">
      <c r="A115" s="6">
        <v>44739</v>
      </c>
      <c r="B115" s="7">
        <v>6.0035837000000002E-2</v>
      </c>
      <c r="C115" s="7">
        <v>3.0159736999999999E-2</v>
      </c>
      <c r="D115" s="7">
        <v>0.102301873</v>
      </c>
      <c r="E115" s="7">
        <v>4.7156069000000002E-2</v>
      </c>
      <c r="F115" s="7">
        <v>0.110011041</v>
      </c>
      <c r="G115" s="7">
        <v>9.6292047000000006E-2</v>
      </c>
      <c r="H115" s="7">
        <v>0.13569436900000001</v>
      </c>
      <c r="I115" s="7">
        <v>3.9049236000000001E-2</v>
      </c>
      <c r="J115" s="7">
        <v>0.106677746</v>
      </c>
      <c r="K115" s="7">
        <v>2.9548973999999999E-2</v>
      </c>
      <c r="L115" s="7">
        <v>0.14724253200000001</v>
      </c>
      <c r="M115" s="7">
        <v>5.1605918000000001E-2</v>
      </c>
      <c r="N115" s="7">
        <v>5.4228571000000003E-2</v>
      </c>
      <c r="O115" s="7">
        <v>3.8251779E-2</v>
      </c>
      <c r="P115" s="7">
        <v>2.2645407999999999E-2</v>
      </c>
      <c r="Q115" s="7">
        <v>6.1546608000000003E-2</v>
      </c>
      <c r="R115" s="7">
        <v>2.1394922E-2</v>
      </c>
      <c r="S115" s="7">
        <v>2.8894909999999999E-2</v>
      </c>
      <c r="T115" s="7">
        <v>8.384134E-2</v>
      </c>
      <c r="U115" s="7">
        <v>5.7498845E-2</v>
      </c>
      <c r="V115" s="7">
        <v>-0.64623870273365092</v>
      </c>
      <c r="W115" s="7">
        <v>0.2123608496692776</v>
      </c>
      <c r="X115" s="7">
        <v>0.14890302497470226</v>
      </c>
      <c r="AB115" s="4">
        <v>0</v>
      </c>
      <c r="AC115" s="4">
        <v>1</v>
      </c>
      <c r="AD115" s="4">
        <v>1</v>
      </c>
    </row>
    <row r="116" spans="1:30" x14ac:dyDescent="0.3">
      <c r="A116" s="6">
        <v>44740</v>
      </c>
      <c r="B116" s="7">
        <v>6.2677735999999998E-2</v>
      </c>
      <c r="C116" s="7">
        <v>8.6244817000000001E-2</v>
      </c>
      <c r="D116" s="7">
        <v>7.4486119000000003E-2</v>
      </c>
      <c r="E116" s="7">
        <v>3.7851053000000003E-2</v>
      </c>
      <c r="F116" s="7">
        <v>6.0035837000000002E-2</v>
      </c>
      <c r="G116" s="7">
        <v>3.0159736999999999E-2</v>
      </c>
      <c r="H116" s="7">
        <v>0.102301873</v>
      </c>
      <c r="I116" s="7">
        <v>4.7156069000000002E-2</v>
      </c>
      <c r="J116" s="7">
        <v>0.110011041</v>
      </c>
      <c r="K116" s="7">
        <v>9.6292047000000006E-2</v>
      </c>
      <c r="L116" s="7">
        <v>0.13569436900000001</v>
      </c>
      <c r="M116" s="7">
        <v>3.9049236000000001E-2</v>
      </c>
      <c r="N116" s="7">
        <v>0.106677746</v>
      </c>
      <c r="O116" s="7">
        <v>2.9548973999999999E-2</v>
      </c>
      <c r="P116" s="7">
        <v>0.14724253200000001</v>
      </c>
      <c r="Q116" s="7">
        <v>5.1605918000000001E-2</v>
      </c>
      <c r="R116" s="7">
        <v>5.4228571000000003E-2</v>
      </c>
      <c r="S116" s="7">
        <v>3.8251779E-2</v>
      </c>
      <c r="T116" s="7">
        <v>2.2645407999999999E-2</v>
      </c>
      <c r="U116" s="7">
        <v>6.1546608000000003E-2</v>
      </c>
      <c r="V116" s="7">
        <v>-0.86299035964047288</v>
      </c>
      <c r="W116" s="7">
        <v>0.21049189724886636</v>
      </c>
      <c r="X116" s="7">
        <v>0.14618042247935772</v>
      </c>
      <c r="AB116" s="4">
        <v>0</v>
      </c>
      <c r="AC116" s="4">
        <v>1</v>
      </c>
      <c r="AD116" s="4">
        <v>1</v>
      </c>
    </row>
    <row r="117" spans="1:30" x14ac:dyDescent="0.3">
      <c r="A117" s="6">
        <v>44741</v>
      </c>
      <c r="B117" s="7">
        <v>4.5281283999999998E-2</v>
      </c>
      <c r="C117" s="7">
        <v>4.0023857000000003E-2</v>
      </c>
      <c r="D117" s="7">
        <v>2.7163894000000001E-2</v>
      </c>
      <c r="E117" s="7">
        <v>4.5485602E-2</v>
      </c>
      <c r="F117" s="7">
        <v>6.2677735999999998E-2</v>
      </c>
      <c r="G117" s="7">
        <v>8.6244817000000001E-2</v>
      </c>
      <c r="H117" s="7">
        <v>7.4486119000000003E-2</v>
      </c>
      <c r="I117" s="7">
        <v>3.7851053000000003E-2</v>
      </c>
      <c r="J117" s="7">
        <v>6.0035837000000002E-2</v>
      </c>
      <c r="K117" s="7">
        <v>3.0159736999999999E-2</v>
      </c>
      <c r="L117" s="7">
        <v>0.102301873</v>
      </c>
      <c r="M117" s="7">
        <v>4.7156069000000002E-2</v>
      </c>
      <c r="N117" s="7">
        <v>0.110011041</v>
      </c>
      <c r="O117" s="7">
        <v>9.6292047000000006E-2</v>
      </c>
      <c r="P117" s="7">
        <v>0.13569436900000001</v>
      </c>
      <c r="Q117" s="7">
        <v>3.9049236000000001E-2</v>
      </c>
      <c r="R117" s="7">
        <v>0.106677746</v>
      </c>
      <c r="S117" s="7">
        <v>2.9548973999999999E-2</v>
      </c>
      <c r="T117" s="7">
        <v>0.14724253200000001</v>
      </c>
      <c r="U117" s="7">
        <v>5.1605918000000001E-2</v>
      </c>
      <c r="V117" s="7">
        <v>-0.91700746316671533</v>
      </c>
      <c r="W117" s="7">
        <v>0.21230539155616929</v>
      </c>
      <c r="X117" s="7">
        <v>0.14681566585153341</v>
      </c>
      <c r="AB117" s="4">
        <v>0</v>
      </c>
      <c r="AC117" s="4">
        <v>1</v>
      </c>
      <c r="AD117" s="4">
        <v>1</v>
      </c>
    </row>
    <row r="118" spans="1:30" x14ac:dyDescent="0.3">
      <c r="A118" s="6">
        <v>44742</v>
      </c>
      <c r="B118" s="7">
        <v>0.14964464199999999</v>
      </c>
      <c r="C118" s="7">
        <v>5.2213845000000002E-2</v>
      </c>
      <c r="D118" s="7">
        <v>0.167625259</v>
      </c>
      <c r="E118" s="7">
        <v>6.0320778999999998E-2</v>
      </c>
      <c r="F118" s="7">
        <v>4.5281283999999998E-2</v>
      </c>
      <c r="G118" s="7">
        <v>4.0023857000000003E-2</v>
      </c>
      <c r="H118" s="7">
        <v>2.7163894000000001E-2</v>
      </c>
      <c r="I118" s="7">
        <v>4.5485602E-2</v>
      </c>
      <c r="J118" s="7">
        <v>6.2677735999999998E-2</v>
      </c>
      <c r="K118" s="7">
        <v>8.6244817000000001E-2</v>
      </c>
      <c r="L118" s="7">
        <v>7.4486119000000003E-2</v>
      </c>
      <c r="M118" s="7">
        <v>3.7851053000000003E-2</v>
      </c>
      <c r="N118" s="7">
        <v>6.0035837000000002E-2</v>
      </c>
      <c r="O118" s="7">
        <v>3.0159736999999999E-2</v>
      </c>
      <c r="P118" s="7">
        <v>0.102301873</v>
      </c>
      <c r="Q118" s="7">
        <v>4.7156069000000002E-2</v>
      </c>
      <c r="R118" s="7">
        <v>0.110011041</v>
      </c>
      <c r="S118" s="7">
        <v>9.6292047000000006E-2</v>
      </c>
      <c r="T118" s="7">
        <v>0.13569436900000001</v>
      </c>
      <c r="U118" s="7">
        <v>3.9049236000000001E-2</v>
      </c>
      <c r="V118" s="7">
        <v>-0.91700746316671533</v>
      </c>
      <c r="W118" s="7">
        <v>0.2214802281523551</v>
      </c>
      <c r="X118" s="7">
        <v>0.15534476857674659</v>
      </c>
      <c r="AB118" s="4">
        <v>0</v>
      </c>
      <c r="AC118" s="4">
        <v>1</v>
      </c>
      <c r="AD118" s="4">
        <v>1</v>
      </c>
    </row>
    <row r="119" spans="1:30" x14ac:dyDescent="0.3">
      <c r="A119" s="6">
        <v>44743</v>
      </c>
      <c r="B119" s="7">
        <v>0.17547716599999999</v>
      </c>
      <c r="C119" s="7">
        <v>5.7731315999999998E-2</v>
      </c>
      <c r="D119" s="7">
        <v>0.14632535999999999</v>
      </c>
      <c r="E119" s="7">
        <v>9.7861180000000006E-2</v>
      </c>
      <c r="F119" s="7">
        <v>0.14964464199999999</v>
      </c>
      <c r="G119" s="7">
        <v>5.2213845000000002E-2</v>
      </c>
      <c r="H119" s="7">
        <v>0.167625259</v>
      </c>
      <c r="I119" s="7">
        <v>6.0320778999999998E-2</v>
      </c>
      <c r="J119" s="7">
        <v>4.5281283999999998E-2</v>
      </c>
      <c r="K119" s="7">
        <v>4.0023857000000003E-2</v>
      </c>
      <c r="L119" s="7">
        <v>2.7163894000000001E-2</v>
      </c>
      <c r="M119" s="7">
        <v>4.5485602E-2</v>
      </c>
      <c r="N119" s="7">
        <v>6.2677735999999998E-2</v>
      </c>
      <c r="O119" s="7">
        <v>8.6244817000000001E-2</v>
      </c>
      <c r="P119" s="7">
        <v>7.4486119000000003E-2</v>
      </c>
      <c r="Q119" s="7">
        <v>3.7851053000000003E-2</v>
      </c>
      <c r="R119" s="7">
        <v>6.0035837000000002E-2</v>
      </c>
      <c r="S119" s="7">
        <v>3.0159736999999999E-2</v>
      </c>
      <c r="T119" s="7">
        <v>0.102301873</v>
      </c>
      <c r="U119" s="7">
        <v>4.7156069000000002E-2</v>
      </c>
      <c r="V119" s="7">
        <v>-1.0871540755961462</v>
      </c>
      <c r="W119" s="7">
        <v>0.23411014722749315</v>
      </c>
      <c r="X119" s="7">
        <v>0.16732657585608843</v>
      </c>
      <c r="AB119" s="4">
        <v>0</v>
      </c>
      <c r="AC119" s="4">
        <v>0</v>
      </c>
      <c r="AD119" s="4">
        <v>0</v>
      </c>
    </row>
    <row r="120" spans="1:30" x14ac:dyDescent="0.3">
      <c r="A120" s="6">
        <v>44746</v>
      </c>
      <c r="B120" s="7">
        <v>0.15238222600000001</v>
      </c>
      <c r="C120" s="7">
        <v>6.9303451000000002E-2</v>
      </c>
      <c r="D120" s="7">
        <v>0.15214356800000001</v>
      </c>
      <c r="E120" s="7">
        <v>6.7037666999999995E-2</v>
      </c>
      <c r="F120" s="7">
        <v>0.17547716599999999</v>
      </c>
      <c r="G120" s="7">
        <v>5.7731315999999998E-2</v>
      </c>
      <c r="H120" s="7">
        <v>0.14632535999999999</v>
      </c>
      <c r="I120" s="7">
        <v>9.7861180000000006E-2</v>
      </c>
      <c r="J120" s="7">
        <v>0.14964464199999999</v>
      </c>
      <c r="K120" s="7">
        <v>5.2213845000000002E-2</v>
      </c>
      <c r="L120" s="7">
        <v>0.167625259</v>
      </c>
      <c r="M120" s="7">
        <v>6.0320778999999998E-2</v>
      </c>
      <c r="N120" s="7">
        <v>4.5281283999999998E-2</v>
      </c>
      <c r="O120" s="7">
        <v>4.0023857000000003E-2</v>
      </c>
      <c r="P120" s="7">
        <v>2.7163894000000001E-2</v>
      </c>
      <c r="Q120" s="7">
        <v>4.5485602E-2</v>
      </c>
      <c r="R120" s="7">
        <v>6.2677735999999998E-2</v>
      </c>
      <c r="S120" s="7">
        <v>8.6244817000000001E-2</v>
      </c>
      <c r="T120" s="7">
        <v>7.4486119000000003E-2</v>
      </c>
      <c r="U120" s="7">
        <v>3.7851053000000003E-2</v>
      </c>
      <c r="V120" s="7">
        <v>-1.0759349572387391</v>
      </c>
      <c r="W120" s="7">
        <v>0.2302942148454481</v>
      </c>
      <c r="X120" s="7">
        <v>0.1647180604408571</v>
      </c>
      <c r="AB120" s="4">
        <v>0</v>
      </c>
      <c r="AC120" s="4">
        <v>0</v>
      </c>
      <c r="AD120" s="4">
        <v>0</v>
      </c>
    </row>
    <row r="121" spans="1:30" x14ac:dyDescent="0.3">
      <c r="A121" s="6">
        <v>44747</v>
      </c>
      <c r="B121" s="7">
        <v>8.1854398999999994E-2</v>
      </c>
      <c r="C121" s="7">
        <v>6.4864100999999993E-2</v>
      </c>
      <c r="D121" s="7">
        <v>0.135253401</v>
      </c>
      <c r="E121" s="7">
        <v>8.5312151000000003E-2</v>
      </c>
      <c r="F121" s="7">
        <v>0.15238222600000001</v>
      </c>
      <c r="G121" s="7">
        <v>6.9303451000000002E-2</v>
      </c>
      <c r="H121" s="7">
        <v>0.15214356800000001</v>
      </c>
      <c r="I121" s="7">
        <v>6.7037666999999995E-2</v>
      </c>
      <c r="J121" s="7">
        <v>0.17547716599999999</v>
      </c>
      <c r="K121" s="7">
        <v>5.7731315999999998E-2</v>
      </c>
      <c r="L121" s="7">
        <v>0.14632535999999999</v>
      </c>
      <c r="M121" s="7">
        <v>9.7861180000000006E-2</v>
      </c>
      <c r="N121" s="7">
        <v>0.14964464199999999</v>
      </c>
      <c r="O121" s="7">
        <v>5.2213845000000002E-2</v>
      </c>
      <c r="P121" s="7">
        <v>0.167625259</v>
      </c>
      <c r="Q121" s="7">
        <v>6.0320778999999998E-2</v>
      </c>
      <c r="R121" s="7">
        <v>4.5281283999999998E-2</v>
      </c>
      <c r="S121" s="7">
        <v>4.0023857000000003E-2</v>
      </c>
      <c r="T121" s="7">
        <v>2.7163894000000001E-2</v>
      </c>
      <c r="U121" s="7">
        <v>4.5485602E-2</v>
      </c>
      <c r="V121" s="7">
        <v>-1.0759349572387391</v>
      </c>
      <c r="W121" s="7">
        <v>0.23115022819418596</v>
      </c>
      <c r="X121" s="7">
        <v>0.16527351535328794</v>
      </c>
      <c r="AB121" s="4">
        <v>0</v>
      </c>
      <c r="AC121" s="4">
        <v>1</v>
      </c>
      <c r="AD121" s="4">
        <v>1</v>
      </c>
    </row>
    <row r="122" spans="1:30" x14ac:dyDescent="0.3">
      <c r="A122" s="6">
        <v>44748</v>
      </c>
      <c r="B122" s="7">
        <v>0.108909943</v>
      </c>
      <c r="C122" s="7">
        <v>7.2310352999999994E-2</v>
      </c>
      <c r="D122" s="7">
        <v>3.6739541000000001E-2</v>
      </c>
      <c r="E122" s="7">
        <v>8.7850700000000004E-2</v>
      </c>
      <c r="F122" s="7">
        <v>8.1854398999999994E-2</v>
      </c>
      <c r="G122" s="7">
        <v>6.4864100999999993E-2</v>
      </c>
      <c r="H122" s="7">
        <v>0.135253401</v>
      </c>
      <c r="I122" s="7">
        <v>8.5312151000000003E-2</v>
      </c>
      <c r="J122" s="7">
        <v>0.15238222600000001</v>
      </c>
      <c r="K122" s="7">
        <v>6.9303451000000002E-2</v>
      </c>
      <c r="L122" s="7">
        <v>0.15214356800000001</v>
      </c>
      <c r="M122" s="7">
        <v>6.7037666999999995E-2</v>
      </c>
      <c r="N122" s="7">
        <v>0.17547716599999999</v>
      </c>
      <c r="O122" s="7">
        <v>5.7731315999999998E-2</v>
      </c>
      <c r="P122" s="7">
        <v>0.14632535999999999</v>
      </c>
      <c r="Q122" s="7">
        <v>9.7861180000000006E-2</v>
      </c>
      <c r="R122" s="7">
        <v>0.14964464199999999</v>
      </c>
      <c r="S122" s="7">
        <v>5.2213845000000002E-2</v>
      </c>
      <c r="T122" s="7">
        <v>0.167625259</v>
      </c>
      <c r="U122" s="7">
        <v>6.0320778999999998E-2</v>
      </c>
      <c r="V122" s="7">
        <v>-1.0759349572387391</v>
      </c>
      <c r="W122" s="7">
        <v>0.23774859802810522</v>
      </c>
      <c r="X122" s="7">
        <v>0.17115445967514659</v>
      </c>
      <c r="Y122" s="7">
        <v>-0.51735787328450578</v>
      </c>
      <c r="Z122" s="7">
        <v>0.21889420289306194</v>
      </c>
      <c r="AA122" s="7">
        <v>0.15863615785460189</v>
      </c>
      <c r="AB122" s="4">
        <v>1</v>
      </c>
      <c r="AC122" s="4">
        <v>0</v>
      </c>
      <c r="AD122" s="4">
        <v>1</v>
      </c>
    </row>
    <row r="123" spans="1:30" x14ac:dyDescent="0.3">
      <c r="A123" s="6">
        <v>44749</v>
      </c>
      <c r="B123" s="7">
        <v>0.14715650899999999</v>
      </c>
      <c r="C123" s="7">
        <v>6.9285856000000007E-2</v>
      </c>
      <c r="D123" s="7">
        <v>0.275493233</v>
      </c>
      <c r="E123" s="7">
        <v>8.2749285000000006E-2</v>
      </c>
      <c r="F123" s="7">
        <v>0.108909943</v>
      </c>
      <c r="G123" s="7">
        <v>7.2310352999999994E-2</v>
      </c>
      <c r="H123" s="7">
        <v>3.6739541000000001E-2</v>
      </c>
      <c r="I123" s="7">
        <v>8.7850700000000004E-2</v>
      </c>
      <c r="J123" s="7">
        <v>8.1854398999999994E-2</v>
      </c>
      <c r="K123" s="7">
        <v>6.4864100999999993E-2</v>
      </c>
      <c r="L123" s="7">
        <v>0.135253401</v>
      </c>
      <c r="M123" s="7">
        <v>8.5312151000000003E-2</v>
      </c>
      <c r="N123" s="7">
        <v>0.15238222600000001</v>
      </c>
      <c r="O123" s="7">
        <v>6.9303451000000002E-2</v>
      </c>
      <c r="P123" s="7">
        <v>0.15214356800000001</v>
      </c>
      <c r="Q123" s="7">
        <v>6.7037666999999995E-2</v>
      </c>
      <c r="R123" s="7">
        <v>0.17547716599999999</v>
      </c>
      <c r="S123" s="7">
        <v>5.7731315999999998E-2</v>
      </c>
      <c r="T123" s="7">
        <v>0.14632535999999999</v>
      </c>
      <c r="U123" s="7">
        <v>9.7861180000000006E-2</v>
      </c>
      <c r="V123" s="7">
        <v>-0.91477838267375067</v>
      </c>
      <c r="W123" s="7">
        <v>0.24730774548177084</v>
      </c>
      <c r="X123" s="7">
        <v>0.17619250990992261</v>
      </c>
      <c r="Y123" s="7">
        <v>-0.51735787328450578</v>
      </c>
      <c r="Z123" s="7">
        <v>0.22210154429985055</v>
      </c>
      <c r="AA123" s="7">
        <v>0.15956150891260287</v>
      </c>
      <c r="AB123" s="4">
        <v>0</v>
      </c>
      <c r="AC123" s="4">
        <v>0</v>
      </c>
      <c r="AD123" s="4">
        <v>0</v>
      </c>
    </row>
    <row r="124" spans="1:30" x14ac:dyDescent="0.3">
      <c r="A124" s="6">
        <v>44750</v>
      </c>
      <c r="B124" s="7">
        <v>0.14815835299999999</v>
      </c>
      <c r="C124" s="7">
        <v>6.2405374999999999E-2</v>
      </c>
      <c r="D124" s="7">
        <v>0.21510679999999999</v>
      </c>
      <c r="E124" s="7">
        <v>6.3835087999999998E-2</v>
      </c>
      <c r="F124" s="7">
        <v>0.14715650899999999</v>
      </c>
      <c r="G124" s="7">
        <v>6.9285856000000007E-2</v>
      </c>
      <c r="H124" s="7">
        <v>0.275493233</v>
      </c>
      <c r="I124" s="7">
        <v>8.2749285000000006E-2</v>
      </c>
      <c r="J124" s="7">
        <v>0.108909943</v>
      </c>
      <c r="K124" s="7">
        <v>7.2310352999999994E-2</v>
      </c>
      <c r="L124" s="7">
        <v>3.6739541000000001E-2</v>
      </c>
      <c r="M124" s="7">
        <v>8.7850700000000004E-2</v>
      </c>
      <c r="N124" s="7">
        <v>8.1854398999999994E-2</v>
      </c>
      <c r="O124" s="7">
        <v>6.4864100999999993E-2</v>
      </c>
      <c r="P124" s="7">
        <v>0.135253401</v>
      </c>
      <c r="Q124" s="7">
        <v>8.5312151000000003E-2</v>
      </c>
      <c r="R124" s="7">
        <v>0.15238222600000001</v>
      </c>
      <c r="S124" s="7">
        <v>6.9303451000000002E-2</v>
      </c>
      <c r="T124" s="7">
        <v>0.15214356800000001</v>
      </c>
      <c r="U124" s="7">
        <v>6.7037666999999995E-2</v>
      </c>
      <c r="V124" s="7">
        <v>-0.91477838267375067</v>
      </c>
      <c r="W124" s="7">
        <v>0.24359704327045353</v>
      </c>
      <c r="X124" s="7">
        <v>0.17453024278999896</v>
      </c>
      <c r="Y124" s="7">
        <v>-0.48536083643826455</v>
      </c>
      <c r="Z124" s="7">
        <v>0.22288995294121128</v>
      </c>
      <c r="AA124" s="7">
        <v>0.16044455081151032</v>
      </c>
      <c r="AB124" s="4">
        <v>0</v>
      </c>
      <c r="AC124" s="4">
        <v>0</v>
      </c>
      <c r="AD124" s="4">
        <v>0</v>
      </c>
    </row>
    <row r="125" spans="1:30" x14ac:dyDescent="0.3">
      <c r="A125" s="6">
        <v>44753</v>
      </c>
      <c r="B125" s="7">
        <v>0.16218798800000001</v>
      </c>
      <c r="C125" s="7">
        <v>6.9920890999999999E-2</v>
      </c>
      <c r="D125" s="7">
        <v>0.17317661600000001</v>
      </c>
      <c r="E125" s="7">
        <v>8.7581468999999995E-2</v>
      </c>
      <c r="F125" s="7">
        <v>0.14815835299999999</v>
      </c>
      <c r="G125" s="7">
        <v>6.2405374999999999E-2</v>
      </c>
      <c r="H125" s="7">
        <v>0.21510679999999999</v>
      </c>
      <c r="I125" s="7">
        <v>6.3835087999999998E-2</v>
      </c>
      <c r="J125" s="7">
        <v>0.14715650899999999</v>
      </c>
      <c r="K125" s="7">
        <v>6.9285856000000007E-2</v>
      </c>
      <c r="L125" s="7">
        <v>0.275493233</v>
      </c>
      <c r="M125" s="7">
        <v>8.2749285000000006E-2</v>
      </c>
      <c r="N125" s="7">
        <v>0.108909943</v>
      </c>
      <c r="O125" s="7">
        <v>7.2310352999999994E-2</v>
      </c>
      <c r="P125" s="7">
        <v>3.6739541000000001E-2</v>
      </c>
      <c r="Q125" s="7">
        <v>8.7850700000000004E-2</v>
      </c>
      <c r="R125" s="7">
        <v>8.1854398999999994E-2</v>
      </c>
      <c r="S125" s="7">
        <v>6.4864100999999993E-2</v>
      </c>
      <c r="T125" s="7">
        <v>0.135253401</v>
      </c>
      <c r="U125" s="7">
        <v>8.5312151000000003E-2</v>
      </c>
      <c r="V125" s="7">
        <v>-0.90167924230380969</v>
      </c>
      <c r="W125" s="7">
        <v>0.24366536439910358</v>
      </c>
      <c r="X125" s="7">
        <v>0.17431265860777367</v>
      </c>
      <c r="Y125" s="7">
        <v>-0.48536083643826455</v>
      </c>
      <c r="Z125" s="7">
        <v>0.22275945639837236</v>
      </c>
      <c r="AA125" s="7">
        <v>0.16045231632575971</v>
      </c>
      <c r="AB125" s="4">
        <v>1</v>
      </c>
      <c r="AC125" s="4">
        <v>0</v>
      </c>
      <c r="AD125" s="4">
        <v>1</v>
      </c>
    </row>
    <row r="126" spans="1:30" x14ac:dyDescent="0.3">
      <c r="A126" s="6">
        <v>44754</v>
      </c>
      <c r="B126" s="7">
        <v>0.16672706200000001</v>
      </c>
      <c r="C126" s="7">
        <v>8.0836406E-2</v>
      </c>
      <c r="D126" s="7">
        <v>0.11704115599999999</v>
      </c>
      <c r="E126" s="7">
        <v>0.101579218</v>
      </c>
      <c r="F126" s="7">
        <v>0.16218798800000001</v>
      </c>
      <c r="G126" s="7">
        <v>6.9920890999999999E-2</v>
      </c>
      <c r="H126" s="7">
        <v>0.17317661600000001</v>
      </c>
      <c r="I126" s="7">
        <v>8.7581468999999995E-2</v>
      </c>
      <c r="J126" s="7">
        <v>0.14815835299999999</v>
      </c>
      <c r="K126" s="7">
        <v>6.2405374999999999E-2</v>
      </c>
      <c r="L126" s="7">
        <v>0.21510679999999999</v>
      </c>
      <c r="M126" s="7">
        <v>6.3835087999999998E-2</v>
      </c>
      <c r="N126" s="7">
        <v>0.14715650899999999</v>
      </c>
      <c r="O126" s="7">
        <v>6.9285856000000007E-2</v>
      </c>
      <c r="P126" s="7">
        <v>0.275493233</v>
      </c>
      <c r="Q126" s="7">
        <v>8.2749285000000006E-2</v>
      </c>
      <c r="R126" s="7">
        <v>0.108909943</v>
      </c>
      <c r="S126" s="7">
        <v>7.2310352999999994E-2</v>
      </c>
      <c r="T126" s="7">
        <v>3.6739541000000001E-2</v>
      </c>
      <c r="U126" s="7">
        <v>8.7850700000000004E-2</v>
      </c>
      <c r="V126" s="7">
        <v>-0.90167924230380969</v>
      </c>
      <c r="W126" s="7">
        <v>0.24979538704349336</v>
      </c>
      <c r="X126" s="7">
        <v>0.18028757430883463</v>
      </c>
      <c r="Y126" s="7">
        <v>-0.48536083643826455</v>
      </c>
      <c r="Z126" s="7">
        <v>0.22673046608621072</v>
      </c>
      <c r="AA126" s="7">
        <v>0.16447770249570567</v>
      </c>
      <c r="AB126" s="4">
        <v>1</v>
      </c>
      <c r="AC126" s="4">
        <v>0</v>
      </c>
      <c r="AD126" s="4">
        <v>1</v>
      </c>
    </row>
    <row r="127" spans="1:30" x14ac:dyDescent="0.3">
      <c r="A127" s="6">
        <v>44755</v>
      </c>
      <c r="B127" s="7">
        <v>8.8916145000000002E-2</v>
      </c>
      <c r="C127" s="7">
        <v>9.7813398999999995E-2</v>
      </c>
      <c r="D127" s="7">
        <v>0.122687989</v>
      </c>
      <c r="E127" s="7">
        <v>0.119725127</v>
      </c>
      <c r="F127" s="7">
        <v>0.16672706200000001</v>
      </c>
      <c r="G127" s="7">
        <v>8.0836406E-2</v>
      </c>
      <c r="H127" s="7">
        <v>0.11704115599999999</v>
      </c>
      <c r="I127" s="7">
        <v>0.101579218</v>
      </c>
      <c r="J127" s="7">
        <v>0.16218798800000001</v>
      </c>
      <c r="K127" s="7">
        <v>6.9920890999999999E-2</v>
      </c>
      <c r="L127" s="7">
        <v>0.17317661600000001</v>
      </c>
      <c r="M127" s="7">
        <v>8.7581468999999995E-2</v>
      </c>
      <c r="N127" s="7">
        <v>0.14815835299999999</v>
      </c>
      <c r="O127" s="7">
        <v>6.2405374999999999E-2</v>
      </c>
      <c r="P127" s="7">
        <v>0.21510679999999999</v>
      </c>
      <c r="Q127" s="7">
        <v>6.3835087999999998E-2</v>
      </c>
      <c r="R127" s="7">
        <v>0.14715650899999999</v>
      </c>
      <c r="S127" s="7">
        <v>6.9285856000000007E-2</v>
      </c>
      <c r="T127" s="7">
        <v>0.275493233</v>
      </c>
      <c r="U127" s="7">
        <v>8.2749285000000006E-2</v>
      </c>
      <c r="V127" s="7">
        <v>-0.79206705643573394</v>
      </c>
      <c r="W127" s="7">
        <v>0.25998687983791813</v>
      </c>
      <c r="X127" s="7">
        <v>0.185663672609196</v>
      </c>
      <c r="Y127" s="7">
        <v>-0.48536083643826455</v>
      </c>
      <c r="Z127" s="7">
        <v>0.23195419400398676</v>
      </c>
      <c r="AA127" s="7">
        <v>0.16654032650937645</v>
      </c>
      <c r="AB127" s="4">
        <v>1</v>
      </c>
      <c r="AC127" s="4">
        <v>0</v>
      </c>
      <c r="AD127" s="4">
        <v>1</v>
      </c>
    </row>
    <row r="128" spans="1:30" x14ac:dyDescent="0.3">
      <c r="A128" s="6">
        <v>44756</v>
      </c>
      <c r="B128" s="7">
        <v>0.23159475600000001</v>
      </c>
      <c r="C128" s="7">
        <v>0.14824416700000001</v>
      </c>
      <c r="D128" s="7">
        <v>0.32921437999999997</v>
      </c>
      <c r="E128" s="7">
        <v>7.3247060000000003E-2</v>
      </c>
      <c r="F128" s="7">
        <v>8.8916145000000002E-2</v>
      </c>
      <c r="G128" s="7">
        <v>9.7813398999999995E-2</v>
      </c>
      <c r="H128" s="7">
        <v>0.122687989</v>
      </c>
      <c r="I128" s="7">
        <v>0.119725127</v>
      </c>
      <c r="J128" s="7">
        <v>0.16672706200000001</v>
      </c>
      <c r="K128" s="7">
        <v>8.0836406E-2</v>
      </c>
      <c r="L128" s="7">
        <v>0.11704115599999999</v>
      </c>
      <c r="M128" s="7">
        <v>0.101579218</v>
      </c>
      <c r="N128" s="7">
        <v>0.16218798800000001</v>
      </c>
      <c r="O128" s="7">
        <v>6.9920890999999999E-2</v>
      </c>
      <c r="P128" s="7">
        <v>0.17317661600000001</v>
      </c>
      <c r="Q128" s="7">
        <v>8.7581468999999995E-2</v>
      </c>
      <c r="R128" s="7">
        <v>0.14815835299999999</v>
      </c>
      <c r="S128" s="7">
        <v>6.2405374999999999E-2</v>
      </c>
      <c r="T128" s="7">
        <v>0.21510679999999999</v>
      </c>
      <c r="U128" s="7">
        <v>6.3835087999999998E-2</v>
      </c>
      <c r="V128" s="7">
        <v>-0.79206705643573394</v>
      </c>
      <c r="W128" s="7">
        <v>0.26048782781281948</v>
      </c>
      <c r="X128" s="7">
        <v>0.18608683441972504</v>
      </c>
      <c r="Y128" s="7">
        <v>-0.48536083643826455</v>
      </c>
      <c r="Z128" s="7">
        <v>0.23243498902456375</v>
      </c>
      <c r="AA128" s="7">
        <v>0.16698843046679196</v>
      </c>
      <c r="AB128" s="4">
        <v>1</v>
      </c>
      <c r="AC128" s="4">
        <v>0</v>
      </c>
      <c r="AD128" s="4">
        <v>1</v>
      </c>
    </row>
    <row r="129" spans="1:30" x14ac:dyDescent="0.3">
      <c r="A129" s="6">
        <v>44757</v>
      </c>
      <c r="B129" s="7">
        <v>0.18287524599999999</v>
      </c>
      <c r="C129" s="7">
        <v>0.13084517300000001</v>
      </c>
      <c r="D129" s="7">
        <v>0.29957116099999997</v>
      </c>
      <c r="E129" s="7">
        <v>8.2021845999999995E-2</v>
      </c>
      <c r="F129" s="7">
        <v>0.23159475600000001</v>
      </c>
      <c r="G129" s="7">
        <v>0.14824416700000001</v>
      </c>
      <c r="H129" s="7">
        <v>0.32921437999999997</v>
      </c>
      <c r="I129" s="7">
        <v>7.3247060000000003E-2</v>
      </c>
      <c r="J129" s="7">
        <v>8.8916145000000002E-2</v>
      </c>
      <c r="K129" s="7">
        <v>9.7813398999999995E-2</v>
      </c>
      <c r="L129" s="7">
        <v>0.122687989</v>
      </c>
      <c r="M129" s="7">
        <v>0.119725127</v>
      </c>
      <c r="N129" s="7">
        <v>0.16672706200000001</v>
      </c>
      <c r="O129" s="7">
        <v>8.0836406E-2</v>
      </c>
      <c r="P129" s="7">
        <v>0.11704115599999999</v>
      </c>
      <c r="Q129" s="7">
        <v>0.101579218</v>
      </c>
      <c r="R129" s="7">
        <v>0.16218798800000001</v>
      </c>
      <c r="S129" s="7">
        <v>6.9920890999999999E-2</v>
      </c>
      <c r="T129" s="7">
        <v>0.17317661600000001</v>
      </c>
      <c r="U129" s="7">
        <v>8.7581468999999995E-2</v>
      </c>
      <c r="V129" s="7">
        <v>-0.79206705643573394</v>
      </c>
      <c r="W129" s="7">
        <v>0.26013907525591279</v>
      </c>
      <c r="X129" s="7">
        <v>0.18583803815600505</v>
      </c>
      <c r="Y129" s="7">
        <v>-0.48536083643826455</v>
      </c>
      <c r="Z129" s="7">
        <v>0.23274362366794968</v>
      </c>
      <c r="AA129" s="7">
        <v>0.16724334132514929</v>
      </c>
      <c r="AB129" s="4">
        <v>1</v>
      </c>
      <c r="AC129" s="4">
        <v>0</v>
      </c>
      <c r="AD129" s="4">
        <v>1</v>
      </c>
    </row>
    <row r="130" spans="1:30" x14ac:dyDescent="0.3">
      <c r="A130" s="6">
        <v>44760</v>
      </c>
      <c r="B130" s="7">
        <v>0.17104857000000001</v>
      </c>
      <c r="C130" s="7">
        <v>0.17839133800000001</v>
      </c>
      <c r="D130" s="7">
        <v>0.38192219700000002</v>
      </c>
      <c r="E130" s="7">
        <v>0.15791609000000001</v>
      </c>
      <c r="F130" s="7">
        <v>0.18287524599999999</v>
      </c>
      <c r="G130" s="7">
        <v>0.13084517300000001</v>
      </c>
      <c r="H130" s="7">
        <v>0.29957116099999997</v>
      </c>
      <c r="I130" s="7">
        <v>8.2021845999999995E-2</v>
      </c>
      <c r="J130" s="7">
        <v>0.23159475600000001</v>
      </c>
      <c r="K130" s="7">
        <v>0.14824416700000001</v>
      </c>
      <c r="L130" s="7">
        <v>0.32921437999999997</v>
      </c>
      <c r="M130" s="7">
        <v>7.3247060000000003E-2</v>
      </c>
      <c r="N130" s="7">
        <v>8.8916145000000002E-2</v>
      </c>
      <c r="O130" s="7">
        <v>9.7813398999999995E-2</v>
      </c>
      <c r="P130" s="7">
        <v>0.122687989</v>
      </c>
      <c r="Q130" s="7">
        <v>0.119725127</v>
      </c>
      <c r="R130" s="7">
        <v>0.16672706200000001</v>
      </c>
      <c r="S130" s="7">
        <v>8.0836406E-2</v>
      </c>
      <c r="T130" s="7">
        <v>0.11704115599999999</v>
      </c>
      <c r="U130" s="7">
        <v>0.101579218</v>
      </c>
      <c r="V130" s="7">
        <v>-0.79206705643573394</v>
      </c>
      <c r="W130" s="7">
        <v>0.26106229445744722</v>
      </c>
      <c r="X130" s="7">
        <v>0.18726940831006017</v>
      </c>
      <c r="Y130" s="7">
        <v>-0.48536083643826455</v>
      </c>
      <c r="Z130" s="7">
        <v>0.23303235603611502</v>
      </c>
      <c r="AA130" s="7">
        <v>0.16752827699094791</v>
      </c>
      <c r="AB130" s="4">
        <v>0</v>
      </c>
      <c r="AC130" s="4">
        <v>0</v>
      </c>
      <c r="AD130" s="4">
        <v>0</v>
      </c>
    </row>
    <row r="131" spans="1:30" x14ac:dyDescent="0.3">
      <c r="A131" s="6">
        <v>44761</v>
      </c>
      <c r="B131" s="7">
        <v>0.206631808</v>
      </c>
      <c r="C131" s="7">
        <v>0.16900774499999999</v>
      </c>
      <c r="D131" s="7">
        <v>0.346829153</v>
      </c>
      <c r="E131" s="7">
        <v>0.26377497500000002</v>
      </c>
      <c r="F131" s="7">
        <v>0.17104857000000001</v>
      </c>
      <c r="G131" s="7">
        <v>0.17839133800000001</v>
      </c>
      <c r="H131" s="7">
        <v>0.38192219700000002</v>
      </c>
      <c r="I131" s="7">
        <v>0.15791609000000001</v>
      </c>
      <c r="J131" s="7">
        <v>0.18287524599999999</v>
      </c>
      <c r="K131" s="7">
        <v>0.13084517300000001</v>
      </c>
      <c r="L131" s="7">
        <v>0.29957116099999997</v>
      </c>
      <c r="M131" s="7">
        <v>8.2021845999999995E-2</v>
      </c>
      <c r="N131" s="7">
        <v>0.23159475600000001</v>
      </c>
      <c r="O131" s="7">
        <v>0.14824416700000001</v>
      </c>
      <c r="P131" s="7">
        <v>0.32921437999999997</v>
      </c>
      <c r="Q131" s="7">
        <v>7.3247060000000003E-2</v>
      </c>
      <c r="R131" s="7">
        <v>8.8916145000000002E-2</v>
      </c>
      <c r="S131" s="7">
        <v>9.7813398999999995E-2</v>
      </c>
      <c r="T131" s="7">
        <v>0.122687989</v>
      </c>
      <c r="U131" s="7">
        <v>0.119725127</v>
      </c>
      <c r="V131" s="7">
        <v>-0.58548651920439221</v>
      </c>
      <c r="W131" s="7">
        <v>0.26088188755833275</v>
      </c>
      <c r="X131" s="7">
        <v>0.18779656412609785</v>
      </c>
      <c r="Y131" s="7">
        <v>-0.48536083643826455</v>
      </c>
      <c r="Z131" s="7">
        <v>0.23303212117465713</v>
      </c>
      <c r="AA131" s="7">
        <v>0.16753533819434288</v>
      </c>
      <c r="AB131" s="4">
        <v>0</v>
      </c>
      <c r="AC131" s="4">
        <v>0</v>
      </c>
      <c r="AD131" s="4">
        <v>0</v>
      </c>
    </row>
    <row r="132" spans="1:30" x14ac:dyDescent="0.3">
      <c r="A132" s="6">
        <v>44762</v>
      </c>
      <c r="B132" s="7">
        <v>5.3753038000000003E-2</v>
      </c>
      <c r="C132" s="7">
        <v>5.0025300000000002E-2</v>
      </c>
      <c r="D132" s="7">
        <v>2.9309735E-2</v>
      </c>
      <c r="E132" s="7">
        <v>5.506432E-2</v>
      </c>
      <c r="F132" s="7">
        <v>0.206631808</v>
      </c>
      <c r="G132" s="7">
        <v>0.16900774499999999</v>
      </c>
      <c r="H132" s="7">
        <v>0.346829153</v>
      </c>
      <c r="I132" s="7">
        <v>0.26377497500000002</v>
      </c>
      <c r="J132" s="7">
        <v>0.17104857000000001</v>
      </c>
      <c r="K132" s="7">
        <v>0.17839133800000001</v>
      </c>
      <c r="L132" s="7">
        <v>0.38192219700000002</v>
      </c>
      <c r="M132" s="7">
        <v>0.15791609000000001</v>
      </c>
      <c r="N132" s="7">
        <v>0.18287524599999999</v>
      </c>
      <c r="O132" s="7">
        <v>0.13084517300000001</v>
      </c>
      <c r="P132" s="7">
        <v>0.29957116099999997</v>
      </c>
      <c r="Q132" s="7">
        <v>8.2021845999999995E-2</v>
      </c>
      <c r="R132" s="7">
        <v>0.23159475600000001</v>
      </c>
      <c r="S132" s="7">
        <v>0.14824416700000001</v>
      </c>
      <c r="T132" s="7">
        <v>0.32921437999999997</v>
      </c>
      <c r="U132" s="7">
        <v>7.3247060000000003E-2</v>
      </c>
      <c r="V132" s="7">
        <v>-0.5255354055880731</v>
      </c>
      <c r="W132" s="7">
        <v>0.25943730136562565</v>
      </c>
      <c r="X132" s="7">
        <v>0.18845172026638482</v>
      </c>
      <c r="Y132" s="7">
        <v>-0.48536083643826455</v>
      </c>
      <c r="Z132" s="7">
        <v>0.23295867789091448</v>
      </c>
      <c r="AA132" s="7">
        <v>0.16743607106425099</v>
      </c>
      <c r="AB132" s="4">
        <v>0</v>
      </c>
      <c r="AC132" s="4">
        <v>0</v>
      </c>
      <c r="AD132" s="4">
        <v>0</v>
      </c>
    </row>
    <row r="133" spans="1:30" x14ac:dyDescent="0.3">
      <c r="A133" s="6">
        <v>44763</v>
      </c>
      <c r="B133" s="7">
        <v>5.4638187999999997E-2</v>
      </c>
      <c r="C133" s="7">
        <v>4.2698642000000002E-2</v>
      </c>
      <c r="D133" s="7">
        <v>0.16806902600000001</v>
      </c>
      <c r="E133" s="7">
        <v>8.0930746999999997E-2</v>
      </c>
      <c r="F133" s="7">
        <v>5.3753038000000003E-2</v>
      </c>
      <c r="G133" s="7">
        <v>5.0025300000000002E-2</v>
      </c>
      <c r="H133" s="7">
        <v>2.9309735E-2</v>
      </c>
      <c r="I133" s="7">
        <v>5.506432E-2</v>
      </c>
      <c r="J133" s="7">
        <v>0.206631808</v>
      </c>
      <c r="K133" s="7">
        <v>0.16900774499999999</v>
      </c>
      <c r="L133" s="7">
        <v>0.346829153</v>
      </c>
      <c r="M133" s="7">
        <v>0.26377497500000002</v>
      </c>
      <c r="N133" s="7">
        <v>0.17104857000000001</v>
      </c>
      <c r="O133" s="7">
        <v>0.17839133800000001</v>
      </c>
      <c r="P133" s="7">
        <v>0.38192219700000002</v>
      </c>
      <c r="Q133" s="7">
        <v>0.15791609000000001</v>
      </c>
      <c r="R133" s="7">
        <v>0.18287524599999999</v>
      </c>
      <c r="S133" s="7">
        <v>0.13084517300000001</v>
      </c>
      <c r="T133" s="7">
        <v>0.29957116099999997</v>
      </c>
      <c r="U133" s="7">
        <v>8.2021845999999995E-2</v>
      </c>
      <c r="V133" s="7">
        <v>-0.5255354055880731</v>
      </c>
      <c r="W133" s="7">
        <v>0.26216133294378219</v>
      </c>
      <c r="X133" s="7">
        <v>0.19065335302136194</v>
      </c>
      <c r="Y133" s="7">
        <v>-0.45103122432359005</v>
      </c>
      <c r="Z133" s="7">
        <v>0.23421651413033581</v>
      </c>
      <c r="AA133" s="7">
        <v>0.16891991069091389</v>
      </c>
      <c r="AB133" s="4">
        <v>0</v>
      </c>
      <c r="AC133" s="4">
        <v>0</v>
      </c>
      <c r="AD133" s="4">
        <v>0</v>
      </c>
    </row>
    <row r="134" spans="1:30" x14ac:dyDescent="0.3">
      <c r="A134" s="6">
        <v>44764</v>
      </c>
      <c r="B134" s="7">
        <v>6.3391264000000003E-2</v>
      </c>
      <c r="C134" s="7">
        <v>4.3248659000000002E-2</v>
      </c>
      <c r="D134" s="7">
        <v>0.141802238</v>
      </c>
      <c r="E134" s="7">
        <v>8.3687733E-2</v>
      </c>
      <c r="F134" s="7">
        <v>5.4638187999999997E-2</v>
      </c>
      <c r="G134" s="7">
        <v>4.2698642000000002E-2</v>
      </c>
      <c r="H134" s="7">
        <v>0.16806902600000001</v>
      </c>
      <c r="I134" s="7">
        <v>8.0930746999999997E-2</v>
      </c>
      <c r="J134" s="7">
        <v>5.3753038000000003E-2</v>
      </c>
      <c r="K134" s="7">
        <v>5.0025300000000002E-2</v>
      </c>
      <c r="L134" s="7">
        <v>2.9309735E-2</v>
      </c>
      <c r="M134" s="7">
        <v>5.506432E-2</v>
      </c>
      <c r="N134" s="7">
        <v>0.206631808</v>
      </c>
      <c r="O134" s="7">
        <v>0.16900774499999999</v>
      </c>
      <c r="P134" s="7">
        <v>0.346829153</v>
      </c>
      <c r="Q134" s="7">
        <v>0.26377497500000002</v>
      </c>
      <c r="R134" s="7">
        <v>0.17104857000000001</v>
      </c>
      <c r="S134" s="7">
        <v>0.17839133800000001</v>
      </c>
      <c r="T134" s="7">
        <v>0.38192219700000002</v>
      </c>
      <c r="U134" s="7">
        <v>0.15791609000000001</v>
      </c>
      <c r="V134" s="7">
        <v>-0.21367791224298896</v>
      </c>
      <c r="W134" s="7">
        <v>0.25777803327101567</v>
      </c>
      <c r="X134" s="7">
        <v>0.18848668111259786</v>
      </c>
      <c r="Y134" s="7">
        <v>-0.43700317189416926</v>
      </c>
      <c r="Z134" s="7">
        <v>0.23393511986596049</v>
      </c>
      <c r="AA134" s="7">
        <v>0.16926348957719833</v>
      </c>
      <c r="AB134" s="4">
        <v>0</v>
      </c>
      <c r="AC134" s="4">
        <v>0</v>
      </c>
      <c r="AD134" s="4">
        <v>0</v>
      </c>
    </row>
    <row r="135" spans="1:30" x14ac:dyDescent="0.3">
      <c r="A135" s="6">
        <v>44767</v>
      </c>
      <c r="B135" s="7">
        <v>5.1835416000000002E-2</v>
      </c>
      <c r="C135" s="7">
        <v>2.8850939999999999E-2</v>
      </c>
      <c r="D135" s="7">
        <v>0.112797308</v>
      </c>
      <c r="E135" s="7">
        <v>7.6320131999999999E-2</v>
      </c>
      <c r="F135" s="7">
        <v>6.3391264000000003E-2</v>
      </c>
      <c r="G135" s="7">
        <v>4.3248659000000002E-2</v>
      </c>
      <c r="H135" s="7">
        <v>0.141802238</v>
      </c>
      <c r="I135" s="7">
        <v>8.3687733E-2</v>
      </c>
      <c r="J135" s="7">
        <v>5.4638187999999997E-2</v>
      </c>
      <c r="K135" s="7">
        <v>4.2698642000000002E-2</v>
      </c>
      <c r="L135" s="7">
        <v>0.16806902600000001</v>
      </c>
      <c r="M135" s="7">
        <v>8.0930746999999997E-2</v>
      </c>
      <c r="N135" s="7">
        <v>5.3753038000000003E-2</v>
      </c>
      <c r="O135" s="7">
        <v>5.0025300000000002E-2</v>
      </c>
      <c r="P135" s="7">
        <v>2.9309735E-2</v>
      </c>
      <c r="Q135" s="7">
        <v>5.506432E-2</v>
      </c>
      <c r="R135" s="7">
        <v>0.206631808</v>
      </c>
      <c r="S135" s="7">
        <v>0.16900774499999999</v>
      </c>
      <c r="T135" s="7">
        <v>0.346829153</v>
      </c>
      <c r="U135" s="7">
        <v>0.26377497500000002</v>
      </c>
      <c r="V135" s="7">
        <v>-0.31026926081785805</v>
      </c>
      <c r="W135" s="7">
        <v>0.25694058384761242</v>
      </c>
      <c r="X135" s="7">
        <v>0.18714988559663426</v>
      </c>
      <c r="Y135" s="7">
        <v>-0.43700317189416926</v>
      </c>
      <c r="Z135" s="7">
        <v>0.23393512417038614</v>
      </c>
      <c r="AA135" s="7">
        <v>0.16926352350176804</v>
      </c>
      <c r="AB135" s="4">
        <v>0</v>
      </c>
      <c r="AC135" s="4">
        <v>0</v>
      </c>
      <c r="AD135" s="4">
        <v>0</v>
      </c>
    </row>
    <row r="136" spans="1:30" x14ac:dyDescent="0.3">
      <c r="A136" s="6">
        <v>44768</v>
      </c>
      <c r="B136" s="7">
        <v>5.2744871999999998E-2</v>
      </c>
      <c r="C136" s="7">
        <v>3.2023525999999997E-2</v>
      </c>
      <c r="D136" s="7">
        <v>6.6840080999999996E-2</v>
      </c>
      <c r="E136" s="7">
        <v>6.7225933000000002E-2</v>
      </c>
      <c r="F136" s="7">
        <v>5.1835416000000002E-2</v>
      </c>
      <c r="G136" s="7">
        <v>2.8850939999999999E-2</v>
      </c>
      <c r="H136" s="7">
        <v>0.112797308</v>
      </c>
      <c r="I136" s="7">
        <v>7.6320131999999999E-2</v>
      </c>
      <c r="J136" s="7">
        <v>6.3391264000000003E-2</v>
      </c>
      <c r="K136" s="7">
        <v>4.3248659000000002E-2</v>
      </c>
      <c r="L136" s="7">
        <v>0.141802238</v>
      </c>
      <c r="M136" s="7">
        <v>8.3687733E-2</v>
      </c>
      <c r="N136" s="7">
        <v>5.4638187999999997E-2</v>
      </c>
      <c r="O136" s="7">
        <v>4.2698642000000002E-2</v>
      </c>
      <c r="P136" s="7">
        <v>0.16806902600000001</v>
      </c>
      <c r="Q136" s="7">
        <v>8.0930746999999997E-2</v>
      </c>
      <c r="R136" s="7">
        <v>5.3753038000000003E-2</v>
      </c>
      <c r="S136" s="7">
        <v>5.0025300000000002E-2</v>
      </c>
      <c r="T136" s="7">
        <v>2.9309735E-2</v>
      </c>
      <c r="U136" s="7">
        <v>5.506432E-2</v>
      </c>
      <c r="V136" s="7">
        <v>-0.5255354055880731</v>
      </c>
      <c r="W136" s="7">
        <v>0.25583229514691297</v>
      </c>
      <c r="X136" s="7">
        <v>0.18461826792795982</v>
      </c>
      <c r="Y136" s="7">
        <v>-0.43700317189416926</v>
      </c>
      <c r="Z136" s="7">
        <v>0.23253431650532649</v>
      </c>
      <c r="AA136" s="7">
        <v>0.16810371255277126</v>
      </c>
      <c r="AB136" s="4">
        <v>0</v>
      </c>
      <c r="AC136" s="4">
        <v>0</v>
      </c>
      <c r="AD136" s="4">
        <v>0</v>
      </c>
    </row>
    <row r="137" spans="1:30" x14ac:dyDescent="0.3">
      <c r="A137" s="6">
        <v>44769</v>
      </c>
      <c r="B137" s="7">
        <v>1.6389196000000002E-2</v>
      </c>
      <c r="C137" s="7">
        <v>3.6369118999999998E-2</v>
      </c>
      <c r="D137" s="7">
        <v>7.0592031E-2</v>
      </c>
      <c r="E137" s="7">
        <v>6.2758414999999998E-2</v>
      </c>
      <c r="F137" s="7">
        <v>5.2744871999999998E-2</v>
      </c>
      <c r="G137" s="7">
        <v>3.2023525999999997E-2</v>
      </c>
      <c r="H137" s="7">
        <v>6.6840080999999996E-2</v>
      </c>
      <c r="I137" s="7">
        <v>6.7225933000000002E-2</v>
      </c>
      <c r="J137" s="7">
        <v>5.1835416000000002E-2</v>
      </c>
      <c r="K137" s="7">
        <v>2.8850939999999999E-2</v>
      </c>
      <c r="L137" s="7">
        <v>0.112797308</v>
      </c>
      <c r="M137" s="7">
        <v>7.6320131999999999E-2</v>
      </c>
      <c r="N137" s="7">
        <v>6.3391264000000003E-2</v>
      </c>
      <c r="O137" s="7">
        <v>4.3248659000000002E-2</v>
      </c>
      <c r="P137" s="7">
        <v>0.141802238</v>
      </c>
      <c r="Q137" s="7">
        <v>8.3687733E-2</v>
      </c>
      <c r="R137" s="7">
        <v>5.4638187999999997E-2</v>
      </c>
      <c r="S137" s="7">
        <v>4.2698642000000002E-2</v>
      </c>
      <c r="T137" s="7">
        <v>0.16806902600000001</v>
      </c>
      <c r="U137" s="7">
        <v>8.0930746999999997E-2</v>
      </c>
      <c r="V137" s="7">
        <v>-0.32136037209536</v>
      </c>
      <c r="W137" s="7">
        <v>0.25686027826943569</v>
      </c>
      <c r="X137" s="7">
        <v>0.18645883601749935</v>
      </c>
      <c r="Y137" s="7">
        <v>-0.43700317189416926</v>
      </c>
      <c r="Z137" s="7">
        <v>0.2329510179913569</v>
      </c>
      <c r="AA137" s="7">
        <v>0.16851493524955388</v>
      </c>
      <c r="AB137" s="4">
        <v>0</v>
      </c>
      <c r="AC137" s="4">
        <v>0</v>
      </c>
      <c r="AD137" s="4">
        <v>0</v>
      </c>
    </row>
    <row r="138" spans="1:30" x14ac:dyDescent="0.3">
      <c r="A138" s="6">
        <v>44770</v>
      </c>
      <c r="B138" s="7">
        <v>0.106468511</v>
      </c>
      <c r="C138" s="7">
        <v>3.5882566999999997E-2</v>
      </c>
      <c r="D138" s="7">
        <v>0.14803274599999999</v>
      </c>
      <c r="E138" s="7">
        <v>7.3316384999999998E-2</v>
      </c>
      <c r="F138" s="7">
        <v>1.6389196000000002E-2</v>
      </c>
      <c r="G138" s="7">
        <v>3.6369118999999998E-2</v>
      </c>
      <c r="H138" s="7">
        <v>7.0592031E-2</v>
      </c>
      <c r="I138" s="7">
        <v>6.2758414999999998E-2</v>
      </c>
      <c r="J138" s="7">
        <v>5.2744871999999998E-2</v>
      </c>
      <c r="K138" s="7">
        <v>3.2023525999999997E-2</v>
      </c>
      <c r="L138" s="7">
        <v>6.6840080999999996E-2</v>
      </c>
      <c r="M138" s="7">
        <v>6.7225933000000002E-2</v>
      </c>
      <c r="N138" s="7">
        <v>5.1835416000000002E-2</v>
      </c>
      <c r="O138" s="7">
        <v>2.8850939999999999E-2</v>
      </c>
      <c r="P138" s="7">
        <v>0.112797308</v>
      </c>
      <c r="Q138" s="7">
        <v>7.6320131999999999E-2</v>
      </c>
      <c r="R138" s="7">
        <v>6.3391264000000003E-2</v>
      </c>
      <c r="S138" s="7">
        <v>4.3248659000000002E-2</v>
      </c>
      <c r="T138" s="7">
        <v>0.141802238</v>
      </c>
      <c r="U138" s="7">
        <v>8.3687733E-2</v>
      </c>
      <c r="V138" s="7">
        <v>-0.58548651920439221</v>
      </c>
      <c r="W138" s="7">
        <v>0.25648487965131078</v>
      </c>
      <c r="X138" s="7">
        <v>0.18539322137071421</v>
      </c>
      <c r="Y138" s="7">
        <v>-0.43700317189416926</v>
      </c>
      <c r="Z138" s="7">
        <v>0.23147325483557241</v>
      </c>
      <c r="AA138" s="7">
        <v>0.16768974837158013</v>
      </c>
      <c r="AB138" s="4">
        <v>0</v>
      </c>
      <c r="AC138" s="4">
        <v>0</v>
      </c>
      <c r="AD138" s="4">
        <v>0</v>
      </c>
    </row>
    <row r="139" spans="1:30" x14ac:dyDescent="0.3">
      <c r="A139" s="6">
        <v>44771</v>
      </c>
      <c r="B139" s="7">
        <v>7.7468836999999999E-2</v>
      </c>
      <c r="C139" s="7">
        <v>3.1136646E-2</v>
      </c>
      <c r="D139" s="7">
        <v>0.14687756399999999</v>
      </c>
      <c r="E139" s="7">
        <v>8.3206449000000002E-2</v>
      </c>
      <c r="F139" s="7">
        <v>0.106468511</v>
      </c>
      <c r="G139" s="7">
        <v>3.5882566999999997E-2</v>
      </c>
      <c r="H139" s="7">
        <v>0.14803274599999999</v>
      </c>
      <c r="I139" s="7">
        <v>7.3316384999999998E-2</v>
      </c>
      <c r="J139" s="7">
        <v>1.6389196000000002E-2</v>
      </c>
      <c r="K139" s="7">
        <v>3.6369118999999998E-2</v>
      </c>
      <c r="L139" s="7">
        <v>7.0592031E-2</v>
      </c>
      <c r="M139" s="7">
        <v>6.2758414999999998E-2</v>
      </c>
      <c r="N139" s="7">
        <v>5.2744871999999998E-2</v>
      </c>
      <c r="O139" s="7">
        <v>3.2023525999999997E-2</v>
      </c>
      <c r="P139" s="7">
        <v>6.6840080999999996E-2</v>
      </c>
      <c r="Q139" s="7">
        <v>6.7225933000000002E-2</v>
      </c>
      <c r="R139" s="7">
        <v>5.1835416000000002E-2</v>
      </c>
      <c r="S139" s="7">
        <v>2.8850939999999999E-2</v>
      </c>
      <c r="T139" s="7">
        <v>0.112797308</v>
      </c>
      <c r="U139" s="7">
        <v>7.6320131999999999E-2</v>
      </c>
      <c r="V139" s="7">
        <v>-0.58548651920439221</v>
      </c>
      <c r="W139" s="7">
        <v>0.25635327056997947</v>
      </c>
      <c r="X139" s="7">
        <v>0.18528775936867475</v>
      </c>
      <c r="Y139" s="7">
        <v>-0.26715775051613061</v>
      </c>
      <c r="Z139" s="7">
        <v>0.23192730878568177</v>
      </c>
      <c r="AA139" s="7">
        <v>0.16842783122258331</v>
      </c>
      <c r="AB139" s="4">
        <v>0</v>
      </c>
      <c r="AC139" s="4">
        <v>0</v>
      </c>
      <c r="AD139" s="4">
        <v>0</v>
      </c>
    </row>
    <row r="140" spans="1:30" x14ac:dyDescent="0.3">
      <c r="A140" s="6">
        <v>44774</v>
      </c>
      <c r="B140" s="7">
        <v>6.1183228999999999E-2</v>
      </c>
      <c r="C140" s="7">
        <v>3.1296988999999997E-2</v>
      </c>
      <c r="D140" s="7">
        <v>0.12691191199999999</v>
      </c>
      <c r="E140" s="7">
        <v>7.8992294000000005E-2</v>
      </c>
      <c r="F140" s="7">
        <v>7.7468836999999999E-2</v>
      </c>
      <c r="G140" s="7">
        <v>3.1136646E-2</v>
      </c>
      <c r="H140" s="7">
        <v>0.14687756399999999</v>
      </c>
      <c r="I140" s="7">
        <v>8.3206449000000002E-2</v>
      </c>
      <c r="J140" s="7">
        <v>0.106468511</v>
      </c>
      <c r="K140" s="7">
        <v>3.5882566999999997E-2</v>
      </c>
      <c r="L140" s="7">
        <v>0.14803274599999999</v>
      </c>
      <c r="M140" s="7">
        <v>7.3316384999999998E-2</v>
      </c>
      <c r="N140" s="7">
        <v>1.6389196000000002E-2</v>
      </c>
      <c r="O140" s="7">
        <v>3.6369118999999998E-2</v>
      </c>
      <c r="P140" s="7">
        <v>7.0592031E-2</v>
      </c>
      <c r="Q140" s="7">
        <v>6.2758414999999998E-2</v>
      </c>
      <c r="R140" s="7">
        <v>5.2744871999999998E-2</v>
      </c>
      <c r="S140" s="7">
        <v>3.2023525999999997E-2</v>
      </c>
      <c r="T140" s="7">
        <v>6.6840080999999996E-2</v>
      </c>
      <c r="U140" s="7">
        <v>6.7225933000000002E-2</v>
      </c>
      <c r="V140" s="7">
        <v>-0.34289923865117389</v>
      </c>
      <c r="W140" s="7">
        <v>0.25328235907447078</v>
      </c>
      <c r="X140" s="7">
        <v>0.18403506851258705</v>
      </c>
      <c r="Y140" s="7">
        <v>-0.28869661707194449</v>
      </c>
      <c r="Z140" s="7">
        <v>0.23178158120973302</v>
      </c>
      <c r="AA140" s="7">
        <v>0.16805767837847849</v>
      </c>
      <c r="AB140" s="4">
        <v>0</v>
      </c>
      <c r="AC140" s="4">
        <v>0</v>
      </c>
      <c r="AD140" s="4">
        <v>0</v>
      </c>
    </row>
    <row r="141" spans="1:30" x14ac:dyDescent="0.3">
      <c r="A141" s="6">
        <v>44775</v>
      </c>
      <c r="B141" s="7">
        <v>8.7204859999999995E-2</v>
      </c>
      <c r="C141" s="7">
        <v>5.7956883000000001E-2</v>
      </c>
      <c r="D141" s="7">
        <v>0.149650167</v>
      </c>
      <c r="E141" s="7">
        <v>0.126149387</v>
      </c>
      <c r="F141" s="7">
        <v>6.1183228999999999E-2</v>
      </c>
      <c r="G141" s="7">
        <v>3.1296988999999997E-2</v>
      </c>
      <c r="H141" s="7">
        <v>0.12691191199999999</v>
      </c>
      <c r="I141" s="7">
        <v>7.8992294000000005E-2</v>
      </c>
      <c r="J141" s="7">
        <v>7.7468836999999999E-2</v>
      </c>
      <c r="K141" s="7">
        <v>3.1136646E-2</v>
      </c>
      <c r="L141" s="7">
        <v>0.14687756399999999</v>
      </c>
      <c r="M141" s="7">
        <v>8.3206449000000002E-2</v>
      </c>
      <c r="N141" s="7">
        <v>0.106468511</v>
      </c>
      <c r="O141" s="7">
        <v>3.5882566999999997E-2</v>
      </c>
      <c r="P141" s="7">
        <v>0.14803274599999999</v>
      </c>
      <c r="Q141" s="7">
        <v>7.3316384999999998E-2</v>
      </c>
      <c r="R141" s="7">
        <v>1.6389196000000002E-2</v>
      </c>
      <c r="S141" s="7">
        <v>3.6369118999999998E-2</v>
      </c>
      <c r="T141" s="7">
        <v>7.0592031E-2</v>
      </c>
      <c r="U141" s="7">
        <v>6.2758414999999998E-2</v>
      </c>
      <c r="V141" s="7">
        <v>-0.34289923865117389</v>
      </c>
      <c r="W141" s="7">
        <v>0.25422458932446618</v>
      </c>
      <c r="X141" s="7">
        <v>0.18479016359510567</v>
      </c>
      <c r="Y141" s="7">
        <v>-0.43700317189416926</v>
      </c>
      <c r="Z141" s="7">
        <v>0.23304075800513471</v>
      </c>
      <c r="AA141" s="7">
        <v>0.16834246249419105</v>
      </c>
      <c r="AB141" s="4">
        <v>1</v>
      </c>
      <c r="AC141" s="4">
        <v>0</v>
      </c>
      <c r="AD141" s="4">
        <v>1</v>
      </c>
    </row>
    <row r="142" spans="1:30" x14ac:dyDescent="0.3">
      <c r="A142" s="6">
        <v>44776</v>
      </c>
      <c r="B142" s="7">
        <v>4.2147456E-2</v>
      </c>
      <c r="C142" s="7">
        <v>5.5633502000000001E-2</v>
      </c>
      <c r="D142" s="7">
        <v>0.123086246</v>
      </c>
      <c r="E142" s="7">
        <v>0.108507166</v>
      </c>
      <c r="F142" s="7">
        <v>8.7204859999999995E-2</v>
      </c>
      <c r="G142" s="7">
        <v>5.7956883000000001E-2</v>
      </c>
      <c r="H142" s="7">
        <v>0.149650167</v>
      </c>
      <c r="I142" s="7">
        <v>0.126149387</v>
      </c>
      <c r="J142" s="7">
        <v>6.1183228999999999E-2</v>
      </c>
      <c r="K142" s="7">
        <v>3.1296988999999997E-2</v>
      </c>
      <c r="L142" s="7">
        <v>0.12691191199999999</v>
      </c>
      <c r="M142" s="7">
        <v>7.8992294000000005E-2</v>
      </c>
      <c r="N142" s="7">
        <v>7.7468836999999999E-2</v>
      </c>
      <c r="O142" s="7">
        <v>3.1136646E-2</v>
      </c>
      <c r="P142" s="7">
        <v>0.14687756399999999</v>
      </c>
      <c r="Q142" s="7">
        <v>8.3206449000000002E-2</v>
      </c>
      <c r="R142" s="7">
        <v>0.106468511</v>
      </c>
      <c r="S142" s="7">
        <v>3.5882566999999997E-2</v>
      </c>
      <c r="T142" s="7">
        <v>0.14803274599999999</v>
      </c>
      <c r="U142" s="7">
        <v>7.3316384999999998E-2</v>
      </c>
      <c r="V142" s="7">
        <v>-0.34289923865117389</v>
      </c>
      <c r="W142" s="7">
        <v>0.25430721128374723</v>
      </c>
      <c r="X142" s="7">
        <v>0.18500266031473606</v>
      </c>
      <c r="Y142" s="7">
        <v>-0.43700317189416926</v>
      </c>
      <c r="Z142" s="7">
        <v>0.23223811105054015</v>
      </c>
      <c r="AA142" s="7">
        <v>0.16764227204732771</v>
      </c>
      <c r="AB142" s="4">
        <v>0</v>
      </c>
      <c r="AC142" s="4">
        <v>0</v>
      </c>
      <c r="AD142" s="4">
        <v>0</v>
      </c>
    </row>
    <row r="143" spans="1:30" x14ac:dyDescent="0.3">
      <c r="A143" s="6">
        <v>44777</v>
      </c>
      <c r="B143" s="7">
        <v>0.14674488199999999</v>
      </c>
      <c r="C143" s="7">
        <v>0.102152443</v>
      </c>
      <c r="D143" s="7">
        <v>0.25889869799999998</v>
      </c>
      <c r="E143" s="7">
        <v>7.9342662999999994E-2</v>
      </c>
      <c r="F143" s="7">
        <v>4.2147456E-2</v>
      </c>
      <c r="G143" s="7">
        <v>5.5633502000000001E-2</v>
      </c>
      <c r="H143" s="7">
        <v>0.123086246</v>
      </c>
      <c r="I143" s="7">
        <v>0.108507166</v>
      </c>
      <c r="J143" s="7">
        <v>8.7204859999999995E-2</v>
      </c>
      <c r="K143" s="7">
        <v>5.7956883000000001E-2</v>
      </c>
      <c r="L143" s="7">
        <v>0.149650167</v>
      </c>
      <c r="M143" s="7">
        <v>0.126149387</v>
      </c>
      <c r="N143" s="7">
        <v>6.1183228999999999E-2</v>
      </c>
      <c r="O143" s="7">
        <v>3.1296988999999997E-2</v>
      </c>
      <c r="P143" s="7">
        <v>0.12691191199999999</v>
      </c>
      <c r="Q143" s="7">
        <v>7.8992294000000005E-2</v>
      </c>
      <c r="R143" s="7">
        <v>7.7468836999999999E-2</v>
      </c>
      <c r="S143" s="7">
        <v>3.1136646E-2</v>
      </c>
      <c r="T143" s="7">
        <v>0.14687756399999999</v>
      </c>
      <c r="U143" s="7">
        <v>8.3206449000000002E-2</v>
      </c>
      <c r="V143" s="7">
        <v>-0.34289923865117389</v>
      </c>
      <c r="W143" s="7">
        <v>0.25442099363555043</v>
      </c>
      <c r="X143" s="7">
        <v>0.18487464396415643</v>
      </c>
      <c r="Y143" s="7">
        <v>-0.45103122432359005</v>
      </c>
      <c r="Z143" s="7">
        <v>0.23144547024051312</v>
      </c>
      <c r="AA143" s="7">
        <v>0.16647098610528829</v>
      </c>
      <c r="AB143" s="4">
        <v>1</v>
      </c>
      <c r="AC143" s="4">
        <v>0</v>
      </c>
      <c r="AD143" s="4">
        <v>1</v>
      </c>
    </row>
    <row r="144" spans="1:30" x14ac:dyDescent="0.3">
      <c r="A144" s="6">
        <v>44778</v>
      </c>
      <c r="B144" s="7">
        <v>8.5133835000000005E-2</v>
      </c>
      <c r="C144" s="7">
        <v>8.2276243999999998E-2</v>
      </c>
      <c r="D144" s="7">
        <v>0.22177982500000001</v>
      </c>
      <c r="E144" s="7">
        <v>8.3141804999999999E-2</v>
      </c>
      <c r="F144" s="7">
        <v>0.14674488199999999</v>
      </c>
      <c r="G144" s="7">
        <v>0.102152443</v>
      </c>
      <c r="H144" s="7">
        <v>0.25889869799999998</v>
      </c>
      <c r="I144" s="7">
        <v>7.9342662999999994E-2</v>
      </c>
      <c r="J144" s="7">
        <v>4.2147456E-2</v>
      </c>
      <c r="K144" s="7">
        <v>5.5633502000000001E-2</v>
      </c>
      <c r="L144" s="7">
        <v>0.123086246</v>
      </c>
      <c r="M144" s="7">
        <v>0.108507166</v>
      </c>
      <c r="N144" s="7">
        <v>8.7204859999999995E-2</v>
      </c>
      <c r="O144" s="7">
        <v>5.7956883000000001E-2</v>
      </c>
      <c r="P144" s="7">
        <v>0.149650167</v>
      </c>
      <c r="Q144" s="7">
        <v>0.126149387</v>
      </c>
      <c r="R144" s="7">
        <v>6.1183228999999999E-2</v>
      </c>
      <c r="S144" s="7">
        <v>3.1296988999999997E-2</v>
      </c>
      <c r="T144" s="7">
        <v>0.12691191199999999</v>
      </c>
      <c r="U144" s="7">
        <v>7.8992294000000005E-2</v>
      </c>
      <c r="V144" s="7">
        <v>-0.12763309388095878</v>
      </c>
      <c r="W144" s="7">
        <v>0.25430988220043005</v>
      </c>
      <c r="X144" s="7">
        <v>0.18389063921876334</v>
      </c>
      <c r="Y144" s="7">
        <v>-0.43700317189416926</v>
      </c>
      <c r="Z144" s="7">
        <v>0.23515903608725841</v>
      </c>
      <c r="AA144" s="7">
        <v>0.1685111126440639</v>
      </c>
      <c r="AB144" s="4">
        <v>1</v>
      </c>
      <c r="AC144" s="4">
        <v>0</v>
      </c>
      <c r="AD144" s="4">
        <v>1</v>
      </c>
    </row>
    <row r="145" spans="1:30" x14ac:dyDescent="0.3">
      <c r="A145" s="6">
        <v>44781</v>
      </c>
      <c r="B145" s="7">
        <v>9.0907721999999996E-2</v>
      </c>
      <c r="C145" s="7">
        <v>8.2827572000000002E-2</v>
      </c>
      <c r="D145" s="7">
        <v>0.18467320300000001</v>
      </c>
      <c r="E145" s="7">
        <v>0.100464055</v>
      </c>
      <c r="F145" s="7">
        <v>8.5133835000000005E-2</v>
      </c>
      <c r="G145" s="7">
        <v>8.2276243999999998E-2</v>
      </c>
      <c r="H145" s="7">
        <v>0.22177982500000001</v>
      </c>
      <c r="I145" s="7">
        <v>8.3141804999999999E-2</v>
      </c>
      <c r="J145" s="7">
        <v>0.14674488199999999</v>
      </c>
      <c r="K145" s="7">
        <v>0.102152443</v>
      </c>
      <c r="L145" s="7">
        <v>0.25889869799999998</v>
      </c>
      <c r="M145" s="7">
        <v>7.9342662999999994E-2</v>
      </c>
      <c r="N145" s="7">
        <v>4.2147456E-2</v>
      </c>
      <c r="O145" s="7">
        <v>5.5633502000000001E-2</v>
      </c>
      <c r="P145" s="7">
        <v>0.123086246</v>
      </c>
      <c r="Q145" s="7">
        <v>0.108507166</v>
      </c>
      <c r="R145" s="7">
        <v>8.7204859999999995E-2</v>
      </c>
      <c r="S145" s="7">
        <v>5.7956883000000001E-2</v>
      </c>
      <c r="T145" s="7">
        <v>0.149650167</v>
      </c>
      <c r="U145" s="7">
        <v>0.126149387</v>
      </c>
      <c r="V145" s="7">
        <v>-0.1378547813828179</v>
      </c>
      <c r="W145" s="7">
        <v>0.251757141247129</v>
      </c>
      <c r="X145" s="7">
        <v>0.18139052614635248</v>
      </c>
      <c r="Y145" s="7">
        <v>-0.28869661707194449</v>
      </c>
      <c r="Z145" s="7">
        <v>0.23465727501280292</v>
      </c>
      <c r="AA145" s="7">
        <v>0.16861322449456506</v>
      </c>
      <c r="AB145" s="4">
        <v>1</v>
      </c>
      <c r="AC145" s="4">
        <v>0</v>
      </c>
      <c r="AD145" s="4">
        <v>1</v>
      </c>
    </row>
    <row r="146" spans="1:30" x14ac:dyDescent="0.3">
      <c r="A146" s="6">
        <v>44782</v>
      </c>
      <c r="B146" s="7">
        <v>4.8449355999999999E-2</v>
      </c>
      <c r="C146" s="7">
        <v>4.6327084999999997E-2</v>
      </c>
      <c r="D146" s="7">
        <v>0.13341653000000001</v>
      </c>
      <c r="E146" s="7">
        <v>0.100405379</v>
      </c>
      <c r="F146" s="7">
        <v>9.0907721999999996E-2</v>
      </c>
      <c r="G146" s="7">
        <v>8.2827572000000002E-2</v>
      </c>
      <c r="H146" s="7">
        <v>0.18467320300000001</v>
      </c>
      <c r="I146" s="7">
        <v>0.100464055</v>
      </c>
      <c r="J146" s="7">
        <v>8.5133835000000005E-2</v>
      </c>
      <c r="K146" s="7">
        <v>8.2276243999999998E-2</v>
      </c>
      <c r="L146" s="7">
        <v>0.22177982500000001</v>
      </c>
      <c r="M146" s="7">
        <v>8.3141804999999999E-2</v>
      </c>
      <c r="N146" s="7">
        <v>0.14674488199999999</v>
      </c>
      <c r="O146" s="7">
        <v>0.102152443</v>
      </c>
      <c r="P146" s="7">
        <v>0.25889869799999998</v>
      </c>
      <c r="Q146" s="7">
        <v>7.9342662999999994E-2</v>
      </c>
      <c r="R146" s="7">
        <v>4.2147456E-2</v>
      </c>
      <c r="S146" s="7">
        <v>5.5633502000000001E-2</v>
      </c>
      <c r="T146" s="7">
        <v>0.123086246</v>
      </c>
      <c r="U146" s="7">
        <v>0.108507166</v>
      </c>
      <c r="V146" s="7">
        <v>-0.1378547813828179</v>
      </c>
      <c r="W146" s="7">
        <v>0.25171876888687506</v>
      </c>
      <c r="X146" s="7">
        <v>0.18130264690398826</v>
      </c>
      <c r="Y146" s="7">
        <v>-0.1378547813828179</v>
      </c>
      <c r="Z146" s="7">
        <v>0.23470691721581868</v>
      </c>
      <c r="AA146" s="7">
        <v>0.16898015180062817</v>
      </c>
      <c r="AB146" s="4">
        <v>1</v>
      </c>
      <c r="AC146" s="4">
        <v>0</v>
      </c>
      <c r="AD146" s="4">
        <v>1</v>
      </c>
    </row>
    <row r="147" spans="1:30" x14ac:dyDescent="0.3">
      <c r="A147" s="6">
        <v>44783</v>
      </c>
      <c r="B147" s="7">
        <v>7.5130012999999995E-2</v>
      </c>
      <c r="C147" s="7">
        <v>7.7039934000000004E-2</v>
      </c>
      <c r="D147" s="7">
        <v>0.13542890899999999</v>
      </c>
      <c r="E147" s="7">
        <v>0.137610549</v>
      </c>
      <c r="F147" s="7">
        <v>4.8449355999999999E-2</v>
      </c>
      <c r="G147" s="7">
        <v>4.6327084999999997E-2</v>
      </c>
      <c r="H147" s="7">
        <v>0.13341653000000001</v>
      </c>
      <c r="I147" s="7">
        <v>0.100405379</v>
      </c>
      <c r="J147" s="7">
        <v>9.0907721999999996E-2</v>
      </c>
      <c r="K147" s="7">
        <v>8.2827572000000002E-2</v>
      </c>
      <c r="L147" s="7">
        <v>0.18467320300000001</v>
      </c>
      <c r="M147" s="7">
        <v>0.100464055</v>
      </c>
      <c r="N147" s="7">
        <v>8.5133835000000005E-2</v>
      </c>
      <c r="O147" s="7">
        <v>8.2276243999999998E-2</v>
      </c>
      <c r="P147" s="7">
        <v>0.22177982500000001</v>
      </c>
      <c r="Q147" s="7">
        <v>8.3141804999999999E-2</v>
      </c>
      <c r="R147" s="7">
        <v>0.14674488199999999</v>
      </c>
      <c r="S147" s="7">
        <v>0.102152443</v>
      </c>
      <c r="T147" s="7">
        <v>0.25889869799999998</v>
      </c>
      <c r="U147" s="7">
        <v>7.9342662999999994E-2</v>
      </c>
      <c r="V147" s="7">
        <v>-0.34289923865117389</v>
      </c>
      <c r="W147" s="7">
        <v>0.25081833947238452</v>
      </c>
      <c r="X147" s="7">
        <v>0.17901599414933714</v>
      </c>
      <c r="Y147" s="7">
        <v>-0.28869661707194449</v>
      </c>
      <c r="Z147" s="7">
        <v>0.23314255766769046</v>
      </c>
      <c r="AA147" s="7">
        <v>0.16738767800058835</v>
      </c>
      <c r="AB147" s="4">
        <v>1</v>
      </c>
      <c r="AC147" s="4">
        <v>0</v>
      </c>
      <c r="AD147" s="4">
        <v>1</v>
      </c>
    </row>
    <row r="148" spans="1:30" x14ac:dyDescent="0.3">
      <c r="A148" s="6">
        <v>44784</v>
      </c>
      <c r="B148" s="7">
        <v>0.123358939</v>
      </c>
      <c r="C148" s="7">
        <v>9.5934206999999994E-2</v>
      </c>
      <c r="D148" s="7">
        <v>0.25741708499999999</v>
      </c>
      <c r="E148" s="7">
        <v>0.111266305</v>
      </c>
      <c r="F148" s="7">
        <v>7.5130012999999995E-2</v>
      </c>
      <c r="G148" s="7">
        <v>7.7039934000000004E-2</v>
      </c>
      <c r="H148" s="7">
        <v>0.13542890899999999</v>
      </c>
      <c r="I148" s="7">
        <v>0.137610549</v>
      </c>
      <c r="J148" s="7">
        <v>4.8449355999999999E-2</v>
      </c>
      <c r="K148" s="7">
        <v>4.6327084999999997E-2</v>
      </c>
      <c r="L148" s="7">
        <v>0.13341653000000001</v>
      </c>
      <c r="M148" s="7">
        <v>0.100405379</v>
      </c>
      <c r="N148" s="7">
        <v>9.0907721999999996E-2</v>
      </c>
      <c r="O148" s="7">
        <v>8.2827572000000002E-2</v>
      </c>
      <c r="P148" s="7">
        <v>0.18467320300000001</v>
      </c>
      <c r="Q148" s="7">
        <v>0.100464055</v>
      </c>
      <c r="R148" s="7">
        <v>8.5133835000000005E-2</v>
      </c>
      <c r="S148" s="7">
        <v>8.2276243999999998E-2</v>
      </c>
      <c r="T148" s="7">
        <v>0.22177982500000001</v>
      </c>
      <c r="U148" s="7">
        <v>8.3141804999999999E-2</v>
      </c>
      <c r="V148" s="7">
        <v>-0.34289923865117389</v>
      </c>
      <c r="W148" s="7">
        <v>0.25178638302718248</v>
      </c>
      <c r="X148" s="7">
        <v>0.17941708319579228</v>
      </c>
      <c r="Y148" s="7">
        <v>-0.28869661707194449</v>
      </c>
      <c r="Z148" s="7">
        <v>0.23529106275500172</v>
      </c>
      <c r="AA148" s="7">
        <v>0.16867766226142766</v>
      </c>
      <c r="AB148" s="4">
        <v>0</v>
      </c>
      <c r="AC148" s="4">
        <v>0</v>
      </c>
      <c r="AD148" s="4">
        <v>0</v>
      </c>
    </row>
    <row r="149" spans="1:30" x14ac:dyDescent="0.3">
      <c r="A149" s="6">
        <v>44785</v>
      </c>
      <c r="B149" s="7">
        <v>0.12237071200000001</v>
      </c>
      <c r="C149" s="7">
        <v>4.6061445999999999E-2</v>
      </c>
      <c r="D149" s="7">
        <v>0.22474996799999999</v>
      </c>
      <c r="E149" s="7">
        <v>0.14564939700000001</v>
      </c>
      <c r="F149" s="7">
        <v>0.123358939</v>
      </c>
      <c r="G149" s="7">
        <v>9.5934206999999994E-2</v>
      </c>
      <c r="H149" s="7">
        <v>0.25741708499999999</v>
      </c>
      <c r="I149" s="7">
        <v>0.111266305</v>
      </c>
      <c r="J149" s="7">
        <v>7.5130012999999995E-2</v>
      </c>
      <c r="K149" s="7">
        <v>7.7039934000000004E-2</v>
      </c>
      <c r="L149" s="7">
        <v>0.13542890899999999</v>
      </c>
      <c r="M149" s="7">
        <v>0.137610549</v>
      </c>
      <c r="N149" s="7">
        <v>4.8449355999999999E-2</v>
      </c>
      <c r="O149" s="7">
        <v>4.6327084999999997E-2</v>
      </c>
      <c r="P149" s="7">
        <v>0.13341653000000001</v>
      </c>
      <c r="Q149" s="7">
        <v>0.100405379</v>
      </c>
      <c r="R149" s="7">
        <v>9.0907721999999996E-2</v>
      </c>
      <c r="S149" s="7">
        <v>8.2827572000000002E-2</v>
      </c>
      <c r="T149" s="7">
        <v>0.18467320300000001</v>
      </c>
      <c r="U149" s="7">
        <v>0.100464055</v>
      </c>
      <c r="V149" s="7">
        <v>-0.1378547813828179</v>
      </c>
      <c r="W149" s="7">
        <v>0.2491269528560453</v>
      </c>
      <c r="X149" s="7">
        <v>0.17897362771158987</v>
      </c>
      <c r="Y149" s="7">
        <v>-0.1378547813828179</v>
      </c>
      <c r="Z149" s="7">
        <v>0.23561553520413286</v>
      </c>
      <c r="AA149" s="7">
        <v>0.16935174033309272</v>
      </c>
      <c r="AB149" s="4">
        <v>0</v>
      </c>
      <c r="AC149" s="4">
        <v>0</v>
      </c>
      <c r="AD149" s="4">
        <v>0</v>
      </c>
    </row>
    <row r="150" spans="1:30" x14ac:dyDescent="0.3">
      <c r="A150" s="6">
        <v>44788</v>
      </c>
      <c r="B150" s="7">
        <v>0.14382364</v>
      </c>
      <c r="C150" s="7">
        <v>0.12861863300000001</v>
      </c>
      <c r="D150" s="7">
        <v>0.274089837</v>
      </c>
      <c r="E150" s="7">
        <v>0.18419358199999999</v>
      </c>
      <c r="F150" s="7">
        <v>0.12237071200000001</v>
      </c>
      <c r="G150" s="7">
        <v>4.6061445999999999E-2</v>
      </c>
      <c r="H150" s="7">
        <v>0.22474996799999999</v>
      </c>
      <c r="I150" s="7">
        <v>0.14564939700000001</v>
      </c>
      <c r="J150" s="7">
        <v>0.123358939</v>
      </c>
      <c r="K150" s="7">
        <v>9.5934206999999994E-2</v>
      </c>
      <c r="L150" s="7">
        <v>0.25741708499999999</v>
      </c>
      <c r="M150" s="7">
        <v>0.111266305</v>
      </c>
      <c r="N150" s="7">
        <v>7.5130012999999995E-2</v>
      </c>
      <c r="O150" s="7">
        <v>7.7039934000000004E-2</v>
      </c>
      <c r="P150" s="7">
        <v>0.13542890899999999</v>
      </c>
      <c r="Q150" s="7">
        <v>0.137610549</v>
      </c>
      <c r="R150" s="7">
        <v>4.8449355999999999E-2</v>
      </c>
      <c r="S150" s="7">
        <v>4.6327084999999997E-2</v>
      </c>
      <c r="T150" s="7">
        <v>0.13341653000000001</v>
      </c>
      <c r="U150" s="7">
        <v>0.100405379</v>
      </c>
      <c r="V150" s="7">
        <v>-0.1378547813828179</v>
      </c>
      <c r="W150" s="7">
        <v>0.24861796484268811</v>
      </c>
      <c r="X150" s="7">
        <v>0.1784705259733512</v>
      </c>
      <c r="Y150" s="7">
        <v>-0.1378547813828179</v>
      </c>
      <c r="Z150" s="7">
        <v>0.23583886849012531</v>
      </c>
      <c r="AA150" s="7">
        <v>0.1697945356597019</v>
      </c>
      <c r="AB150" s="4">
        <v>0</v>
      </c>
      <c r="AC150" s="4">
        <v>0</v>
      </c>
      <c r="AD150" s="4">
        <v>0</v>
      </c>
    </row>
    <row r="151" spans="1:30" x14ac:dyDescent="0.3">
      <c r="A151" s="6">
        <v>44789</v>
      </c>
      <c r="B151" s="7">
        <v>0.16253611300000001</v>
      </c>
      <c r="C151" s="7">
        <v>7.9254387999999995E-2</v>
      </c>
      <c r="D151" s="7">
        <v>0.25440076299999997</v>
      </c>
      <c r="E151" s="7">
        <v>0.22003262000000001</v>
      </c>
      <c r="F151" s="7">
        <v>0.14382364</v>
      </c>
      <c r="G151" s="7">
        <v>0.12861863300000001</v>
      </c>
      <c r="H151" s="7">
        <v>0.274089837</v>
      </c>
      <c r="I151" s="7">
        <v>0.18419358199999999</v>
      </c>
      <c r="J151" s="7">
        <v>0.12237071200000001</v>
      </c>
      <c r="K151" s="7">
        <v>4.6061445999999999E-2</v>
      </c>
      <c r="L151" s="7">
        <v>0.22474996799999999</v>
      </c>
      <c r="M151" s="7">
        <v>0.14564939700000001</v>
      </c>
      <c r="N151" s="7">
        <v>0.123358939</v>
      </c>
      <c r="O151" s="7">
        <v>9.5934206999999994E-2</v>
      </c>
      <c r="P151" s="7">
        <v>0.25741708499999999</v>
      </c>
      <c r="Q151" s="7">
        <v>0.111266305</v>
      </c>
      <c r="R151" s="7">
        <v>7.5130012999999995E-2</v>
      </c>
      <c r="S151" s="7">
        <v>7.7039934000000004E-2</v>
      </c>
      <c r="T151" s="7">
        <v>0.13542890899999999</v>
      </c>
      <c r="U151" s="7">
        <v>0.137610549</v>
      </c>
      <c r="V151" s="7">
        <v>-0.1378547813828179</v>
      </c>
      <c r="W151" s="7">
        <v>0.24861249806245075</v>
      </c>
      <c r="X151" s="7">
        <v>0.17843529065627037</v>
      </c>
      <c r="Y151" s="7">
        <v>-0.11631591482700403</v>
      </c>
      <c r="Z151" s="7">
        <v>0.23475680127633908</v>
      </c>
      <c r="AA151" s="7">
        <v>0.16950021456448794</v>
      </c>
      <c r="AB151" s="4">
        <v>0</v>
      </c>
      <c r="AC151" s="4">
        <v>1</v>
      </c>
      <c r="AD151" s="4">
        <v>1</v>
      </c>
    </row>
    <row r="152" spans="1:30" x14ac:dyDescent="0.3">
      <c r="A152" s="6">
        <v>44790</v>
      </c>
      <c r="B152" s="7">
        <v>1.1883734999999999E-2</v>
      </c>
      <c r="C152" s="7">
        <v>2.5608602000000001E-2</v>
      </c>
      <c r="D152" s="7">
        <v>3.8252680999999997E-2</v>
      </c>
      <c r="E152" s="7">
        <v>4.8055853000000003E-2</v>
      </c>
      <c r="F152" s="7">
        <v>0.16253611300000001</v>
      </c>
      <c r="G152" s="7">
        <v>7.9254387999999995E-2</v>
      </c>
      <c r="H152" s="7">
        <v>0.25440076299999997</v>
      </c>
      <c r="I152" s="7">
        <v>0.22003262000000001</v>
      </c>
      <c r="J152" s="7">
        <v>0.14382364</v>
      </c>
      <c r="K152" s="7">
        <v>0.12861863300000001</v>
      </c>
      <c r="L152" s="7">
        <v>0.274089837</v>
      </c>
      <c r="M152" s="7">
        <v>0.18419358199999999</v>
      </c>
      <c r="N152" s="7">
        <v>0.12237071200000001</v>
      </c>
      <c r="O152" s="7">
        <v>4.6061445999999999E-2</v>
      </c>
      <c r="P152" s="7">
        <v>0.22474996799999999</v>
      </c>
      <c r="Q152" s="7">
        <v>0.14564939700000001</v>
      </c>
      <c r="R152" s="7">
        <v>0.123358939</v>
      </c>
      <c r="S152" s="7">
        <v>9.5934206999999994E-2</v>
      </c>
      <c r="T152" s="7">
        <v>0.25741708499999999</v>
      </c>
      <c r="U152" s="7">
        <v>0.111266305</v>
      </c>
      <c r="V152" s="7">
        <v>-0.11631591482700403</v>
      </c>
      <c r="W152" s="7">
        <v>0.24715845776722772</v>
      </c>
      <c r="X152" s="7">
        <v>0.17878725683218269</v>
      </c>
      <c r="Y152" s="7">
        <v>-0.11631591482700403</v>
      </c>
      <c r="Z152" s="7">
        <v>0.23463811417676544</v>
      </c>
      <c r="AA152" s="7">
        <v>0.16933948845218127</v>
      </c>
      <c r="AB152" s="4">
        <v>0</v>
      </c>
      <c r="AC152" s="4">
        <v>1</v>
      </c>
      <c r="AD152" s="4">
        <v>1</v>
      </c>
    </row>
    <row r="153" spans="1:30" x14ac:dyDescent="0.3">
      <c r="A153" s="6">
        <v>44791</v>
      </c>
      <c r="B153" s="7">
        <v>4.9994584000000002E-2</v>
      </c>
      <c r="C153" s="7">
        <v>2.567641E-2</v>
      </c>
      <c r="D153" s="7">
        <v>0.123203299</v>
      </c>
      <c r="E153" s="7">
        <v>7.3636792000000006E-2</v>
      </c>
      <c r="F153" s="7">
        <v>1.1883734999999999E-2</v>
      </c>
      <c r="G153" s="7">
        <v>2.5608602000000001E-2</v>
      </c>
      <c r="H153" s="7">
        <v>3.8252680999999997E-2</v>
      </c>
      <c r="I153" s="7">
        <v>4.8055853000000003E-2</v>
      </c>
      <c r="J153" s="7">
        <v>0.16253611300000001</v>
      </c>
      <c r="K153" s="7">
        <v>7.9254387999999995E-2</v>
      </c>
      <c r="L153" s="7">
        <v>0.25440076299999997</v>
      </c>
      <c r="M153" s="7">
        <v>0.22003262000000001</v>
      </c>
      <c r="N153" s="7">
        <v>0.14382364</v>
      </c>
      <c r="O153" s="7">
        <v>0.12861863300000001</v>
      </c>
      <c r="P153" s="7">
        <v>0.274089837</v>
      </c>
      <c r="Q153" s="7">
        <v>0.18419358199999999</v>
      </c>
      <c r="R153" s="7">
        <v>0.12237071200000001</v>
      </c>
      <c r="S153" s="7">
        <v>4.6061445999999999E-2</v>
      </c>
      <c r="T153" s="7">
        <v>0.22474996799999999</v>
      </c>
      <c r="U153" s="7">
        <v>0.14564939700000001</v>
      </c>
      <c r="V153" s="7">
        <v>-0.1378547813828179</v>
      </c>
      <c r="W153" s="7">
        <v>0.24623778721113149</v>
      </c>
      <c r="X153" s="7">
        <v>0.17679286197345342</v>
      </c>
      <c r="Y153" s="7">
        <v>-0.11631591482700403</v>
      </c>
      <c r="Z153" s="7">
        <v>0.23059920468078218</v>
      </c>
      <c r="AA153" s="7">
        <v>0.16559690307334496</v>
      </c>
      <c r="AB153" s="4">
        <v>0</v>
      </c>
      <c r="AC153" s="4">
        <v>0</v>
      </c>
      <c r="AD153" s="4">
        <v>0</v>
      </c>
    </row>
    <row r="154" spans="1:30" x14ac:dyDescent="0.3">
      <c r="A154" s="6">
        <v>44792</v>
      </c>
      <c r="B154" s="7">
        <v>4.6131587000000002E-2</v>
      </c>
      <c r="C154" s="7">
        <v>2.0468674999999999E-2</v>
      </c>
      <c r="D154" s="7">
        <v>9.2914363999999999E-2</v>
      </c>
      <c r="E154" s="7">
        <v>6.6200291999999994E-2</v>
      </c>
      <c r="F154" s="7">
        <v>4.9994584000000002E-2</v>
      </c>
      <c r="G154" s="7">
        <v>2.567641E-2</v>
      </c>
      <c r="H154" s="7">
        <v>0.123203299</v>
      </c>
      <c r="I154" s="7">
        <v>7.3636792000000006E-2</v>
      </c>
      <c r="J154" s="7">
        <v>1.1883734999999999E-2</v>
      </c>
      <c r="K154" s="7">
        <v>2.5608602000000001E-2</v>
      </c>
      <c r="L154" s="7">
        <v>3.8252680999999997E-2</v>
      </c>
      <c r="M154" s="7">
        <v>4.8055853000000003E-2</v>
      </c>
      <c r="N154" s="7">
        <v>0.16253611300000001</v>
      </c>
      <c r="O154" s="7">
        <v>7.9254387999999995E-2</v>
      </c>
      <c r="P154" s="7">
        <v>0.25440076299999997</v>
      </c>
      <c r="Q154" s="7">
        <v>0.22003262000000001</v>
      </c>
      <c r="R154" s="7">
        <v>0.14382364</v>
      </c>
      <c r="S154" s="7">
        <v>0.12861863300000001</v>
      </c>
      <c r="T154" s="7">
        <v>0.274089837</v>
      </c>
      <c r="U154" s="7">
        <v>0.18419358199999999</v>
      </c>
      <c r="V154" s="7">
        <v>-0.11631591482700403</v>
      </c>
      <c r="W154" s="7">
        <v>0.24550428257119608</v>
      </c>
      <c r="X154" s="7">
        <v>0.17731177323317324</v>
      </c>
      <c r="Y154" s="7">
        <v>-0.11631591482700403</v>
      </c>
      <c r="Z154" s="7">
        <v>0.23050612103332416</v>
      </c>
      <c r="AA154" s="7">
        <v>0.16538510503299983</v>
      </c>
      <c r="AB154" s="4">
        <v>0</v>
      </c>
      <c r="AC154" s="4">
        <v>0</v>
      </c>
      <c r="AD154" s="4">
        <v>0</v>
      </c>
    </row>
    <row r="155" spans="1:30" x14ac:dyDescent="0.3">
      <c r="A155" s="6">
        <v>44795</v>
      </c>
      <c r="B155" s="7">
        <v>5.5542663999999999E-2</v>
      </c>
      <c r="C155" s="7">
        <v>4.8091363999999998E-2</v>
      </c>
      <c r="D155" s="7">
        <v>7.5607278E-2</v>
      </c>
      <c r="E155" s="7">
        <v>7.5100319999999998E-2</v>
      </c>
      <c r="F155" s="7">
        <v>4.6131587000000002E-2</v>
      </c>
      <c r="G155" s="7">
        <v>2.0468674999999999E-2</v>
      </c>
      <c r="H155" s="7">
        <v>9.2914363999999999E-2</v>
      </c>
      <c r="I155" s="7">
        <v>6.6200291999999994E-2</v>
      </c>
      <c r="J155" s="7">
        <v>4.9994584000000002E-2</v>
      </c>
      <c r="K155" s="7">
        <v>2.567641E-2</v>
      </c>
      <c r="L155" s="7">
        <v>0.123203299</v>
      </c>
      <c r="M155" s="7">
        <v>7.3636792000000006E-2</v>
      </c>
      <c r="N155" s="7">
        <v>1.1883734999999999E-2</v>
      </c>
      <c r="O155" s="7">
        <v>2.5608602000000001E-2</v>
      </c>
      <c r="P155" s="7">
        <v>3.8252680999999997E-2</v>
      </c>
      <c r="Q155" s="7">
        <v>4.8055853000000003E-2</v>
      </c>
      <c r="R155" s="7">
        <v>0.16253611300000001</v>
      </c>
      <c r="S155" s="7">
        <v>7.9254387999999995E-2</v>
      </c>
      <c r="T155" s="7">
        <v>0.25440076299999997</v>
      </c>
      <c r="U155" s="7">
        <v>0.22003262000000001</v>
      </c>
      <c r="V155" s="7">
        <v>-0.1378547813828179</v>
      </c>
      <c r="W155" s="7">
        <v>0.24116567502274031</v>
      </c>
      <c r="X155" s="7">
        <v>0.17368603375073882</v>
      </c>
      <c r="Y155" s="7">
        <v>-0.1378547813828179</v>
      </c>
      <c r="Z155" s="7">
        <v>0.2302920410422252</v>
      </c>
      <c r="AA155" s="7">
        <v>0.16453086119439114</v>
      </c>
      <c r="AB155" s="4">
        <v>0</v>
      </c>
      <c r="AC155" s="4">
        <v>1</v>
      </c>
      <c r="AD155" s="4">
        <v>1</v>
      </c>
    </row>
    <row r="156" spans="1:30" x14ac:dyDescent="0.3">
      <c r="A156" s="6">
        <v>44796</v>
      </c>
      <c r="B156" s="7">
        <v>4.9635848000000003E-2</v>
      </c>
      <c r="C156" s="7">
        <v>4.2392983000000002E-2</v>
      </c>
      <c r="D156" s="7">
        <v>5.1887796E-2</v>
      </c>
      <c r="E156" s="7">
        <v>6.5361586999999999E-2</v>
      </c>
      <c r="F156" s="7">
        <v>5.5542663999999999E-2</v>
      </c>
      <c r="G156" s="7">
        <v>4.8091363999999998E-2</v>
      </c>
      <c r="H156" s="7">
        <v>7.5607278E-2</v>
      </c>
      <c r="I156" s="7">
        <v>7.5100319999999998E-2</v>
      </c>
      <c r="J156" s="7">
        <v>4.6131587000000002E-2</v>
      </c>
      <c r="K156" s="7">
        <v>2.0468674999999999E-2</v>
      </c>
      <c r="L156" s="7">
        <v>9.2914363999999999E-2</v>
      </c>
      <c r="M156" s="7">
        <v>6.6200291999999994E-2</v>
      </c>
      <c r="N156" s="7">
        <v>4.9994584000000002E-2</v>
      </c>
      <c r="O156" s="7">
        <v>2.567641E-2</v>
      </c>
      <c r="P156" s="7">
        <v>0.123203299</v>
      </c>
      <c r="Q156" s="7">
        <v>7.3636792000000006E-2</v>
      </c>
      <c r="R156" s="7">
        <v>1.1883734999999999E-2</v>
      </c>
      <c r="S156" s="7">
        <v>2.5608602000000001E-2</v>
      </c>
      <c r="T156" s="7">
        <v>3.8252680999999997E-2</v>
      </c>
      <c r="U156" s="7">
        <v>4.8055853000000003E-2</v>
      </c>
      <c r="V156" s="7">
        <v>-0.34289923865117389</v>
      </c>
      <c r="W156" s="7">
        <v>0.23986475361847634</v>
      </c>
      <c r="X156" s="7">
        <v>0.1713227070768443</v>
      </c>
      <c r="Y156" s="7">
        <v>-0.1378547813828179</v>
      </c>
      <c r="Z156" s="7">
        <v>0.23081491338487786</v>
      </c>
      <c r="AA156" s="7">
        <v>0.16456175704759191</v>
      </c>
      <c r="AB156" s="4">
        <v>0</v>
      </c>
      <c r="AC156" s="4">
        <v>0</v>
      </c>
      <c r="AD156" s="4">
        <v>0</v>
      </c>
    </row>
    <row r="157" spans="1:30" x14ac:dyDescent="0.3">
      <c r="A157" s="6">
        <v>44797</v>
      </c>
      <c r="B157" s="7">
        <v>3.7380963000000003E-2</v>
      </c>
      <c r="C157" s="7">
        <v>3.5602917999999997E-2</v>
      </c>
      <c r="D157" s="7">
        <v>3.2192092999999998E-2</v>
      </c>
      <c r="E157" s="7">
        <v>5.7734303000000001E-2</v>
      </c>
      <c r="F157" s="7">
        <v>4.9635848000000003E-2</v>
      </c>
      <c r="G157" s="7">
        <v>4.2392983000000002E-2</v>
      </c>
      <c r="H157" s="7">
        <v>5.1887796E-2</v>
      </c>
      <c r="I157" s="7">
        <v>6.5361586999999999E-2</v>
      </c>
      <c r="J157" s="7">
        <v>5.5542663999999999E-2</v>
      </c>
      <c r="K157" s="7">
        <v>4.8091363999999998E-2</v>
      </c>
      <c r="L157" s="7">
        <v>7.5607278E-2</v>
      </c>
      <c r="M157" s="7">
        <v>7.5100319999999998E-2</v>
      </c>
      <c r="N157" s="7">
        <v>4.6131587000000002E-2</v>
      </c>
      <c r="O157" s="7">
        <v>2.0468674999999999E-2</v>
      </c>
      <c r="P157" s="7">
        <v>9.2914363999999999E-2</v>
      </c>
      <c r="Q157" s="7">
        <v>6.6200291999999994E-2</v>
      </c>
      <c r="R157" s="7">
        <v>4.9994584000000002E-2</v>
      </c>
      <c r="S157" s="7">
        <v>2.567641E-2</v>
      </c>
      <c r="T157" s="7">
        <v>0.123203299</v>
      </c>
      <c r="U157" s="7">
        <v>7.3636792000000006E-2</v>
      </c>
      <c r="V157" s="7">
        <v>-0.58548651920439221</v>
      </c>
      <c r="W157" s="7">
        <v>0.23758365667052436</v>
      </c>
      <c r="X157" s="7">
        <v>0.16904804818729119</v>
      </c>
      <c r="Y157" s="7">
        <v>-0.28869661707194449</v>
      </c>
      <c r="Z157" s="7">
        <v>0.23067040116089671</v>
      </c>
      <c r="AA157" s="7">
        <v>0.16409467823202153</v>
      </c>
      <c r="AB157" s="4">
        <v>0</v>
      </c>
      <c r="AC157" s="4">
        <v>0</v>
      </c>
      <c r="AD157" s="4">
        <v>0</v>
      </c>
    </row>
    <row r="158" spans="1:30" x14ac:dyDescent="0.3">
      <c r="A158" s="6">
        <v>44798</v>
      </c>
      <c r="B158" s="7">
        <v>6.1954947000000003E-2</v>
      </c>
      <c r="C158" s="7">
        <v>2.7350729000000001E-2</v>
      </c>
      <c r="D158" s="7">
        <v>0.101046393</v>
      </c>
      <c r="E158" s="7">
        <v>5.4413457999999998E-2</v>
      </c>
      <c r="F158" s="7">
        <v>3.7380963000000003E-2</v>
      </c>
      <c r="G158" s="7">
        <v>3.5602917999999997E-2</v>
      </c>
      <c r="H158" s="7">
        <v>3.2192092999999998E-2</v>
      </c>
      <c r="I158" s="7">
        <v>5.7734303000000001E-2</v>
      </c>
      <c r="J158" s="7">
        <v>4.9635848000000003E-2</v>
      </c>
      <c r="K158" s="7">
        <v>4.2392983000000002E-2</v>
      </c>
      <c r="L158" s="7">
        <v>5.1887796E-2</v>
      </c>
      <c r="M158" s="7">
        <v>6.5361586999999999E-2</v>
      </c>
      <c r="N158" s="7">
        <v>5.5542663999999999E-2</v>
      </c>
      <c r="O158" s="7">
        <v>4.8091363999999998E-2</v>
      </c>
      <c r="P158" s="7">
        <v>7.5607278E-2</v>
      </c>
      <c r="Q158" s="7">
        <v>7.5100319999999998E-2</v>
      </c>
      <c r="R158" s="7">
        <v>4.6131587000000002E-2</v>
      </c>
      <c r="S158" s="7">
        <v>2.0468674999999999E-2</v>
      </c>
      <c r="T158" s="7">
        <v>9.2914363999999999E-2</v>
      </c>
      <c r="U158" s="7">
        <v>6.6200291999999994E-2</v>
      </c>
      <c r="V158" s="7">
        <v>-0.34289923865117389</v>
      </c>
      <c r="W158" s="7">
        <v>0.23836243436962298</v>
      </c>
      <c r="X158" s="7">
        <v>0.17105649272449502</v>
      </c>
      <c r="Y158" s="7">
        <v>-0.1378547813828179</v>
      </c>
      <c r="Z158" s="7">
        <v>0.23059460902372031</v>
      </c>
      <c r="AA158" s="7">
        <v>0.16483123995113</v>
      </c>
      <c r="AB158" s="4">
        <v>0</v>
      </c>
      <c r="AC158" s="4">
        <v>1</v>
      </c>
      <c r="AD158" s="4">
        <v>1</v>
      </c>
    </row>
    <row r="159" spans="1:30" x14ac:dyDescent="0.3">
      <c r="A159" s="6">
        <v>44799</v>
      </c>
      <c r="B159" s="7">
        <v>5.9584209999999999E-2</v>
      </c>
      <c r="C159" s="7">
        <v>2.4593236000000001E-2</v>
      </c>
      <c r="D159" s="7">
        <v>8.1166249999999995E-2</v>
      </c>
      <c r="E159" s="7">
        <v>4.9573936999999998E-2</v>
      </c>
      <c r="F159" s="7">
        <v>6.1954947000000003E-2</v>
      </c>
      <c r="G159" s="7">
        <v>2.7350729000000001E-2</v>
      </c>
      <c r="H159" s="7">
        <v>0.101046393</v>
      </c>
      <c r="I159" s="7">
        <v>5.4413457999999998E-2</v>
      </c>
      <c r="J159" s="7">
        <v>3.7380963000000003E-2</v>
      </c>
      <c r="K159" s="7">
        <v>3.5602917999999997E-2</v>
      </c>
      <c r="L159" s="7">
        <v>3.2192092999999998E-2</v>
      </c>
      <c r="M159" s="7">
        <v>5.7734303000000001E-2</v>
      </c>
      <c r="N159" s="7">
        <v>4.9635848000000003E-2</v>
      </c>
      <c r="O159" s="7">
        <v>4.2392983000000002E-2</v>
      </c>
      <c r="P159" s="7">
        <v>5.1887796E-2</v>
      </c>
      <c r="Q159" s="7">
        <v>6.5361586999999999E-2</v>
      </c>
      <c r="R159" s="7">
        <v>5.5542663999999999E-2</v>
      </c>
      <c r="S159" s="7">
        <v>4.8091363999999998E-2</v>
      </c>
      <c r="T159" s="7">
        <v>7.5607278E-2</v>
      </c>
      <c r="U159" s="7">
        <v>7.5100319999999998E-2</v>
      </c>
      <c r="V159" s="7">
        <v>-0.1378547813828179</v>
      </c>
      <c r="W159" s="7">
        <v>0.23839172935130068</v>
      </c>
      <c r="X159" s="7">
        <v>0.17245305394200661</v>
      </c>
      <c r="Y159" s="7">
        <v>-0.11631591482700403</v>
      </c>
      <c r="Z159" s="7">
        <v>0.22873631281234083</v>
      </c>
      <c r="AA159" s="7">
        <v>0.16394468778254725</v>
      </c>
      <c r="AB159" s="4">
        <v>0</v>
      </c>
      <c r="AC159" s="4">
        <v>1</v>
      </c>
      <c r="AD159" s="4">
        <v>1</v>
      </c>
    </row>
    <row r="160" spans="1:30" x14ac:dyDescent="0.3">
      <c r="A160" s="6">
        <v>44802</v>
      </c>
      <c r="B160" s="7">
        <v>7.8677324000000007E-2</v>
      </c>
      <c r="C160" s="7">
        <v>4.2266861000000003E-2</v>
      </c>
      <c r="D160" s="7">
        <v>7.0992258000000003E-2</v>
      </c>
      <c r="E160" s="7">
        <v>6.5562735999999996E-2</v>
      </c>
      <c r="F160" s="7">
        <v>5.9584209999999999E-2</v>
      </c>
      <c r="G160" s="7">
        <v>2.4593236000000001E-2</v>
      </c>
      <c r="H160" s="7">
        <v>8.1166249999999995E-2</v>
      </c>
      <c r="I160" s="7">
        <v>4.9573936999999998E-2</v>
      </c>
      <c r="J160" s="7">
        <v>6.1954947000000003E-2</v>
      </c>
      <c r="K160" s="7">
        <v>2.7350729000000001E-2</v>
      </c>
      <c r="L160" s="7">
        <v>0.101046393</v>
      </c>
      <c r="M160" s="7">
        <v>5.4413457999999998E-2</v>
      </c>
      <c r="N160" s="7">
        <v>3.7380963000000003E-2</v>
      </c>
      <c r="O160" s="7">
        <v>3.5602917999999997E-2</v>
      </c>
      <c r="P160" s="7">
        <v>3.2192092999999998E-2</v>
      </c>
      <c r="Q160" s="7">
        <v>5.7734303000000001E-2</v>
      </c>
      <c r="R160" s="7">
        <v>4.9635848000000003E-2</v>
      </c>
      <c r="S160" s="7">
        <v>4.2392983000000002E-2</v>
      </c>
      <c r="T160" s="7">
        <v>5.1887796E-2</v>
      </c>
      <c r="U160" s="7">
        <v>6.5361586999999999E-2</v>
      </c>
      <c r="V160" s="7">
        <v>-0.34289923865117389</v>
      </c>
      <c r="W160" s="7">
        <v>0.2402243521728982</v>
      </c>
      <c r="X160" s="7">
        <v>0.17259066346993107</v>
      </c>
      <c r="Y160" s="7">
        <v>-0.11631591482700403</v>
      </c>
      <c r="Z160" s="7">
        <v>0.2271103558823962</v>
      </c>
      <c r="AA160" s="7">
        <v>0.16231482093218869</v>
      </c>
      <c r="AB160" s="4">
        <v>0</v>
      </c>
      <c r="AC160" s="4">
        <v>1</v>
      </c>
      <c r="AD160" s="4">
        <v>1</v>
      </c>
    </row>
    <row r="161" spans="1:30" x14ac:dyDescent="0.3">
      <c r="A161" s="6">
        <v>44803</v>
      </c>
      <c r="B161" s="7">
        <v>4.4144247999999997E-2</v>
      </c>
      <c r="C161" s="7">
        <v>2.8638944999999999E-2</v>
      </c>
      <c r="D161" s="7">
        <v>6.2123303999999997E-2</v>
      </c>
      <c r="E161" s="7">
        <v>5.1445368999999998E-2</v>
      </c>
      <c r="F161" s="7">
        <v>7.8677324000000007E-2</v>
      </c>
      <c r="G161" s="7">
        <v>4.2266861000000003E-2</v>
      </c>
      <c r="H161" s="7">
        <v>7.0992258000000003E-2</v>
      </c>
      <c r="I161" s="7">
        <v>6.5562735999999996E-2</v>
      </c>
      <c r="J161" s="7">
        <v>5.9584209999999999E-2</v>
      </c>
      <c r="K161" s="7">
        <v>2.4593236000000001E-2</v>
      </c>
      <c r="L161" s="7">
        <v>8.1166249999999995E-2</v>
      </c>
      <c r="M161" s="7">
        <v>4.9573936999999998E-2</v>
      </c>
      <c r="N161" s="7">
        <v>6.1954947000000003E-2</v>
      </c>
      <c r="O161" s="7">
        <v>2.7350729000000001E-2</v>
      </c>
      <c r="P161" s="7">
        <v>0.101046393</v>
      </c>
      <c r="Q161" s="7">
        <v>5.4413457999999998E-2</v>
      </c>
      <c r="R161" s="7">
        <v>3.7380963000000003E-2</v>
      </c>
      <c r="S161" s="7">
        <v>3.5602917999999997E-2</v>
      </c>
      <c r="T161" s="7">
        <v>3.2192092999999998E-2</v>
      </c>
      <c r="U161" s="7">
        <v>5.7734303000000001E-2</v>
      </c>
      <c r="V161" s="7">
        <v>-0.1378547813828179</v>
      </c>
      <c r="W161" s="7">
        <v>0.24010866397925471</v>
      </c>
      <c r="X161" s="7">
        <v>0.17350475930681666</v>
      </c>
      <c r="Y161" s="7">
        <v>-0.11631591482700403</v>
      </c>
      <c r="Z161" s="7">
        <v>0.22619820884919348</v>
      </c>
      <c r="AA161" s="7">
        <v>0.16151527024042298</v>
      </c>
      <c r="AB161" s="4">
        <v>0</v>
      </c>
      <c r="AC161" s="4">
        <v>1</v>
      </c>
      <c r="AD161" s="4">
        <v>1</v>
      </c>
    </row>
    <row r="162" spans="1:30" x14ac:dyDescent="0.3">
      <c r="A162" s="6">
        <v>44804</v>
      </c>
      <c r="B162" s="7">
        <v>1.4845114E-2</v>
      </c>
      <c r="C162" s="7">
        <v>3.5146046E-2</v>
      </c>
      <c r="D162" s="7">
        <v>7.1576895000000001E-2</v>
      </c>
      <c r="E162" s="7">
        <v>5.3422324E-2</v>
      </c>
      <c r="F162" s="7">
        <v>4.4144247999999997E-2</v>
      </c>
      <c r="G162" s="7">
        <v>2.8638944999999999E-2</v>
      </c>
      <c r="H162" s="7">
        <v>6.2123303999999997E-2</v>
      </c>
      <c r="I162" s="7">
        <v>5.1445368999999998E-2</v>
      </c>
      <c r="J162" s="7">
        <v>7.8677324000000007E-2</v>
      </c>
      <c r="K162" s="7">
        <v>4.2266861000000003E-2</v>
      </c>
      <c r="L162" s="7">
        <v>7.0992258000000003E-2</v>
      </c>
      <c r="M162" s="7">
        <v>6.5562735999999996E-2</v>
      </c>
      <c r="N162" s="7">
        <v>5.9584209999999999E-2</v>
      </c>
      <c r="O162" s="7">
        <v>2.4593236000000001E-2</v>
      </c>
      <c r="P162" s="7">
        <v>8.1166249999999995E-2</v>
      </c>
      <c r="Q162" s="7">
        <v>4.9573936999999998E-2</v>
      </c>
      <c r="R162" s="7">
        <v>6.1954947000000003E-2</v>
      </c>
      <c r="S162" s="7">
        <v>2.7350729000000001E-2</v>
      </c>
      <c r="T162" s="7">
        <v>0.101046393</v>
      </c>
      <c r="U162" s="7">
        <v>5.4413457999999998E-2</v>
      </c>
      <c r="V162" s="7">
        <v>-0.1378547813828179</v>
      </c>
      <c r="W162" s="7">
        <v>0.24009160892803069</v>
      </c>
      <c r="X162" s="7">
        <v>0.17349447985659169</v>
      </c>
      <c r="Y162" s="7">
        <v>-0.11631591482700403</v>
      </c>
      <c r="Z162" s="7">
        <v>0.22263593017216377</v>
      </c>
      <c r="AA162" s="7">
        <v>0.16026023993242147</v>
      </c>
      <c r="AB162" s="4">
        <v>0</v>
      </c>
      <c r="AC162" s="4">
        <v>1</v>
      </c>
      <c r="AD162" s="4">
        <v>1</v>
      </c>
    </row>
    <row r="163" spans="1:30" x14ac:dyDescent="0.3">
      <c r="A163" s="6">
        <v>44805</v>
      </c>
      <c r="B163" s="7">
        <v>0.12028905400000001</v>
      </c>
      <c r="C163" s="7">
        <v>3.0966055999999999E-2</v>
      </c>
      <c r="D163" s="7">
        <v>0.132032812</v>
      </c>
      <c r="E163" s="7">
        <v>6.0012958999999998E-2</v>
      </c>
      <c r="F163" s="7">
        <v>1.4845114E-2</v>
      </c>
      <c r="G163" s="7">
        <v>3.5146046E-2</v>
      </c>
      <c r="H163" s="7">
        <v>7.1576895000000001E-2</v>
      </c>
      <c r="I163" s="7">
        <v>5.3422324E-2</v>
      </c>
      <c r="J163" s="7">
        <v>4.4144247999999997E-2</v>
      </c>
      <c r="K163" s="7">
        <v>2.8638944999999999E-2</v>
      </c>
      <c r="L163" s="7">
        <v>6.2123303999999997E-2</v>
      </c>
      <c r="M163" s="7">
        <v>5.1445368999999998E-2</v>
      </c>
      <c r="N163" s="7">
        <v>7.8677324000000007E-2</v>
      </c>
      <c r="O163" s="7">
        <v>4.2266861000000003E-2</v>
      </c>
      <c r="P163" s="7">
        <v>7.0992258000000003E-2</v>
      </c>
      <c r="Q163" s="7">
        <v>6.5562735999999996E-2</v>
      </c>
      <c r="R163" s="7">
        <v>5.9584209999999999E-2</v>
      </c>
      <c r="S163" s="7">
        <v>2.4593236000000001E-2</v>
      </c>
      <c r="T163" s="7">
        <v>8.1166249999999995E-2</v>
      </c>
      <c r="U163" s="7">
        <v>4.9573936999999998E-2</v>
      </c>
      <c r="V163" s="7">
        <v>-0.1378547813828179</v>
      </c>
      <c r="W163" s="7">
        <v>0.24432326864424089</v>
      </c>
      <c r="X163" s="7">
        <v>0.1764640833718622</v>
      </c>
      <c r="Y163" s="7">
        <v>-0.11631591482700403</v>
      </c>
      <c r="Z163" s="7">
        <v>0.2245207031069093</v>
      </c>
      <c r="AA163" s="7">
        <v>0.16201563584117454</v>
      </c>
      <c r="AB163" s="4">
        <v>0</v>
      </c>
      <c r="AC163" s="4">
        <v>0</v>
      </c>
      <c r="AD163" s="4">
        <v>0</v>
      </c>
    </row>
    <row r="164" spans="1:30" x14ac:dyDescent="0.3">
      <c r="A164" s="6">
        <v>44806</v>
      </c>
      <c r="B164" s="7">
        <v>0.115977909</v>
      </c>
      <c r="C164" s="7">
        <v>2.8788246999999999E-2</v>
      </c>
      <c r="D164" s="7">
        <v>0.13516984500000001</v>
      </c>
      <c r="E164" s="7">
        <v>4.9849711999999997E-2</v>
      </c>
      <c r="F164" s="7">
        <v>0.12028905400000001</v>
      </c>
      <c r="G164" s="7">
        <v>3.0966055999999999E-2</v>
      </c>
      <c r="H164" s="7">
        <v>0.132032812</v>
      </c>
      <c r="I164" s="7">
        <v>6.0012958999999998E-2</v>
      </c>
      <c r="J164" s="7">
        <v>1.4845114E-2</v>
      </c>
      <c r="K164" s="7">
        <v>3.5146046E-2</v>
      </c>
      <c r="L164" s="7">
        <v>7.1576895000000001E-2</v>
      </c>
      <c r="M164" s="7">
        <v>5.3422324E-2</v>
      </c>
      <c r="N164" s="7">
        <v>4.4144247999999997E-2</v>
      </c>
      <c r="O164" s="7">
        <v>2.8638944999999999E-2</v>
      </c>
      <c r="P164" s="7">
        <v>6.2123303999999997E-2</v>
      </c>
      <c r="Q164" s="7">
        <v>5.1445368999999998E-2</v>
      </c>
      <c r="R164" s="7">
        <v>7.8677324000000007E-2</v>
      </c>
      <c r="S164" s="7">
        <v>4.2266861000000003E-2</v>
      </c>
      <c r="T164" s="7">
        <v>7.0992258000000003E-2</v>
      </c>
      <c r="U164" s="7">
        <v>6.5562735999999996E-2</v>
      </c>
      <c r="V164" s="7">
        <v>-0.1378547813828179</v>
      </c>
      <c r="W164" s="7">
        <v>0.24412591159367578</v>
      </c>
      <c r="X164" s="7">
        <v>0.17636461585514604</v>
      </c>
      <c r="Y164" s="7">
        <v>-0.1378547813828179</v>
      </c>
      <c r="Z164" s="7">
        <v>0.22493344304519894</v>
      </c>
      <c r="AA164" s="7">
        <v>0.1618554404331623</v>
      </c>
      <c r="AB164" s="4">
        <v>0</v>
      </c>
      <c r="AC164" s="4">
        <v>0</v>
      </c>
      <c r="AD164" s="4">
        <v>0</v>
      </c>
    </row>
    <row r="165" spans="1:30" x14ac:dyDescent="0.3">
      <c r="A165" s="6">
        <v>44809</v>
      </c>
      <c r="B165" s="7">
        <v>9.1529656000000001E-2</v>
      </c>
      <c r="C165" s="7">
        <v>3.2072625E-2</v>
      </c>
      <c r="D165" s="7">
        <v>0.13136430399999999</v>
      </c>
      <c r="E165" s="7">
        <v>7.7815857000000002E-2</v>
      </c>
      <c r="F165" s="7">
        <v>0.115977909</v>
      </c>
      <c r="G165" s="7">
        <v>2.8788246999999999E-2</v>
      </c>
      <c r="H165" s="7">
        <v>0.13516984500000001</v>
      </c>
      <c r="I165" s="7">
        <v>4.9849711999999997E-2</v>
      </c>
      <c r="J165" s="7">
        <v>0.12028905400000001</v>
      </c>
      <c r="K165" s="7">
        <v>3.0966055999999999E-2</v>
      </c>
      <c r="L165" s="7">
        <v>0.132032812</v>
      </c>
      <c r="M165" s="7">
        <v>6.0012958999999998E-2</v>
      </c>
      <c r="N165" s="7">
        <v>1.4845114E-2</v>
      </c>
      <c r="O165" s="7">
        <v>3.5146046E-2</v>
      </c>
      <c r="P165" s="7">
        <v>7.1576895000000001E-2</v>
      </c>
      <c r="Q165" s="7">
        <v>5.3422324E-2</v>
      </c>
      <c r="R165" s="7">
        <v>4.4144247999999997E-2</v>
      </c>
      <c r="S165" s="7">
        <v>2.8638944999999999E-2</v>
      </c>
      <c r="T165" s="7">
        <v>6.2123303999999997E-2</v>
      </c>
      <c r="U165" s="7">
        <v>5.1445368999999998E-2</v>
      </c>
      <c r="V165" s="7">
        <v>-0.11631591482700403</v>
      </c>
      <c r="W165" s="7">
        <v>0.2421695241246461</v>
      </c>
      <c r="X165" s="7">
        <v>0.17591720054555984</v>
      </c>
      <c r="Y165" s="7">
        <v>-0.11631591482700403</v>
      </c>
      <c r="Z165" s="7">
        <v>0.22250122231287575</v>
      </c>
      <c r="AA165" s="7">
        <v>0.16013193818106802</v>
      </c>
      <c r="AB165" s="4">
        <v>1</v>
      </c>
      <c r="AC165" s="4">
        <v>0</v>
      </c>
      <c r="AD165" s="4">
        <v>1</v>
      </c>
    </row>
    <row r="166" spans="1:30" x14ac:dyDescent="0.3">
      <c r="A166" s="6">
        <v>44810</v>
      </c>
      <c r="B166" s="7">
        <v>7.0139261999999994E-2</v>
      </c>
      <c r="C166" s="7">
        <v>4.2710302999999998E-2</v>
      </c>
      <c r="D166" s="7">
        <v>8.4019369999999996E-2</v>
      </c>
      <c r="E166" s="7">
        <v>6.5915186000000001E-2</v>
      </c>
      <c r="F166" s="7">
        <v>9.1529656000000001E-2</v>
      </c>
      <c r="G166" s="7">
        <v>3.2072625E-2</v>
      </c>
      <c r="H166" s="7">
        <v>0.13136430399999999</v>
      </c>
      <c r="I166" s="7">
        <v>7.7815857000000002E-2</v>
      </c>
      <c r="J166" s="7">
        <v>0.115977909</v>
      </c>
      <c r="K166" s="7">
        <v>2.8788246999999999E-2</v>
      </c>
      <c r="L166" s="7">
        <v>0.13516984500000001</v>
      </c>
      <c r="M166" s="7">
        <v>4.9849711999999997E-2</v>
      </c>
      <c r="N166" s="7">
        <v>0.12028905400000001</v>
      </c>
      <c r="O166" s="7">
        <v>3.0966055999999999E-2</v>
      </c>
      <c r="P166" s="7">
        <v>0.132032812</v>
      </c>
      <c r="Q166" s="7">
        <v>6.0012958999999998E-2</v>
      </c>
      <c r="R166" s="7">
        <v>1.4845114E-2</v>
      </c>
      <c r="S166" s="7">
        <v>3.5146046E-2</v>
      </c>
      <c r="T166" s="7">
        <v>7.1576895000000001E-2</v>
      </c>
      <c r="U166" s="7">
        <v>5.3422324E-2</v>
      </c>
      <c r="V166" s="7">
        <v>-0.10257140222992596</v>
      </c>
      <c r="W166" s="7">
        <v>0.24223905055536493</v>
      </c>
      <c r="X166" s="7">
        <v>0.17634022475992001</v>
      </c>
      <c r="Y166" s="7">
        <v>-0.11631591482700403</v>
      </c>
      <c r="Z166" s="7">
        <v>0.22250674156811415</v>
      </c>
      <c r="AA166" s="7">
        <v>0.16015095866365517</v>
      </c>
      <c r="AB166" s="4">
        <v>0</v>
      </c>
      <c r="AC166" s="4">
        <v>0</v>
      </c>
      <c r="AD166" s="4">
        <v>0</v>
      </c>
    </row>
    <row r="167" spans="1:30" x14ac:dyDescent="0.3">
      <c r="A167" s="6">
        <v>44811</v>
      </c>
      <c r="B167" s="7">
        <v>7.4148934999999999E-2</v>
      </c>
      <c r="C167" s="7">
        <v>5.2293135999999997E-2</v>
      </c>
      <c r="D167" s="7">
        <v>4.1710777999999997E-2</v>
      </c>
      <c r="E167" s="7">
        <v>7.9374842000000001E-2</v>
      </c>
      <c r="F167" s="7">
        <v>7.0139261999999994E-2</v>
      </c>
      <c r="G167" s="7">
        <v>4.2710302999999998E-2</v>
      </c>
      <c r="H167" s="7">
        <v>8.4019369999999996E-2</v>
      </c>
      <c r="I167" s="7">
        <v>6.5915186000000001E-2</v>
      </c>
      <c r="J167" s="7">
        <v>9.1529656000000001E-2</v>
      </c>
      <c r="K167" s="7">
        <v>3.2072625E-2</v>
      </c>
      <c r="L167" s="7">
        <v>0.13136430399999999</v>
      </c>
      <c r="M167" s="7">
        <v>7.7815857000000002E-2</v>
      </c>
      <c r="N167" s="7">
        <v>0.115977909</v>
      </c>
      <c r="O167" s="7">
        <v>2.8788246999999999E-2</v>
      </c>
      <c r="P167" s="7">
        <v>0.13516984500000001</v>
      </c>
      <c r="Q167" s="7">
        <v>4.9849711999999997E-2</v>
      </c>
      <c r="R167" s="7">
        <v>0.12028905400000001</v>
      </c>
      <c r="S167" s="7">
        <v>3.0966055999999999E-2</v>
      </c>
      <c r="T167" s="7">
        <v>0.132032812</v>
      </c>
      <c r="U167" s="7">
        <v>6.0012958999999998E-2</v>
      </c>
      <c r="V167" s="7">
        <v>-0.10257140222992596</v>
      </c>
      <c r="W167" s="7">
        <v>0.24587444514744358</v>
      </c>
      <c r="X167" s="7">
        <v>0.17869693299062198</v>
      </c>
      <c r="Y167" s="7">
        <v>-0.1378547813828179</v>
      </c>
      <c r="Z167" s="7">
        <v>0.21813334373546808</v>
      </c>
      <c r="AA167" s="7">
        <v>0.15899612844525957</v>
      </c>
      <c r="AB167" s="4">
        <v>1</v>
      </c>
      <c r="AC167" s="4">
        <v>0</v>
      </c>
      <c r="AD167" s="4">
        <v>1</v>
      </c>
    </row>
    <row r="168" spans="1:30" x14ac:dyDescent="0.3">
      <c r="A168" s="6">
        <v>44812</v>
      </c>
      <c r="B168" s="7">
        <v>9.4569942000000004E-2</v>
      </c>
      <c r="C168" s="7">
        <v>4.6049991999999998E-2</v>
      </c>
      <c r="D168" s="7">
        <v>0.207377537</v>
      </c>
      <c r="E168" s="7">
        <v>5.4394675000000003E-2</v>
      </c>
      <c r="F168" s="7">
        <v>7.4148934999999999E-2</v>
      </c>
      <c r="G168" s="7">
        <v>5.2293135999999997E-2</v>
      </c>
      <c r="H168" s="7">
        <v>4.1710777999999997E-2</v>
      </c>
      <c r="I168" s="7">
        <v>7.9374842000000001E-2</v>
      </c>
      <c r="J168" s="7">
        <v>7.0139261999999994E-2</v>
      </c>
      <c r="K168" s="7">
        <v>4.2710302999999998E-2</v>
      </c>
      <c r="L168" s="7">
        <v>8.4019369999999996E-2</v>
      </c>
      <c r="M168" s="7">
        <v>6.5915186000000001E-2</v>
      </c>
      <c r="N168" s="7">
        <v>9.1529656000000001E-2</v>
      </c>
      <c r="O168" s="7">
        <v>3.2072625E-2</v>
      </c>
      <c r="P168" s="7">
        <v>0.13136430399999999</v>
      </c>
      <c r="Q168" s="7">
        <v>7.7815857000000002E-2</v>
      </c>
      <c r="R168" s="7">
        <v>0.115977909</v>
      </c>
      <c r="S168" s="7">
        <v>2.8788246999999999E-2</v>
      </c>
      <c r="T168" s="7">
        <v>0.13516984500000001</v>
      </c>
      <c r="U168" s="7">
        <v>4.9849711999999997E-2</v>
      </c>
      <c r="V168" s="7">
        <v>-1.1403834680577596E-2</v>
      </c>
      <c r="W168" s="7">
        <v>0.247109372086843</v>
      </c>
      <c r="X168" s="7">
        <v>0.18107076894275434</v>
      </c>
      <c r="Y168" s="7">
        <v>-0.1378547813828179</v>
      </c>
      <c r="Z168" s="7">
        <v>0.21931848860090136</v>
      </c>
      <c r="AA168" s="7">
        <v>0.15996371485752789</v>
      </c>
      <c r="AB168" s="4">
        <v>0</v>
      </c>
      <c r="AC168" s="4">
        <v>0</v>
      </c>
      <c r="AD168" s="4">
        <v>0</v>
      </c>
    </row>
    <row r="169" spans="1:30" x14ac:dyDescent="0.3">
      <c r="A169" s="6">
        <v>44816</v>
      </c>
      <c r="B169" s="7">
        <v>7.7391459999999995E-2</v>
      </c>
      <c r="C169" s="7">
        <v>5.7747654000000002E-2</v>
      </c>
      <c r="D169" s="7">
        <v>0.179852647</v>
      </c>
      <c r="E169" s="7">
        <v>9.4164433000000006E-2</v>
      </c>
      <c r="F169" s="7">
        <v>9.4569942000000004E-2</v>
      </c>
      <c r="G169" s="7">
        <v>4.6049991999999998E-2</v>
      </c>
      <c r="H169" s="7">
        <v>0.207377537</v>
      </c>
      <c r="I169" s="7">
        <v>5.4394675000000003E-2</v>
      </c>
      <c r="J169" s="7">
        <v>7.4148934999999999E-2</v>
      </c>
      <c r="K169" s="7">
        <v>5.2293135999999997E-2</v>
      </c>
      <c r="L169" s="7">
        <v>4.1710777999999997E-2</v>
      </c>
      <c r="M169" s="7">
        <v>7.9374842000000001E-2</v>
      </c>
      <c r="N169" s="7">
        <v>7.0139261999999994E-2</v>
      </c>
      <c r="O169" s="7">
        <v>4.2710302999999998E-2</v>
      </c>
      <c r="P169" s="7">
        <v>8.4019369999999996E-2</v>
      </c>
      <c r="Q169" s="7">
        <v>6.5915186000000001E-2</v>
      </c>
      <c r="R169" s="7">
        <v>9.1529656000000001E-2</v>
      </c>
      <c r="S169" s="7">
        <v>3.2072625E-2</v>
      </c>
      <c r="T169" s="7">
        <v>0.13136430399999999</v>
      </c>
      <c r="U169" s="7">
        <v>7.7815857000000002E-2</v>
      </c>
      <c r="V169" s="7">
        <v>0.18052171006962481</v>
      </c>
      <c r="W169" s="7">
        <v>0.24634472049229847</v>
      </c>
      <c r="X169" s="7">
        <v>0.18214204207676307</v>
      </c>
      <c r="Y169" s="7">
        <v>-0.1378547813828179</v>
      </c>
      <c r="Z169" s="7">
        <v>0.21970558154434255</v>
      </c>
      <c r="AA169" s="7">
        <v>0.16031849872330803</v>
      </c>
      <c r="AB169" s="4">
        <v>0</v>
      </c>
      <c r="AC169" s="4">
        <v>1</v>
      </c>
      <c r="AD169" s="4">
        <v>1</v>
      </c>
    </row>
    <row r="170" spans="1:30" x14ac:dyDescent="0.3">
      <c r="A170" s="6">
        <v>44817</v>
      </c>
      <c r="B170" s="7">
        <v>8.4038671999999995E-2</v>
      </c>
      <c r="C170" s="7">
        <v>4.6291694000000001E-2</v>
      </c>
      <c r="D170" s="7">
        <v>0.15150133599999999</v>
      </c>
      <c r="E170" s="7">
        <v>0.13343727599999999</v>
      </c>
      <c r="F170" s="7">
        <v>7.7391459999999995E-2</v>
      </c>
      <c r="G170" s="7">
        <v>5.7747654000000002E-2</v>
      </c>
      <c r="H170" s="7">
        <v>0.179852647</v>
      </c>
      <c r="I170" s="7">
        <v>9.4164433000000006E-2</v>
      </c>
      <c r="J170" s="7">
        <v>9.4569942000000004E-2</v>
      </c>
      <c r="K170" s="7">
        <v>4.6049991999999998E-2</v>
      </c>
      <c r="L170" s="7">
        <v>0.207377537</v>
      </c>
      <c r="M170" s="7">
        <v>5.4394675000000003E-2</v>
      </c>
      <c r="N170" s="7">
        <v>7.4148934999999999E-2</v>
      </c>
      <c r="O170" s="7">
        <v>5.2293135999999997E-2</v>
      </c>
      <c r="P170" s="7">
        <v>4.1710777999999997E-2</v>
      </c>
      <c r="Q170" s="7">
        <v>7.9374842000000001E-2</v>
      </c>
      <c r="R170" s="7">
        <v>7.0139261999999994E-2</v>
      </c>
      <c r="S170" s="7">
        <v>4.2710302999999998E-2</v>
      </c>
      <c r="T170" s="7">
        <v>8.4019369999999996E-2</v>
      </c>
      <c r="U170" s="7">
        <v>6.5915186000000001E-2</v>
      </c>
      <c r="V170" s="7">
        <v>0.28482637572248137</v>
      </c>
      <c r="W170" s="7">
        <v>0.24572996742292239</v>
      </c>
      <c r="X170" s="7">
        <v>0.18322716986512086</v>
      </c>
      <c r="Y170" s="7">
        <v>-0.1378547813828179</v>
      </c>
      <c r="Z170" s="7">
        <v>0.22002990005433512</v>
      </c>
      <c r="AA170" s="7">
        <v>0.16081762092252588</v>
      </c>
      <c r="AB170" s="4">
        <v>0</v>
      </c>
      <c r="AC170" s="4">
        <v>1</v>
      </c>
      <c r="AD170" s="4">
        <v>1</v>
      </c>
    </row>
    <row r="171" spans="1:30" x14ac:dyDescent="0.3">
      <c r="A171" s="6">
        <v>44818</v>
      </c>
      <c r="B171" s="7">
        <v>8.8458544E-2</v>
      </c>
      <c r="C171" s="7">
        <v>7.4152709999999997E-2</v>
      </c>
      <c r="D171" s="7">
        <v>0.112366857</v>
      </c>
      <c r="E171" s="7">
        <v>0.12500889500000001</v>
      </c>
      <c r="F171" s="7">
        <v>8.4038671999999995E-2</v>
      </c>
      <c r="G171" s="7">
        <v>4.6291694000000001E-2</v>
      </c>
      <c r="H171" s="7">
        <v>0.15150133599999999</v>
      </c>
      <c r="I171" s="7">
        <v>0.13343727599999999</v>
      </c>
      <c r="J171" s="7">
        <v>7.7391459999999995E-2</v>
      </c>
      <c r="K171" s="7">
        <v>5.7747654000000002E-2</v>
      </c>
      <c r="L171" s="7">
        <v>0.179852647</v>
      </c>
      <c r="M171" s="7">
        <v>9.4164433000000006E-2</v>
      </c>
      <c r="N171" s="7">
        <v>9.4569942000000004E-2</v>
      </c>
      <c r="O171" s="7">
        <v>4.6049991999999998E-2</v>
      </c>
      <c r="P171" s="7">
        <v>0.207377537</v>
      </c>
      <c r="Q171" s="7">
        <v>5.4394675000000003E-2</v>
      </c>
      <c r="R171" s="7">
        <v>7.4148934999999999E-2</v>
      </c>
      <c r="S171" s="7">
        <v>5.2293135999999997E-2</v>
      </c>
      <c r="T171" s="7">
        <v>4.1710777999999997E-2</v>
      </c>
      <c r="U171" s="7">
        <v>7.9374842000000001E-2</v>
      </c>
      <c r="V171" s="7">
        <v>0.18052171006962481</v>
      </c>
      <c r="W171" s="7">
        <v>0.24128906275613113</v>
      </c>
      <c r="X171" s="7">
        <v>0.18071874311759042</v>
      </c>
      <c r="Y171" s="7">
        <v>-0.28869661707194449</v>
      </c>
      <c r="Z171" s="7">
        <v>0.22074836528442374</v>
      </c>
      <c r="AA171" s="7">
        <v>0.16072242901960151</v>
      </c>
      <c r="AB171" s="4">
        <v>0</v>
      </c>
      <c r="AC171" s="4">
        <v>1</v>
      </c>
      <c r="AD171" s="4">
        <v>1</v>
      </c>
    </row>
    <row r="172" spans="1:30" x14ac:dyDescent="0.3">
      <c r="A172" s="6">
        <v>44819</v>
      </c>
      <c r="B172" s="7">
        <v>0.16570832699999999</v>
      </c>
      <c r="C172" s="7">
        <v>7.8953862E-2</v>
      </c>
      <c r="D172" s="7">
        <v>0.26900807500000001</v>
      </c>
      <c r="E172" s="7">
        <v>8.2859321E-2</v>
      </c>
      <c r="F172" s="7">
        <v>8.8458544E-2</v>
      </c>
      <c r="G172" s="7">
        <v>7.4152709999999997E-2</v>
      </c>
      <c r="H172" s="7">
        <v>0.112366857</v>
      </c>
      <c r="I172" s="7">
        <v>0.12500889500000001</v>
      </c>
      <c r="J172" s="7">
        <v>8.4038671999999995E-2</v>
      </c>
      <c r="K172" s="7">
        <v>4.6291694000000001E-2</v>
      </c>
      <c r="L172" s="7">
        <v>0.15150133599999999</v>
      </c>
      <c r="M172" s="7">
        <v>0.13343727599999999</v>
      </c>
      <c r="N172" s="7">
        <v>7.7391459999999995E-2</v>
      </c>
      <c r="O172" s="7">
        <v>5.7747654000000002E-2</v>
      </c>
      <c r="P172" s="7">
        <v>0.179852647</v>
      </c>
      <c r="Q172" s="7">
        <v>9.4164433000000006E-2</v>
      </c>
      <c r="R172" s="7">
        <v>9.4569942000000004E-2</v>
      </c>
      <c r="S172" s="7">
        <v>4.6049991999999998E-2</v>
      </c>
      <c r="T172" s="7">
        <v>0.207377537</v>
      </c>
      <c r="U172" s="7">
        <v>5.4394675000000003E-2</v>
      </c>
      <c r="V172" s="7">
        <v>0.28482637572248137</v>
      </c>
      <c r="W172" s="7">
        <v>0.23410455599119451</v>
      </c>
      <c r="X172" s="7">
        <v>0.17531604066273648</v>
      </c>
      <c r="Y172" s="7">
        <v>-0.1378547813828179</v>
      </c>
      <c r="Z172" s="7">
        <v>0.22077392953666322</v>
      </c>
      <c r="AA172" s="7">
        <v>0.16094234646774663</v>
      </c>
      <c r="AB172" s="4">
        <v>0</v>
      </c>
      <c r="AC172" s="4">
        <v>1</v>
      </c>
      <c r="AD172" s="4">
        <v>1</v>
      </c>
    </row>
    <row r="173" spans="1:30" x14ac:dyDescent="0.3">
      <c r="A173" s="6">
        <v>44820</v>
      </c>
      <c r="B173" s="7">
        <v>0.179404178</v>
      </c>
      <c r="C173" s="7">
        <v>9.3845923999999997E-2</v>
      </c>
      <c r="D173" s="7">
        <v>0.25203055800000002</v>
      </c>
      <c r="E173" s="7">
        <v>0.105670577</v>
      </c>
      <c r="F173" s="7">
        <v>0.16570832699999999</v>
      </c>
      <c r="G173" s="7">
        <v>7.8953862E-2</v>
      </c>
      <c r="H173" s="7">
        <v>0.26900807500000001</v>
      </c>
      <c r="I173" s="7">
        <v>8.2859321E-2</v>
      </c>
      <c r="J173" s="7">
        <v>8.8458544E-2</v>
      </c>
      <c r="K173" s="7">
        <v>7.4152709999999997E-2</v>
      </c>
      <c r="L173" s="7">
        <v>0.112366857</v>
      </c>
      <c r="M173" s="7">
        <v>0.12500889500000001</v>
      </c>
      <c r="N173" s="7">
        <v>8.4038671999999995E-2</v>
      </c>
      <c r="O173" s="7">
        <v>4.6291694000000001E-2</v>
      </c>
      <c r="P173" s="7">
        <v>0.15150133599999999</v>
      </c>
      <c r="Q173" s="7">
        <v>0.13343727599999999</v>
      </c>
      <c r="R173" s="7">
        <v>7.7391459999999995E-2</v>
      </c>
      <c r="S173" s="7">
        <v>5.7747654000000002E-2</v>
      </c>
      <c r="T173" s="7">
        <v>0.179852647</v>
      </c>
      <c r="U173" s="7">
        <v>9.4164433000000006E-2</v>
      </c>
      <c r="V173" s="7">
        <v>0.28482637572248137</v>
      </c>
      <c r="W173" s="7">
        <v>0.2332349735148441</v>
      </c>
      <c r="X173" s="7">
        <v>0.17478330818830579</v>
      </c>
      <c r="Y173" s="7">
        <v>-0.1378547813828179</v>
      </c>
      <c r="Z173" s="7">
        <v>0.22103911414035274</v>
      </c>
      <c r="AA173" s="7">
        <v>0.16077725342503593</v>
      </c>
      <c r="AB173" s="4">
        <v>0</v>
      </c>
      <c r="AC173" s="4">
        <v>1</v>
      </c>
      <c r="AD173" s="4">
        <v>1</v>
      </c>
    </row>
    <row r="174" spans="1:30" x14ac:dyDescent="0.3">
      <c r="A174" s="6">
        <v>44823</v>
      </c>
      <c r="B174" s="7">
        <v>0.28215588400000002</v>
      </c>
      <c r="C174" s="7">
        <v>0.14653197200000001</v>
      </c>
      <c r="D174" s="7">
        <v>0.26624205000000001</v>
      </c>
      <c r="E174" s="7">
        <v>0.178408183</v>
      </c>
      <c r="F174" s="7">
        <v>0.179404178</v>
      </c>
      <c r="G174" s="7">
        <v>9.3845923999999997E-2</v>
      </c>
      <c r="H174" s="7">
        <v>0.25203055800000002</v>
      </c>
      <c r="I174" s="7">
        <v>0.105670577</v>
      </c>
      <c r="J174" s="7">
        <v>0.16570832699999999</v>
      </c>
      <c r="K174" s="7">
        <v>7.8953862E-2</v>
      </c>
      <c r="L174" s="7">
        <v>0.26900807500000001</v>
      </c>
      <c r="M174" s="7">
        <v>8.2859321E-2</v>
      </c>
      <c r="N174" s="7">
        <v>8.8458544E-2</v>
      </c>
      <c r="O174" s="7">
        <v>7.4152709999999997E-2</v>
      </c>
      <c r="P174" s="7">
        <v>0.112366857</v>
      </c>
      <c r="Q174" s="7">
        <v>0.12500889500000001</v>
      </c>
      <c r="R174" s="7">
        <v>8.4038671999999995E-2</v>
      </c>
      <c r="S174" s="7">
        <v>4.6291694000000001E-2</v>
      </c>
      <c r="T174" s="7">
        <v>0.15150133599999999</v>
      </c>
      <c r="U174" s="7">
        <v>0.13343727599999999</v>
      </c>
      <c r="V174" s="7">
        <v>0.18052171006962481</v>
      </c>
      <c r="W174" s="7">
        <v>0.23241500377410543</v>
      </c>
      <c r="X174" s="7">
        <v>0.17296351950285815</v>
      </c>
      <c r="Y174" s="7">
        <v>-0.1378547813828179</v>
      </c>
      <c r="Z174" s="7">
        <v>0.22105432460053201</v>
      </c>
      <c r="AA174" s="7">
        <v>0.16077466559273709</v>
      </c>
      <c r="AB174" s="4">
        <v>0</v>
      </c>
      <c r="AC174" s="4">
        <v>1</v>
      </c>
      <c r="AD174" s="4">
        <v>1</v>
      </c>
    </row>
    <row r="175" spans="1:30" x14ac:dyDescent="0.3">
      <c r="A175" s="6">
        <v>44824</v>
      </c>
      <c r="B175" s="7">
        <v>0.17907045599999999</v>
      </c>
      <c r="C175" s="7">
        <v>0.188876865</v>
      </c>
      <c r="D175" s="7">
        <v>0.36918074899999997</v>
      </c>
      <c r="E175" s="7">
        <v>0.23996619499999999</v>
      </c>
      <c r="F175" s="7">
        <v>0.28215588400000002</v>
      </c>
      <c r="G175" s="7">
        <v>0.14653197200000001</v>
      </c>
      <c r="H175" s="7">
        <v>0.26624205000000001</v>
      </c>
      <c r="I175" s="7">
        <v>0.178408183</v>
      </c>
      <c r="J175" s="7">
        <v>0.179404178</v>
      </c>
      <c r="K175" s="7">
        <v>9.3845923999999997E-2</v>
      </c>
      <c r="L175" s="7">
        <v>0.25203055800000002</v>
      </c>
      <c r="M175" s="7">
        <v>0.105670577</v>
      </c>
      <c r="N175" s="7">
        <v>0.16570832699999999</v>
      </c>
      <c r="O175" s="7">
        <v>7.8953862E-2</v>
      </c>
      <c r="P175" s="7">
        <v>0.26900807500000001</v>
      </c>
      <c r="Q175" s="7">
        <v>8.2859321E-2</v>
      </c>
      <c r="R175" s="7">
        <v>8.8458544E-2</v>
      </c>
      <c r="S175" s="7">
        <v>7.4152709999999997E-2</v>
      </c>
      <c r="T175" s="7">
        <v>0.112366857</v>
      </c>
      <c r="U175" s="7">
        <v>0.12500889500000001</v>
      </c>
      <c r="V175" s="7">
        <v>0.18052171006962481</v>
      </c>
      <c r="W175" s="7">
        <v>0.23225248985134569</v>
      </c>
      <c r="X175" s="7">
        <v>0.17286335295500271</v>
      </c>
      <c r="Y175" s="7">
        <v>-0.1378547813828179</v>
      </c>
      <c r="Z175" s="7">
        <v>0.22165758837184515</v>
      </c>
      <c r="AA175" s="7">
        <v>0.16136710374602928</v>
      </c>
      <c r="AB175" s="4">
        <v>0</v>
      </c>
      <c r="AC175" s="4">
        <v>1</v>
      </c>
      <c r="AD175" s="4">
        <v>1</v>
      </c>
    </row>
    <row r="176" spans="1:30" x14ac:dyDescent="0.3">
      <c r="A176" s="6">
        <v>44825</v>
      </c>
      <c r="B176" s="7">
        <v>5.4170771E-2</v>
      </c>
      <c r="C176" s="7">
        <v>7.5740555000000001E-2</v>
      </c>
      <c r="D176" s="7">
        <v>3.6113621999999998E-2</v>
      </c>
      <c r="E176" s="7">
        <v>5.8855490000000003E-2</v>
      </c>
      <c r="F176" s="7">
        <v>0.17907045599999999</v>
      </c>
      <c r="G176" s="7">
        <v>0.188876865</v>
      </c>
      <c r="H176" s="7">
        <v>0.36918074899999997</v>
      </c>
      <c r="I176" s="7">
        <v>0.23996619499999999</v>
      </c>
      <c r="J176" s="7">
        <v>0.28215588400000002</v>
      </c>
      <c r="K176" s="7">
        <v>0.14653197200000001</v>
      </c>
      <c r="L176" s="7">
        <v>0.26624205000000001</v>
      </c>
      <c r="M176" s="7">
        <v>0.178408183</v>
      </c>
      <c r="N176" s="7">
        <v>0.179404178</v>
      </c>
      <c r="O176" s="7">
        <v>9.3845923999999997E-2</v>
      </c>
      <c r="P176" s="7">
        <v>0.25203055800000002</v>
      </c>
      <c r="Q176" s="7">
        <v>0.105670577</v>
      </c>
      <c r="R176" s="7">
        <v>0.16570832699999999</v>
      </c>
      <c r="S176" s="7">
        <v>7.8953862E-2</v>
      </c>
      <c r="T176" s="7">
        <v>0.26900807500000001</v>
      </c>
      <c r="U176" s="7">
        <v>8.2859321E-2</v>
      </c>
      <c r="V176" s="7">
        <v>0.18052171006962481</v>
      </c>
      <c r="W176" s="7">
        <v>0.23255159910241513</v>
      </c>
      <c r="X176" s="7">
        <v>0.17299614715131947</v>
      </c>
      <c r="Y176" s="7">
        <v>-0.28869661707194449</v>
      </c>
      <c r="Z176" s="7">
        <v>0.2210064507316723</v>
      </c>
      <c r="AA176" s="7">
        <v>0.16019738523988097</v>
      </c>
      <c r="AB176" s="4">
        <v>0</v>
      </c>
      <c r="AC176" s="4">
        <v>1</v>
      </c>
      <c r="AD176" s="4">
        <v>1</v>
      </c>
    </row>
    <row r="177" spans="1:30" x14ac:dyDescent="0.3">
      <c r="A177" s="6">
        <v>44826</v>
      </c>
      <c r="B177" s="7">
        <v>9.0759324000000002E-2</v>
      </c>
      <c r="C177" s="7">
        <v>4.0041844E-2</v>
      </c>
      <c r="D177" s="7">
        <v>0.14679406</v>
      </c>
      <c r="E177" s="7">
        <v>5.9442004999999999E-2</v>
      </c>
      <c r="F177" s="7">
        <v>5.4170771E-2</v>
      </c>
      <c r="G177" s="7">
        <v>7.5740555000000001E-2</v>
      </c>
      <c r="H177" s="7">
        <v>3.6113621999999998E-2</v>
      </c>
      <c r="I177" s="7">
        <v>5.8855490000000003E-2</v>
      </c>
      <c r="J177" s="7">
        <v>0.17907045599999999</v>
      </c>
      <c r="K177" s="7">
        <v>0.188876865</v>
      </c>
      <c r="L177" s="7">
        <v>0.36918074899999997</v>
      </c>
      <c r="M177" s="7">
        <v>0.23996619499999999</v>
      </c>
      <c r="N177" s="7">
        <v>0.28215588400000002</v>
      </c>
      <c r="O177" s="7">
        <v>0.14653197200000001</v>
      </c>
      <c r="P177" s="7">
        <v>0.26624205000000001</v>
      </c>
      <c r="Q177" s="7">
        <v>0.178408183</v>
      </c>
      <c r="R177" s="7">
        <v>0.179404178</v>
      </c>
      <c r="S177" s="7">
        <v>9.3845923999999997E-2</v>
      </c>
      <c r="T177" s="7">
        <v>0.25203055800000002</v>
      </c>
      <c r="U177" s="7">
        <v>0.105670577</v>
      </c>
      <c r="V177" s="7">
        <v>0.18052171006962481</v>
      </c>
      <c r="W177" s="7">
        <v>0.23163676081517526</v>
      </c>
      <c r="X177" s="7">
        <v>0.17231249473523438</v>
      </c>
      <c r="Y177" s="7">
        <v>-0.28869661707194449</v>
      </c>
      <c r="Z177" s="7">
        <v>0.22147920351050665</v>
      </c>
      <c r="AA177" s="7">
        <v>0.16023144361750433</v>
      </c>
      <c r="AB177" s="4">
        <v>0</v>
      </c>
      <c r="AC177" s="4">
        <v>1</v>
      </c>
      <c r="AD177" s="4">
        <v>1</v>
      </c>
    </row>
    <row r="178" spans="1:30" x14ac:dyDescent="0.3">
      <c r="A178" s="6">
        <v>44827</v>
      </c>
      <c r="B178" s="7">
        <v>0.11968814899999999</v>
      </c>
      <c r="C178" s="7">
        <v>8.3019873999999994E-2</v>
      </c>
      <c r="D178" s="7">
        <v>8.9795596000000005E-2</v>
      </c>
      <c r="E178" s="7">
        <v>4.9696629999999999E-2</v>
      </c>
      <c r="F178" s="7">
        <v>9.0759324000000002E-2</v>
      </c>
      <c r="G178" s="7">
        <v>4.0041844E-2</v>
      </c>
      <c r="H178" s="7">
        <v>0.14679406</v>
      </c>
      <c r="I178" s="7">
        <v>5.9442004999999999E-2</v>
      </c>
      <c r="J178" s="7">
        <v>5.4170771E-2</v>
      </c>
      <c r="K178" s="7">
        <v>7.5740555000000001E-2</v>
      </c>
      <c r="L178" s="7">
        <v>3.6113621999999998E-2</v>
      </c>
      <c r="M178" s="7">
        <v>5.8855490000000003E-2</v>
      </c>
      <c r="N178" s="7">
        <v>0.17907045599999999</v>
      </c>
      <c r="O178" s="7">
        <v>0.188876865</v>
      </c>
      <c r="P178" s="7">
        <v>0.36918074899999997</v>
      </c>
      <c r="Q178" s="7">
        <v>0.23996619499999999</v>
      </c>
      <c r="R178" s="7">
        <v>0.28215588400000002</v>
      </c>
      <c r="S178" s="7">
        <v>0.14653197200000001</v>
      </c>
      <c r="T178" s="7">
        <v>0.26624205000000001</v>
      </c>
      <c r="U178" s="7">
        <v>0.178408183</v>
      </c>
      <c r="V178" s="7">
        <v>0.18052171006962481</v>
      </c>
      <c r="W178" s="7">
        <v>0.22349618347204475</v>
      </c>
      <c r="X178" s="7">
        <v>0.16403782395965527</v>
      </c>
      <c r="Y178" s="7">
        <v>-0.28869661707194449</v>
      </c>
      <c r="Z178" s="7">
        <v>0.22216661164522528</v>
      </c>
      <c r="AA178" s="7">
        <v>0.16048986536759779</v>
      </c>
      <c r="AB178" s="4">
        <v>0</v>
      </c>
      <c r="AC178" s="4">
        <v>1</v>
      </c>
      <c r="AD178" s="4">
        <v>1</v>
      </c>
    </row>
    <row r="179" spans="1:30" x14ac:dyDescent="0.3">
      <c r="A179" s="6">
        <v>44830</v>
      </c>
      <c r="B179" s="7">
        <v>0.112964301</v>
      </c>
      <c r="C179" s="7">
        <v>5.1469033999999997E-2</v>
      </c>
      <c r="D179" s="7">
        <v>6.4447616999999999E-2</v>
      </c>
      <c r="E179" s="7">
        <v>6.3833110999999998E-2</v>
      </c>
      <c r="F179" s="7">
        <v>0.11968814899999999</v>
      </c>
      <c r="G179" s="7">
        <v>8.3019873999999994E-2</v>
      </c>
      <c r="H179" s="7">
        <v>8.9795596000000005E-2</v>
      </c>
      <c r="I179" s="7">
        <v>4.9696629999999999E-2</v>
      </c>
      <c r="J179" s="7">
        <v>9.0759324000000002E-2</v>
      </c>
      <c r="K179" s="7">
        <v>4.0041844E-2</v>
      </c>
      <c r="L179" s="7">
        <v>0.14679406</v>
      </c>
      <c r="M179" s="7">
        <v>5.9442004999999999E-2</v>
      </c>
      <c r="N179" s="7">
        <v>5.4170771E-2</v>
      </c>
      <c r="O179" s="7">
        <v>7.5740555000000001E-2</v>
      </c>
      <c r="P179" s="7">
        <v>3.6113621999999998E-2</v>
      </c>
      <c r="Q179" s="7">
        <v>5.8855490000000003E-2</v>
      </c>
      <c r="R179" s="7">
        <v>0.17907045599999999</v>
      </c>
      <c r="S179" s="7">
        <v>0.188876865</v>
      </c>
      <c r="T179" s="7">
        <v>0.36918074899999997</v>
      </c>
      <c r="U179" s="7">
        <v>0.23996619499999999</v>
      </c>
      <c r="V179" s="7">
        <v>0.18052171006962481</v>
      </c>
      <c r="W179" s="7">
        <v>0.21097562398788558</v>
      </c>
      <c r="X179" s="7">
        <v>0.15017628140021072</v>
      </c>
      <c r="Y179" s="7">
        <v>-0.29747851525899743</v>
      </c>
      <c r="Z179" s="7">
        <v>0.22324282696671327</v>
      </c>
      <c r="AA179" s="7">
        <v>0.16096436797054528</v>
      </c>
      <c r="AB179" s="4">
        <v>0</v>
      </c>
      <c r="AC179" s="4">
        <v>1</v>
      </c>
      <c r="AD179" s="4">
        <v>1</v>
      </c>
    </row>
    <row r="180" spans="1:30" x14ac:dyDescent="0.3">
      <c r="A180" s="6">
        <v>44831</v>
      </c>
      <c r="B180" s="7">
        <v>7.4431962000000004E-2</v>
      </c>
      <c r="C180" s="7">
        <v>4.8524187000000003E-2</v>
      </c>
      <c r="D180" s="7">
        <v>9.0937719E-2</v>
      </c>
      <c r="E180" s="7">
        <v>6.8760903999999998E-2</v>
      </c>
      <c r="F180" s="7">
        <v>0.112964301</v>
      </c>
      <c r="G180" s="7">
        <v>5.1469033999999997E-2</v>
      </c>
      <c r="H180" s="7">
        <v>6.4447616999999999E-2</v>
      </c>
      <c r="I180" s="7">
        <v>6.3833110999999998E-2</v>
      </c>
      <c r="J180" s="7">
        <v>0.11968814899999999</v>
      </c>
      <c r="K180" s="7">
        <v>8.3019873999999994E-2</v>
      </c>
      <c r="L180" s="7">
        <v>8.9795596000000005E-2</v>
      </c>
      <c r="M180" s="7">
        <v>4.9696629999999999E-2</v>
      </c>
      <c r="N180" s="7">
        <v>9.0759324000000002E-2</v>
      </c>
      <c r="O180" s="7">
        <v>4.0041844E-2</v>
      </c>
      <c r="P180" s="7">
        <v>0.14679406</v>
      </c>
      <c r="Q180" s="7">
        <v>5.9442004999999999E-2</v>
      </c>
      <c r="R180" s="7">
        <v>5.4170771E-2</v>
      </c>
      <c r="S180" s="7">
        <v>7.5740555000000001E-2</v>
      </c>
      <c r="T180" s="7">
        <v>3.6113621999999998E-2</v>
      </c>
      <c r="U180" s="7">
        <v>5.8855490000000003E-2</v>
      </c>
      <c r="V180" s="7">
        <v>0.28482637572248137</v>
      </c>
      <c r="W180" s="7">
        <v>0.21083506474813127</v>
      </c>
      <c r="X180" s="7">
        <v>0.15116064575730592</v>
      </c>
      <c r="Y180" s="7">
        <v>-0.1378547813828179</v>
      </c>
      <c r="Z180" s="7">
        <v>0.22109392726255919</v>
      </c>
      <c r="AA180" s="7">
        <v>0.1598230592776459</v>
      </c>
      <c r="AB180" s="4">
        <v>0</v>
      </c>
      <c r="AC180" s="4">
        <v>1</v>
      </c>
      <c r="AD180" s="4">
        <v>1</v>
      </c>
    </row>
    <row r="181" spans="1:30" x14ac:dyDescent="0.3">
      <c r="A181" s="6">
        <v>44832</v>
      </c>
      <c r="B181" s="7">
        <v>9.1676750000000001E-2</v>
      </c>
      <c r="C181" s="7">
        <v>5.6834448000000003E-2</v>
      </c>
      <c r="D181" s="7">
        <v>2.8224547999999999E-2</v>
      </c>
      <c r="E181" s="7">
        <v>7.2535388000000006E-2</v>
      </c>
      <c r="F181" s="7">
        <v>7.4431962000000004E-2</v>
      </c>
      <c r="G181" s="7">
        <v>4.8524187000000003E-2</v>
      </c>
      <c r="H181" s="7">
        <v>9.0937719E-2</v>
      </c>
      <c r="I181" s="7">
        <v>6.8760903999999998E-2</v>
      </c>
      <c r="J181" s="7">
        <v>0.112964301</v>
      </c>
      <c r="K181" s="7">
        <v>5.1469033999999997E-2</v>
      </c>
      <c r="L181" s="7">
        <v>6.4447616999999999E-2</v>
      </c>
      <c r="M181" s="7">
        <v>6.3833110999999998E-2</v>
      </c>
      <c r="N181" s="7">
        <v>0.11968814899999999</v>
      </c>
      <c r="O181" s="7">
        <v>8.3019873999999994E-2</v>
      </c>
      <c r="P181" s="7">
        <v>8.9795596000000005E-2</v>
      </c>
      <c r="Q181" s="7">
        <v>4.9696629999999999E-2</v>
      </c>
      <c r="R181" s="7">
        <v>9.0759324000000002E-2</v>
      </c>
      <c r="S181" s="7">
        <v>4.0041844E-2</v>
      </c>
      <c r="T181" s="7">
        <v>0.14679406</v>
      </c>
      <c r="U181" s="7">
        <v>5.9442004999999999E-2</v>
      </c>
      <c r="V181" s="7">
        <v>0.18052171006962481</v>
      </c>
      <c r="W181" s="7">
        <v>0.21917120598754128</v>
      </c>
      <c r="X181" s="7">
        <v>0.15840349975928553</v>
      </c>
      <c r="Y181" s="7">
        <v>-0.29747851525899743</v>
      </c>
      <c r="Z181" s="7">
        <v>0.22495242381743832</v>
      </c>
      <c r="AA181" s="7">
        <v>0.16282092761944952</v>
      </c>
      <c r="AB181" s="4">
        <v>1</v>
      </c>
      <c r="AC181" s="4">
        <v>0</v>
      </c>
      <c r="AD181" s="4">
        <v>1</v>
      </c>
    </row>
    <row r="182" spans="1:30" x14ac:dyDescent="0.3">
      <c r="A182" s="6">
        <v>44833</v>
      </c>
      <c r="B182" s="7">
        <v>0.13248323400000001</v>
      </c>
      <c r="C182" s="7">
        <v>5.3794183000000002E-2</v>
      </c>
      <c r="D182" s="7">
        <v>0.17537129700000001</v>
      </c>
      <c r="E182" s="7">
        <v>6.8316773999999997E-2</v>
      </c>
      <c r="F182" s="7">
        <v>9.1676750000000001E-2</v>
      </c>
      <c r="G182" s="7">
        <v>5.6834448000000003E-2</v>
      </c>
      <c r="H182" s="7">
        <v>2.8224547999999999E-2</v>
      </c>
      <c r="I182" s="7">
        <v>7.2535388000000006E-2</v>
      </c>
      <c r="J182" s="7">
        <v>7.4431962000000004E-2</v>
      </c>
      <c r="K182" s="7">
        <v>4.8524187000000003E-2</v>
      </c>
      <c r="L182" s="7">
        <v>9.0937719E-2</v>
      </c>
      <c r="M182" s="7">
        <v>6.8760903999999998E-2</v>
      </c>
      <c r="N182" s="7">
        <v>0.112964301</v>
      </c>
      <c r="O182" s="7">
        <v>5.1469033999999997E-2</v>
      </c>
      <c r="P182" s="7">
        <v>6.4447616999999999E-2</v>
      </c>
      <c r="Q182" s="7">
        <v>6.3833110999999998E-2</v>
      </c>
      <c r="R182" s="7">
        <v>0.11968814899999999</v>
      </c>
      <c r="S182" s="7">
        <v>8.3019873999999994E-2</v>
      </c>
      <c r="T182" s="7">
        <v>8.9795596000000005E-2</v>
      </c>
      <c r="U182" s="7">
        <v>4.9696629999999999E-2</v>
      </c>
      <c r="V182" s="7">
        <v>0.28482637572248137</v>
      </c>
      <c r="W182" s="7">
        <v>0.21049493272782313</v>
      </c>
      <c r="X182" s="7">
        <v>0.1511046653781469</v>
      </c>
      <c r="Y182" s="7">
        <v>-0.1378547813828179</v>
      </c>
      <c r="Z182" s="7">
        <v>0.22498035659133533</v>
      </c>
      <c r="AA182" s="7">
        <v>0.16357823491392556</v>
      </c>
      <c r="AB182" s="4">
        <v>1</v>
      </c>
      <c r="AC182" s="4">
        <v>0</v>
      </c>
      <c r="AD182" s="4">
        <v>1</v>
      </c>
    </row>
    <row r="183" spans="1:30" x14ac:dyDescent="0.3">
      <c r="A183" s="6">
        <v>44834</v>
      </c>
      <c r="B183" s="7">
        <v>0.12002279</v>
      </c>
      <c r="C183" s="7">
        <v>4.7759597000000001E-2</v>
      </c>
      <c r="D183" s="7">
        <v>0.18324689</v>
      </c>
      <c r="E183" s="7">
        <v>7.1102283000000002E-2</v>
      </c>
      <c r="F183" s="7">
        <v>0.13248323400000001</v>
      </c>
      <c r="G183" s="7">
        <v>5.3794183000000002E-2</v>
      </c>
      <c r="H183" s="7">
        <v>0.17537129700000001</v>
      </c>
      <c r="I183" s="7">
        <v>6.8316773999999997E-2</v>
      </c>
      <c r="J183" s="7">
        <v>9.1676750000000001E-2</v>
      </c>
      <c r="K183" s="7">
        <v>5.6834448000000003E-2</v>
      </c>
      <c r="L183" s="7">
        <v>2.8224547999999999E-2</v>
      </c>
      <c r="M183" s="7">
        <v>7.2535388000000006E-2</v>
      </c>
      <c r="N183" s="7">
        <v>7.4431962000000004E-2</v>
      </c>
      <c r="O183" s="7">
        <v>4.8524187000000003E-2</v>
      </c>
      <c r="P183" s="7">
        <v>9.0937719E-2</v>
      </c>
      <c r="Q183" s="7">
        <v>6.8760903999999998E-2</v>
      </c>
      <c r="R183" s="7">
        <v>0.112964301</v>
      </c>
      <c r="S183" s="7">
        <v>5.1469033999999997E-2</v>
      </c>
      <c r="T183" s="7">
        <v>6.4447616999999999E-2</v>
      </c>
      <c r="U183" s="7">
        <v>6.3833110999999998E-2</v>
      </c>
      <c r="V183" s="7">
        <v>0.18052171006962481</v>
      </c>
      <c r="W183" s="7">
        <v>0.20176500402375472</v>
      </c>
      <c r="X183" s="7">
        <v>0.14676260285525936</v>
      </c>
      <c r="Y183" s="7">
        <v>-0.1378547813828179</v>
      </c>
      <c r="Z183" s="7">
        <v>0.22525195691631078</v>
      </c>
      <c r="AA183" s="7">
        <v>0.16353430274905251</v>
      </c>
      <c r="AB183" s="4">
        <v>1</v>
      </c>
      <c r="AC183" s="4">
        <v>0</v>
      </c>
      <c r="AD183" s="4">
        <v>1</v>
      </c>
    </row>
    <row r="184" spans="1:30" x14ac:dyDescent="0.3">
      <c r="A184" s="6">
        <v>44837</v>
      </c>
      <c r="B184" s="7">
        <v>0.137377254</v>
      </c>
      <c r="C184" s="7">
        <v>7.4775597999999999E-2</v>
      </c>
      <c r="D184" s="7">
        <v>0.134192173</v>
      </c>
      <c r="E184" s="7">
        <v>8.1373977E-2</v>
      </c>
      <c r="F184" s="7">
        <v>0.12002279</v>
      </c>
      <c r="G184" s="7">
        <v>4.7759597000000001E-2</v>
      </c>
      <c r="H184" s="7">
        <v>0.18324689</v>
      </c>
      <c r="I184" s="7">
        <v>7.1102283000000002E-2</v>
      </c>
      <c r="J184" s="7">
        <v>0.13248323400000001</v>
      </c>
      <c r="K184" s="7">
        <v>5.3794183000000002E-2</v>
      </c>
      <c r="L184" s="7">
        <v>0.17537129700000001</v>
      </c>
      <c r="M184" s="7">
        <v>6.8316773999999997E-2</v>
      </c>
      <c r="N184" s="7">
        <v>9.1676750000000001E-2</v>
      </c>
      <c r="O184" s="7">
        <v>5.6834448000000003E-2</v>
      </c>
      <c r="P184" s="7">
        <v>2.8224547999999999E-2</v>
      </c>
      <c r="Q184" s="7">
        <v>7.2535388000000006E-2</v>
      </c>
      <c r="R184" s="7">
        <v>7.4431962000000004E-2</v>
      </c>
      <c r="S184" s="7">
        <v>4.8524187000000003E-2</v>
      </c>
      <c r="T184" s="7">
        <v>9.0937719E-2</v>
      </c>
      <c r="U184" s="7">
        <v>6.8760903999999998E-2</v>
      </c>
      <c r="V184" s="7">
        <v>-1.1403834680577596E-2</v>
      </c>
      <c r="W184" s="7">
        <v>0.20058565708397835</v>
      </c>
      <c r="X184" s="7">
        <v>0.14476831650978819</v>
      </c>
      <c r="Y184" s="7">
        <v>-0.29747851525899743</v>
      </c>
      <c r="Z184" s="7">
        <v>0.222656947979258</v>
      </c>
      <c r="AA184" s="7">
        <v>0.16161200151599564</v>
      </c>
      <c r="AB184" s="4">
        <v>0</v>
      </c>
      <c r="AC184" s="4">
        <v>0</v>
      </c>
      <c r="AD184" s="4">
        <v>0</v>
      </c>
    </row>
    <row r="185" spans="1:30" x14ac:dyDescent="0.3">
      <c r="A185" s="6">
        <v>44838</v>
      </c>
      <c r="B185" s="7">
        <v>6.1793426999999998E-2</v>
      </c>
      <c r="C185" s="7">
        <v>6.3005811999999994E-2</v>
      </c>
      <c r="D185" s="7">
        <v>0.13052117599999999</v>
      </c>
      <c r="E185" s="7">
        <v>8.4243551E-2</v>
      </c>
      <c r="F185" s="7">
        <v>0.137377254</v>
      </c>
      <c r="G185" s="7">
        <v>7.4775597999999999E-2</v>
      </c>
      <c r="H185" s="7">
        <v>0.134192173</v>
      </c>
      <c r="I185" s="7">
        <v>8.1373977E-2</v>
      </c>
      <c r="J185" s="7">
        <v>0.12002279</v>
      </c>
      <c r="K185" s="7">
        <v>4.7759597000000001E-2</v>
      </c>
      <c r="L185" s="7">
        <v>0.18324689</v>
      </c>
      <c r="M185" s="7">
        <v>7.1102283000000002E-2</v>
      </c>
      <c r="N185" s="7">
        <v>0.13248323400000001</v>
      </c>
      <c r="O185" s="7">
        <v>5.3794183000000002E-2</v>
      </c>
      <c r="P185" s="7">
        <v>0.17537129700000001</v>
      </c>
      <c r="Q185" s="7">
        <v>6.8316773999999997E-2</v>
      </c>
      <c r="R185" s="7">
        <v>9.1676750000000001E-2</v>
      </c>
      <c r="S185" s="7">
        <v>5.6834448000000003E-2</v>
      </c>
      <c r="T185" s="7">
        <v>2.8224547999999999E-2</v>
      </c>
      <c r="U185" s="7">
        <v>7.2535388000000006E-2</v>
      </c>
      <c r="V185" s="7">
        <v>0.18052171006962481</v>
      </c>
      <c r="W185" s="7">
        <v>0.2072475046452604</v>
      </c>
      <c r="X185" s="7">
        <v>0.14873144967754656</v>
      </c>
      <c r="Y185" s="7">
        <v>-0.1378547813828179</v>
      </c>
      <c r="Z185" s="7">
        <v>0.22601789165390759</v>
      </c>
      <c r="AA185" s="7">
        <v>0.16366735064022433</v>
      </c>
      <c r="AB185" s="4">
        <v>0</v>
      </c>
      <c r="AC185" s="4">
        <v>1</v>
      </c>
      <c r="AD185" s="4">
        <v>1</v>
      </c>
    </row>
    <row r="186" spans="1:30" x14ac:dyDescent="0.3">
      <c r="A186" s="6">
        <v>44839</v>
      </c>
      <c r="B186" s="7">
        <v>4.3634602000000001E-2</v>
      </c>
      <c r="C186" s="7">
        <v>6.1687084000000003E-2</v>
      </c>
      <c r="D186" s="7">
        <v>8.4205671999999995E-2</v>
      </c>
      <c r="E186" s="7">
        <v>8.9904971E-2</v>
      </c>
      <c r="F186" s="7">
        <v>6.1793426999999998E-2</v>
      </c>
      <c r="G186" s="7">
        <v>6.3005811999999994E-2</v>
      </c>
      <c r="H186" s="7">
        <v>0.13052117599999999</v>
      </c>
      <c r="I186" s="7">
        <v>8.4243551E-2</v>
      </c>
      <c r="J186" s="7">
        <v>0.137377254</v>
      </c>
      <c r="K186" s="7">
        <v>7.4775597999999999E-2</v>
      </c>
      <c r="L186" s="7">
        <v>0.134192173</v>
      </c>
      <c r="M186" s="7">
        <v>8.1373977E-2</v>
      </c>
      <c r="N186" s="7">
        <v>0.12002279</v>
      </c>
      <c r="O186" s="7">
        <v>4.7759597000000001E-2</v>
      </c>
      <c r="P186" s="7">
        <v>0.18324689</v>
      </c>
      <c r="Q186" s="7">
        <v>7.1102283000000002E-2</v>
      </c>
      <c r="R186" s="7">
        <v>0.13248323400000001</v>
      </c>
      <c r="S186" s="7">
        <v>5.3794183000000002E-2</v>
      </c>
      <c r="T186" s="7">
        <v>0.17537129700000001</v>
      </c>
      <c r="U186" s="7">
        <v>6.8316773999999997E-2</v>
      </c>
      <c r="V186" s="7">
        <v>0.28482637572248137</v>
      </c>
      <c r="W186" s="7">
        <v>0.20013152245229321</v>
      </c>
      <c r="X186" s="7">
        <v>0.14059216411242251</v>
      </c>
      <c r="Y186" s="7">
        <v>-0.11631591482700403</v>
      </c>
      <c r="Z186" s="7">
        <v>0.22710263432125033</v>
      </c>
      <c r="AA186" s="7">
        <v>0.16485645491752493</v>
      </c>
      <c r="AB186" s="4">
        <v>0</v>
      </c>
      <c r="AC186" s="4">
        <v>1</v>
      </c>
      <c r="AD186" s="4">
        <v>1</v>
      </c>
    </row>
    <row r="187" spans="1:30" x14ac:dyDescent="0.3">
      <c r="A187" s="6">
        <v>44840</v>
      </c>
      <c r="B187" s="7">
        <v>0.11838483299999999</v>
      </c>
      <c r="C187" s="7">
        <v>5.7192933000000001E-2</v>
      </c>
      <c r="D187" s="7">
        <v>0.216664365</v>
      </c>
      <c r="E187" s="7">
        <v>9.3156467000000007E-2</v>
      </c>
      <c r="F187" s="7">
        <v>4.3634602000000001E-2</v>
      </c>
      <c r="G187" s="7">
        <v>6.1687084000000003E-2</v>
      </c>
      <c r="H187" s="7">
        <v>8.4205671999999995E-2</v>
      </c>
      <c r="I187" s="7">
        <v>8.9904971E-2</v>
      </c>
      <c r="J187" s="7">
        <v>6.1793426999999998E-2</v>
      </c>
      <c r="K187" s="7">
        <v>6.3005811999999994E-2</v>
      </c>
      <c r="L187" s="7">
        <v>0.13052117599999999</v>
      </c>
      <c r="M187" s="7">
        <v>8.4243551E-2</v>
      </c>
      <c r="N187" s="7">
        <v>0.137377254</v>
      </c>
      <c r="O187" s="7">
        <v>7.4775597999999999E-2</v>
      </c>
      <c r="P187" s="7">
        <v>0.134192173</v>
      </c>
      <c r="Q187" s="7">
        <v>8.1373977E-2</v>
      </c>
      <c r="R187" s="7">
        <v>0.12002279</v>
      </c>
      <c r="S187" s="7">
        <v>4.7759597000000001E-2</v>
      </c>
      <c r="T187" s="7">
        <v>0.18324689</v>
      </c>
      <c r="U187" s="7">
        <v>7.1102283000000002E-2</v>
      </c>
      <c r="V187" s="7">
        <v>0.28482637572248137</v>
      </c>
      <c r="W187" s="7">
        <v>0.18967343850063828</v>
      </c>
      <c r="X187" s="7">
        <v>0.13714405138089686</v>
      </c>
      <c r="Y187" s="7">
        <v>-0.10257140222992596</v>
      </c>
      <c r="Z187" s="7">
        <v>0.22748120697275884</v>
      </c>
      <c r="AA187" s="7">
        <v>0.16569143361997651</v>
      </c>
      <c r="AB187" s="4">
        <v>0</v>
      </c>
      <c r="AC187" s="4">
        <v>1</v>
      </c>
      <c r="AD187" s="4">
        <v>1</v>
      </c>
    </row>
    <row r="188" spans="1:30" x14ac:dyDescent="0.3">
      <c r="A188" s="6">
        <v>44841</v>
      </c>
      <c r="B188" s="7">
        <v>0.14543926900000001</v>
      </c>
      <c r="C188" s="7">
        <v>4.6548689999999997E-2</v>
      </c>
      <c r="D188" s="7">
        <v>0.150881085</v>
      </c>
      <c r="E188" s="7">
        <v>8.1257908000000004E-2</v>
      </c>
      <c r="F188" s="7">
        <v>0.11838483299999999</v>
      </c>
      <c r="G188" s="7">
        <v>5.7192933000000001E-2</v>
      </c>
      <c r="H188" s="7">
        <v>0.216664365</v>
      </c>
      <c r="I188" s="7">
        <v>9.3156467000000007E-2</v>
      </c>
      <c r="J188" s="7">
        <v>4.3634602000000001E-2</v>
      </c>
      <c r="K188" s="7">
        <v>6.1687084000000003E-2</v>
      </c>
      <c r="L188" s="7">
        <v>8.4205671999999995E-2</v>
      </c>
      <c r="M188" s="7">
        <v>8.9904971E-2</v>
      </c>
      <c r="N188" s="7">
        <v>6.1793426999999998E-2</v>
      </c>
      <c r="O188" s="7">
        <v>6.3005811999999994E-2</v>
      </c>
      <c r="P188" s="7">
        <v>0.13052117599999999</v>
      </c>
      <c r="Q188" s="7">
        <v>8.4243551E-2</v>
      </c>
      <c r="R188" s="7">
        <v>0.137377254</v>
      </c>
      <c r="S188" s="7">
        <v>7.4775597999999999E-2</v>
      </c>
      <c r="T188" s="7">
        <v>0.134192173</v>
      </c>
      <c r="U188" s="7">
        <v>8.1373977E-2</v>
      </c>
      <c r="V188" s="7">
        <v>0.18052171006962481</v>
      </c>
      <c r="W188" s="7">
        <v>0.1914540698818028</v>
      </c>
      <c r="X188" s="7">
        <v>0.13735591638376723</v>
      </c>
      <c r="Y188" s="7">
        <v>-0.11631591482700403</v>
      </c>
      <c r="Z188" s="7">
        <v>0.22819942509577856</v>
      </c>
      <c r="AA188" s="7">
        <v>0.16541815330031809</v>
      </c>
      <c r="AB188" s="4">
        <v>0</v>
      </c>
      <c r="AC188" s="4">
        <v>1</v>
      </c>
      <c r="AD188" s="4">
        <v>1</v>
      </c>
    </row>
    <row r="189" spans="1:30" x14ac:dyDescent="0.3">
      <c r="A189" s="6">
        <v>44845</v>
      </c>
      <c r="B189" s="7">
        <v>0.231569946</v>
      </c>
      <c r="C189" s="7">
        <v>0.105193482</v>
      </c>
      <c r="D189" s="7">
        <v>0.11492556900000001</v>
      </c>
      <c r="E189" s="7">
        <v>0.12568195099999999</v>
      </c>
      <c r="F189" s="7">
        <v>0.14543926900000001</v>
      </c>
      <c r="G189" s="7">
        <v>4.6548689999999997E-2</v>
      </c>
      <c r="H189" s="7">
        <v>0.150881085</v>
      </c>
      <c r="I189" s="7">
        <v>8.1257908000000004E-2</v>
      </c>
      <c r="J189" s="7">
        <v>0.11838483299999999</v>
      </c>
      <c r="K189" s="7">
        <v>5.7192933000000001E-2</v>
      </c>
      <c r="L189" s="7">
        <v>0.216664365</v>
      </c>
      <c r="M189" s="7">
        <v>9.3156467000000007E-2</v>
      </c>
      <c r="N189" s="7">
        <v>4.3634602000000001E-2</v>
      </c>
      <c r="O189" s="7">
        <v>6.1687084000000003E-2</v>
      </c>
      <c r="P189" s="7">
        <v>8.4205671999999995E-2</v>
      </c>
      <c r="Q189" s="7">
        <v>8.9904971E-2</v>
      </c>
      <c r="R189" s="7">
        <v>6.1793426999999998E-2</v>
      </c>
      <c r="S189" s="7">
        <v>6.3005811999999994E-2</v>
      </c>
      <c r="T189" s="7">
        <v>0.13052117599999999</v>
      </c>
      <c r="U189" s="7">
        <v>8.4243551E-2</v>
      </c>
      <c r="V189" s="7">
        <v>-1.1403834680577596E-2</v>
      </c>
      <c r="W189" s="7">
        <v>0.19759105344849678</v>
      </c>
      <c r="X189" s="7">
        <v>0.14212854770560659</v>
      </c>
      <c r="Y189" s="7">
        <v>-0.1378547813828179</v>
      </c>
      <c r="Z189" s="7">
        <v>0.23030890689839667</v>
      </c>
      <c r="AA189" s="7">
        <v>0.16658769239399052</v>
      </c>
      <c r="AB189" s="4">
        <v>0</v>
      </c>
      <c r="AC189" s="4">
        <v>0</v>
      </c>
      <c r="AD189" s="4">
        <v>0</v>
      </c>
    </row>
    <row r="190" spans="1:30" x14ac:dyDescent="0.3">
      <c r="A190" s="6">
        <v>44846</v>
      </c>
      <c r="B190" s="7">
        <v>0.12175003500000001</v>
      </c>
      <c r="C190" s="7">
        <v>0.113571173</v>
      </c>
      <c r="D190" s="7">
        <v>0.128951486</v>
      </c>
      <c r="E190" s="7">
        <v>0.12414164799999999</v>
      </c>
      <c r="F190" s="7">
        <v>0.231569946</v>
      </c>
      <c r="G190" s="7">
        <v>0.105193482</v>
      </c>
      <c r="H190" s="7">
        <v>0.11492556900000001</v>
      </c>
      <c r="I190" s="7">
        <v>0.12568195099999999</v>
      </c>
      <c r="J190" s="7">
        <v>0.14543926900000001</v>
      </c>
      <c r="K190" s="7">
        <v>4.6548689999999997E-2</v>
      </c>
      <c r="L190" s="7">
        <v>0.150881085</v>
      </c>
      <c r="M190" s="7">
        <v>8.1257908000000004E-2</v>
      </c>
      <c r="N190" s="7">
        <v>0.11838483299999999</v>
      </c>
      <c r="O190" s="7">
        <v>5.7192933000000001E-2</v>
      </c>
      <c r="P190" s="7">
        <v>0.216664365</v>
      </c>
      <c r="Q190" s="7">
        <v>9.3156467000000007E-2</v>
      </c>
      <c r="R190" s="7">
        <v>4.3634602000000001E-2</v>
      </c>
      <c r="S190" s="7">
        <v>6.1687084000000003E-2</v>
      </c>
      <c r="T190" s="7">
        <v>8.4205671999999995E-2</v>
      </c>
      <c r="U190" s="7">
        <v>8.9904971E-2</v>
      </c>
      <c r="V190" s="7">
        <v>-0.10257140222992596</v>
      </c>
      <c r="W190" s="7">
        <v>0.19664336372229993</v>
      </c>
      <c r="X190" s="7">
        <v>0.14065050652543909</v>
      </c>
      <c r="Y190" s="7">
        <v>-0.1378547813828179</v>
      </c>
      <c r="Z190" s="7">
        <v>0.23030787085609741</v>
      </c>
      <c r="AA190" s="7">
        <v>0.16652892607260136</v>
      </c>
      <c r="AB190" s="4">
        <v>0</v>
      </c>
      <c r="AC190" s="4">
        <v>0</v>
      </c>
      <c r="AD190" s="4">
        <v>0</v>
      </c>
    </row>
    <row r="191" spans="1:30" x14ac:dyDescent="0.3">
      <c r="A191" s="6">
        <v>44847</v>
      </c>
      <c r="B191" s="7">
        <v>0.35187023200000001</v>
      </c>
      <c r="C191" s="7">
        <v>0.12760500699999999</v>
      </c>
      <c r="D191" s="7">
        <v>0.28459689500000002</v>
      </c>
      <c r="E191" s="7">
        <v>0.15030310699999999</v>
      </c>
      <c r="F191" s="7">
        <v>0.12175003500000001</v>
      </c>
      <c r="G191" s="7">
        <v>0.113571173</v>
      </c>
      <c r="H191" s="7">
        <v>0.128951486</v>
      </c>
      <c r="I191" s="7">
        <v>0.12414164799999999</v>
      </c>
      <c r="J191" s="7">
        <v>0.231569946</v>
      </c>
      <c r="K191" s="7">
        <v>0.105193482</v>
      </c>
      <c r="L191" s="7">
        <v>0.11492556900000001</v>
      </c>
      <c r="M191" s="7">
        <v>0.12568195099999999</v>
      </c>
      <c r="N191" s="7">
        <v>0.14543926900000001</v>
      </c>
      <c r="O191" s="7">
        <v>4.6548689999999997E-2</v>
      </c>
      <c r="P191" s="7">
        <v>0.150881085</v>
      </c>
      <c r="Q191" s="7">
        <v>8.1257908000000004E-2</v>
      </c>
      <c r="R191" s="7">
        <v>0.11838483299999999</v>
      </c>
      <c r="S191" s="7">
        <v>5.7192933000000001E-2</v>
      </c>
      <c r="T191" s="7">
        <v>0.216664365</v>
      </c>
      <c r="U191" s="7">
        <v>9.3156467000000007E-2</v>
      </c>
      <c r="V191" s="7">
        <v>-0.10257140222992596</v>
      </c>
      <c r="W191" s="7">
        <v>0.20254938574263226</v>
      </c>
      <c r="X191" s="7">
        <v>0.14540755768186547</v>
      </c>
      <c r="Y191" s="7">
        <v>-0.1378547813828179</v>
      </c>
      <c r="Z191" s="7">
        <v>0.23261806225137885</v>
      </c>
      <c r="AA191" s="7">
        <v>0.16838350240744801</v>
      </c>
      <c r="AB191" s="4">
        <v>0</v>
      </c>
      <c r="AC191" s="4">
        <v>0</v>
      </c>
      <c r="AD191" s="4">
        <v>0</v>
      </c>
    </row>
    <row r="192" spans="1:30" x14ac:dyDescent="0.3">
      <c r="A192" s="6">
        <v>44848</v>
      </c>
      <c r="B192" s="7">
        <v>0.21884463700000001</v>
      </c>
      <c r="C192" s="7">
        <v>0.127215408</v>
      </c>
      <c r="D192" s="7">
        <v>0.381963002</v>
      </c>
      <c r="E192" s="7">
        <v>0.14415424800000001</v>
      </c>
      <c r="F192" s="7">
        <v>0.35187023200000001</v>
      </c>
      <c r="G192" s="7">
        <v>0.12760500699999999</v>
      </c>
      <c r="H192" s="7">
        <v>0.28459689500000002</v>
      </c>
      <c r="I192" s="7">
        <v>0.15030310699999999</v>
      </c>
      <c r="J192" s="7">
        <v>0.12175003500000001</v>
      </c>
      <c r="K192" s="7">
        <v>0.113571173</v>
      </c>
      <c r="L192" s="7">
        <v>0.128951486</v>
      </c>
      <c r="M192" s="7">
        <v>0.12414164799999999</v>
      </c>
      <c r="N192" s="7">
        <v>0.231569946</v>
      </c>
      <c r="O192" s="7">
        <v>0.105193482</v>
      </c>
      <c r="P192" s="7">
        <v>0.11492556900000001</v>
      </c>
      <c r="Q192" s="7">
        <v>0.12568195099999999</v>
      </c>
      <c r="R192" s="7">
        <v>0.14543926900000001</v>
      </c>
      <c r="S192" s="7">
        <v>4.6548689999999997E-2</v>
      </c>
      <c r="T192" s="7">
        <v>0.150881085</v>
      </c>
      <c r="U192" s="7">
        <v>8.1257908000000004E-2</v>
      </c>
      <c r="V192" s="7">
        <v>-0.10257140222992596</v>
      </c>
      <c r="W192" s="7">
        <v>0.21225415598481914</v>
      </c>
      <c r="X192" s="7">
        <v>0.14926029590286402</v>
      </c>
      <c r="Y192" s="7">
        <v>-0.11631591482700403</v>
      </c>
      <c r="Z192" s="7">
        <v>0.23610126800351558</v>
      </c>
      <c r="AA192" s="7">
        <v>0.17042395076816066</v>
      </c>
      <c r="AB192" s="4">
        <v>0</v>
      </c>
      <c r="AC192" s="4">
        <v>1</v>
      </c>
      <c r="AD192" s="4">
        <v>1</v>
      </c>
    </row>
    <row r="193" spans="1:30" x14ac:dyDescent="0.3">
      <c r="A193" s="6">
        <v>44851</v>
      </c>
      <c r="B193" s="7">
        <v>0.366518546</v>
      </c>
      <c r="C193" s="7">
        <v>0.19258623999999999</v>
      </c>
      <c r="D193" s="7">
        <v>0.36290666799999999</v>
      </c>
      <c r="E193" s="7">
        <v>0.18491253199999999</v>
      </c>
      <c r="F193" s="7">
        <v>0.21884463700000001</v>
      </c>
      <c r="G193" s="7">
        <v>0.127215408</v>
      </c>
      <c r="H193" s="7">
        <v>0.381963002</v>
      </c>
      <c r="I193" s="7">
        <v>0.14415424800000001</v>
      </c>
      <c r="J193" s="7">
        <v>0.35187023200000001</v>
      </c>
      <c r="K193" s="7">
        <v>0.12760500699999999</v>
      </c>
      <c r="L193" s="7">
        <v>0.28459689500000002</v>
      </c>
      <c r="M193" s="7">
        <v>0.15030310699999999</v>
      </c>
      <c r="N193" s="7">
        <v>0.12175003500000001</v>
      </c>
      <c r="O193" s="7">
        <v>0.113571173</v>
      </c>
      <c r="P193" s="7">
        <v>0.128951486</v>
      </c>
      <c r="Q193" s="7">
        <v>0.12414164799999999</v>
      </c>
      <c r="R193" s="7">
        <v>0.231569946</v>
      </c>
      <c r="S193" s="7">
        <v>0.105193482</v>
      </c>
      <c r="T193" s="7">
        <v>0.11492556900000001</v>
      </c>
      <c r="U193" s="7">
        <v>0.12568195099999999</v>
      </c>
      <c r="V193" s="7">
        <v>-0.11631591482700403</v>
      </c>
      <c r="W193" s="7">
        <v>0.20939645907117915</v>
      </c>
      <c r="X193" s="7">
        <v>0.14622509059529562</v>
      </c>
      <c r="Y193" s="7">
        <v>-0.1378547813828179</v>
      </c>
      <c r="Z193" s="7">
        <v>0.2362523797825512</v>
      </c>
      <c r="AA193" s="7">
        <v>0.16994882195996183</v>
      </c>
      <c r="AB193" s="4">
        <v>0</v>
      </c>
      <c r="AC193" s="4">
        <v>0</v>
      </c>
      <c r="AD193" s="4">
        <v>0</v>
      </c>
    </row>
    <row r="194" spans="1:30" x14ac:dyDescent="0.3">
      <c r="A194" s="6">
        <v>44852</v>
      </c>
      <c r="B194" s="7">
        <v>0.263197615</v>
      </c>
      <c r="C194" s="7">
        <v>0.16725045499999999</v>
      </c>
      <c r="D194" s="7">
        <v>0.43398019700000001</v>
      </c>
      <c r="E194" s="7">
        <v>0.25088460299999998</v>
      </c>
      <c r="F194" s="7">
        <v>0.366518546</v>
      </c>
      <c r="G194" s="7">
        <v>0.19258623999999999</v>
      </c>
      <c r="H194" s="7">
        <v>0.36290666799999999</v>
      </c>
      <c r="I194" s="7">
        <v>0.18491253199999999</v>
      </c>
      <c r="J194" s="7">
        <v>0.21884463700000001</v>
      </c>
      <c r="K194" s="7">
        <v>0.127215408</v>
      </c>
      <c r="L194" s="7">
        <v>0.381963002</v>
      </c>
      <c r="M194" s="7">
        <v>0.14415424800000001</v>
      </c>
      <c r="N194" s="7">
        <v>0.35187023200000001</v>
      </c>
      <c r="O194" s="7">
        <v>0.12760500699999999</v>
      </c>
      <c r="P194" s="7">
        <v>0.28459689500000002</v>
      </c>
      <c r="Q194" s="7">
        <v>0.15030310699999999</v>
      </c>
      <c r="R194" s="7">
        <v>0.12175003500000001</v>
      </c>
      <c r="S194" s="7">
        <v>0.113571173</v>
      </c>
      <c r="T194" s="7">
        <v>0.128951486</v>
      </c>
      <c r="U194" s="7">
        <v>0.12414164799999999</v>
      </c>
      <c r="V194" s="7">
        <v>-0.11631591482700403</v>
      </c>
      <c r="W194" s="7">
        <v>0.21203302075179928</v>
      </c>
      <c r="X194" s="7">
        <v>0.1482659172761972</v>
      </c>
      <c r="Y194" s="7">
        <v>-0.11631591482700403</v>
      </c>
      <c r="Z194" s="7">
        <v>0.23502452592757006</v>
      </c>
      <c r="AA194" s="7">
        <v>0.16951774115564072</v>
      </c>
      <c r="AB194" s="4">
        <v>0</v>
      </c>
      <c r="AC194" s="4">
        <v>1</v>
      </c>
      <c r="AD194" s="4">
        <v>1</v>
      </c>
    </row>
    <row r="195" spans="1:30" x14ac:dyDescent="0.3">
      <c r="A195" s="6">
        <v>44853</v>
      </c>
      <c r="B195" s="7">
        <v>6.3745154999999998E-2</v>
      </c>
      <c r="C195" s="7">
        <v>5.0421364000000003E-2</v>
      </c>
      <c r="D195" s="7">
        <v>3.0649862E-2</v>
      </c>
      <c r="E195" s="7">
        <v>6.0697413999999998E-2</v>
      </c>
      <c r="F195" s="7">
        <v>0.263197615</v>
      </c>
      <c r="G195" s="7">
        <v>0.16725045499999999</v>
      </c>
      <c r="H195" s="7">
        <v>0.43398019700000001</v>
      </c>
      <c r="I195" s="7">
        <v>0.25088460299999998</v>
      </c>
      <c r="J195" s="7">
        <v>0.366518546</v>
      </c>
      <c r="K195" s="7">
        <v>0.19258623999999999</v>
      </c>
      <c r="L195" s="7">
        <v>0.36290666799999999</v>
      </c>
      <c r="M195" s="7">
        <v>0.18491253199999999</v>
      </c>
      <c r="N195" s="7">
        <v>0.21884463700000001</v>
      </c>
      <c r="O195" s="7">
        <v>0.127215408</v>
      </c>
      <c r="P195" s="7">
        <v>0.381963002</v>
      </c>
      <c r="Q195" s="7">
        <v>0.14415424800000001</v>
      </c>
      <c r="R195" s="7">
        <v>0.35187023200000001</v>
      </c>
      <c r="S195" s="7">
        <v>0.12760500699999999</v>
      </c>
      <c r="T195" s="7">
        <v>0.28459689500000002</v>
      </c>
      <c r="U195" s="7">
        <v>0.15030310699999999</v>
      </c>
      <c r="V195" s="7">
        <v>-0.1378547813828179</v>
      </c>
      <c r="W195" s="7">
        <v>0.21345099868372586</v>
      </c>
      <c r="X195" s="7">
        <v>0.14831718207500372</v>
      </c>
      <c r="Y195" s="7">
        <v>-0.1378547813828179</v>
      </c>
      <c r="Z195" s="7">
        <v>0.23520878756343588</v>
      </c>
      <c r="AA195" s="7">
        <v>0.16878004582521289</v>
      </c>
      <c r="AB195" s="4">
        <v>0</v>
      </c>
      <c r="AC195" s="4">
        <v>1</v>
      </c>
      <c r="AD195" s="4">
        <v>1</v>
      </c>
    </row>
    <row r="196" spans="1:30" x14ac:dyDescent="0.3">
      <c r="A196" s="6">
        <v>44854</v>
      </c>
      <c r="B196" s="7">
        <v>9.9724505000000005E-2</v>
      </c>
      <c r="C196" s="7">
        <v>5.5000284000000003E-2</v>
      </c>
      <c r="D196" s="7">
        <v>0.195829106</v>
      </c>
      <c r="E196" s="7">
        <v>6.2836457999999998E-2</v>
      </c>
      <c r="F196" s="7">
        <v>6.3745154999999998E-2</v>
      </c>
      <c r="G196" s="7">
        <v>5.0421364000000003E-2</v>
      </c>
      <c r="H196" s="7">
        <v>3.0649862E-2</v>
      </c>
      <c r="I196" s="7">
        <v>6.0697413999999998E-2</v>
      </c>
      <c r="J196" s="7">
        <v>0.263197615</v>
      </c>
      <c r="K196" s="7">
        <v>0.16725045499999999</v>
      </c>
      <c r="L196" s="7">
        <v>0.43398019700000001</v>
      </c>
      <c r="M196" s="7">
        <v>0.25088460299999998</v>
      </c>
      <c r="N196" s="7">
        <v>0.366518546</v>
      </c>
      <c r="O196" s="7">
        <v>0.19258623999999999</v>
      </c>
      <c r="P196" s="7">
        <v>0.36290666799999999</v>
      </c>
      <c r="Q196" s="7">
        <v>0.18491253199999999</v>
      </c>
      <c r="R196" s="7">
        <v>0.21884463700000001</v>
      </c>
      <c r="S196" s="7">
        <v>0.127215408</v>
      </c>
      <c r="T196" s="7">
        <v>0.381963002</v>
      </c>
      <c r="U196" s="7">
        <v>0.14415424800000001</v>
      </c>
      <c r="V196" s="7">
        <v>-0.1378547813828179</v>
      </c>
      <c r="W196" s="7">
        <v>0.21269849757431039</v>
      </c>
      <c r="X196" s="7">
        <v>0.14840905440550087</v>
      </c>
      <c r="Y196" s="7">
        <v>-0.33180812737367193</v>
      </c>
      <c r="Z196" s="7">
        <v>0.23428027249903904</v>
      </c>
      <c r="AA196" s="7">
        <v>0.16764748686867326</v>
      </c>
      <c r="AB196" s="4">
        <v>0</v>
      </c>
      <c r="AC196" s="4">
        <v>0</v>
      </c>
      <c r="AD196" s="4">
        <v>0</v>
      </c>
    </row>
    <row r="197" spans="1:30" x14ac:dyDescent="0.3">
      <c r="A197" s="6">
        <v>44855</v>
      </c>
      <c r="B197" s="7">
        <v>0.12688634200000001</v>
      </c>
      <c r="C197" s="7">
        <v>3.7541063999999999E-2</v>
      </c>
      <c r="D197" s="7">
        <v>0.12417041600000001</v>
      </c>
      <c r="E197" s="7">
        <v>6.8204110999999998E-2</v>
      </c>
      <c r="F197" s="7">
        <v>9.9724505000000005E-2</v>
      </c>
      <c r="G197" s="7">
        <v>5.5000284000000003E-2</v>
      </c>
      <c r="H197" s="7">
        <v>0.195829106</v>
      </c>
      <c r="I197" s="7">
        <v>6.2836457999999998E-2</v>
      </c>
      <c r="J197" s="7">
        <v>6.3745154999999998E-2</v>
      </c>
      <c r="K197" s="7">
        <v>5.0421364000000003E-2</v>
      </c>
      <c r="L197" s="7">
        <v>3.0649862E-2</v>
      </c>
      <c r="M197" s="7">
        <v>6.0697413999999998E-2</v>
      </c>
      <c r="N197" s="7">
        <v>0.263197615</v>
      </c>
      <c r="O197" s="7">
        <v>0.16725045499999999</v>
      </c>
      <c r="P197" s="7">
        <v>0.43398019700000001</v>
      </c>
      <c r="Q197" s="7">
        <v>0.25088460299999998</v>
      </c>
      <c r="R197" s="7">
        <v>0.366518546</v>
      </c>
      <c r="S197" s="7">
        <v>0.19258623999999999</v>
      </c>
      <c r="T197" s="7">
        <v>0.36290666799999999</v>
      </c>
      <c r="U197" s="7">
        <v>0.18491253199999999</v>
      </c>
      <c r="V197" s="7">
        <v>-0.39764886680723494</v>
      </c>
      <c r="W197" s="7">
        <v>0.21245071758871278</v>
      </c>
      <c r="X197" s="7">
        <v>0.14663601735493684</v>
      </c>
      <c r="Y197" s="7">
        <v>-0.34289923865117389</v>
      </c>
      <c r="Z197" s="7">
        <v>0.23471869996641292</v>
      </c>
      <c r="AA197" s="7">
        <v>0.16763017330082136</v>
      </c>
      <c r="AB197" s="4">
        <v>0</v>
      </c>
      <c r="AC197" s="4">
        <v>0</v>
      </c>
      <c r="AD197" s="4">
        <v>0</v>
      </c>
    </row>
    <row r="198" spans="1:30" x14ac:dyDescent="0.3">
      <c r="A198" s="6">
        <v>44858</v>
      </c>
      <c r="B198" s="7">
        <v>0.11136112400000001</v>
      </c>
      <c r="C198" s="7">
        <v>4.1385902000000002E-2</v>
      </c>
      <c r="D198" s="7">
        <v>0.101493713</v>
      </c>
      <c r="E198" s="7">
        <v>7.4738341999999999E-2</v>
      </c>
      <c r="F198" s="7">
        <v>0.12688634200000001</v>
      </c>
      <c r="G198" s="7">
        <v>3.7541063999999999E-2</v>
      </c>
      <c r="H198" s="7">
        <v>0.12417041600000001</v>
      </c>
      <c r="I198" s="7">
        <v>6.8204110999999998E-2</v>
      </c>
      <c r="J198" s="7">
        <v>9.9724505000000005E-2</v>
      </c>
      <c r="K198" s="7">
        <v>5.5000284000000003E-2</v>
      </c>
      <c r="L198" s="7">
        <v>0.195829106</v>
      </c>
      <c r="M198" s="7">
        <v>6.2836457999999998E-2</v>
      </c>
      <c r="N198" s="7">
        <v>6.3745154999999998E-2</v>
      </c>
      <c r="O198" s="7">
        <v>5.0421364000000003E-2</v>
      </c>
      <c r="P198" s="7">
        <v>3.0649862E-2</v>
      </c>
      <c r="Q198" s="7">
        <v>6.0697413999999998E-2</v>
      </c>
      <c r="R198" s="7">
        <v>0.263197615</v>
      </c>
      <c r="S198" s="7">
        <v>0.16725045499999999</v>
      </c>
      <c r="T198" s="7">
        <v>0.43398019700000001</v>
      </c>
      <c r="U198" s="7">
        <v>0.25088460299999998</v>
      </c>
      <c r="V198" s="7">
        <v>-0.1378547813828179</v>
      </c>
      <c r="W198" s="7">
        <v>0.2126137014219423</v>
      </c>
      <c r="X198" s="7">
        <v>0.14730852319894083</v>
      </c>
      <c r="Y198" s="7">
        <v>-0.34289923865117389</v>
      </c>
      <c r="Z198" s="7">
        <v>0.2345811027865933</v>
      </c>
      <c r="AA198" s="7">
        <v>0.16742061591633497</v>
      </c>
      <c r="AB198" s="4">
        <v>0</v>
      </c>
      <c r="AC198" s="4">
        <v>0</v>
      </c>
      <c r="AD198" s="4">
        <v>0</v>
      </c>
    </row>
    <row r="199" spans="1:30" x14ac:dyDescent="0.3">
      <c r="A199" s="6">
        <v>44859</v>
      </c>
      <c r="B199" s="7">
        <v>0.10684611500000001</v>
      </c>
      <c r="C199" s="7">
        <v>5.3145976999999997E-2</v>
      </c>
      <c r="D199" s="7">
        <v>6.1956559000000001E-2</v>
      </c>
      <c r="E199" s="7">
        <v>6.8528482000000002E-2</v>
      </c>
      <c r="F199" s="7">
        <v>0.11136112400000001</v>
      </c>
      <c r="G199" s="7">
        <v>4.1385902000000002E-2</v>
      </c>
      <c r="H199" s="7">
        <v>0.101493713</v>
      </c>
      <c r="I199" s="7">
        <v>7.4738341999999999E-2</v>
      </c>
      <c r="J199" s="7">
        <v>0.12688634200000001</v>
      </c>
      <c r="K199" s="7">
        <v>3.7541063999999999E-2</v>
      </c>
      <c r="L199" s="7">
        <v>0.12417041600000001</v>
      </c>
      <c r="M199" s="7">
        <v>6.8204110999999998E-2</v>
      </c>
      <c r="N199" s="7">
        <v>9.9724505000000005E-2</v>
      </c>
      <c r="O199" s="7">
        <v>5.5000284000000003E-2</v>
      </c>
      <c r="P199" s="7">
        <v>0.195829106</v>
      </c>
      <c r="Q199" s="7">
        <v>6.2836457999999998E-2</v>
      </c>
      <c r="R199" s="7">
        <v>6.3745154999999998E-2</v>
      </c>
      <c r="S199" s="7">
        <v>5.0421364000000003E-2</v>
      </c>
      <c r="T199" s="7">
        <v>3.0649862E-2</v>
      </c>
      <c r="U199" s="7">
        <v>6.0697413999999998E-2</v>
      </c>
      <c r="V199" s="7">
        <v>-0.39764886680723494</v>
      </c>
      <c r="W199" s="7">
        <v>0.21392814043005826</v>
      </c>
      <c r="X199" s="7">
        <v>0.14679349175877165</v>
      </c>
      <c r="Y199" s="7">
        <v>-0.58548651920439221</v>
      </c>
      <c r="Z199" s="7">
        <v>0.23513156552969919</v>
      </c>
      <c r="AA199" s="7">
        <v>0.16697791016187169</v>
      </c>
      <c r="AB199" s="4">
        <v>1</v>
      </c>
      <c r="AC199" s="4">
        <v>0</v>
      </c>
      <c r="AD199" s="4">
        <v>1</v>
      </c>
    </row>
    <row r="200" spans="1:30" x14ac:dyDescent="0.3">
      <c r="A200" s="6">
        <v>44860</v>
      </c>
      <c r="B200" s="7">
        <v>5.6978312000000003E-2</v>
      </c>
      <c r="C200" s="7">
        <v>5.8257057000000001E-2</v>
      </c>
      <c r="D200" s="7">
        <v>6.5788030999999997E-2</v>
      </c>
      <c r="E200" s="7">
        <v>8.3926962999999993E-2</v>
      </c>
      <c r="F200" s="7">
        <v>0.10684611500000001</v>
      </c>
      <c r="G200" s="7">
        <v>5.3145976999999997E-2</v>
      </c>
      <c r="H200" s="7">
        <v>6.1956559000000001E-2</v>
      </c>
      <c r="I200" s="7">
        <v>6.8528482000000002E-2</v>
      </c>
      <c r="J200" s="7">
        <v>0.11136112400000001</v>
      </c>
      <c r="K200" s="7">
        <v>4.1385902000000002E-2</v>
      </c>
      <c r="L200" s="7">
        <v>0.101493713</v>
      </c>
      <c r="M200" s="7">
        <v>7.4738341999999999E-2</v>
      </c>
      <c r="N200" s="7">
        <v>0.12688634200000001</v>
      </c>
      <c r="O200" s="7">
        <v>3.7541063999999999E-2</v>
      </c>
      <c r="P200" s="7">
        <v>0.12417041600000001</v>
      </c>
      <c r="Q200" s="7">
        <v>6.8204110999999998E-2</v>
      </c>
      <c r="R200" s="7">
        <v>9.9724505000000005E-2</v>
      </c>
      <c r="S200" s="7">
        <v>5.5000284000000003E-2</v>
      </c>
      <c r="T200" s="7">
        <v>0.195829106</v>
      </c>
      <c r="U200" s="7">
        <v>6.2836457999999998E-2</v>
      </c>
      <c r="V200" s="7">
        <v>-0.38633168775328014</v>
      </c>
      <c r="W200" s="7">
        <v>0.21459527760641292</v>
      </c>
      <c r="X200" s="7">
        <v>0.14784455883292458</v>
      </c>
      <c r="Y200" s="7">
        <v>-0.34289923865117389</v>
      </c>
      <c r="Z200" s="7">
        <v>0.23381404478783599</v>
      </c>
      <c r="AA200" s="7">
        <v>0.16673510309581954</v>
      </c>
      <c r="AB200" s="4">
        <v>1</v>
      </c>
      <c r="AC200" s="4">
        <v>0</v>
      </c>
      <c r="AD200" s="4">
        <v>1</v>
      </c>
    </row>
    <row r="201" spans="1:30" x14ac:dyDescent="0.3">
      <c r="A201" s="6">
        <v>44861</v>
      </c>
      <c r="B201" s="7">
        <v>0.12990089099999999</v>
      </c>
      <c r="C201" s="7">
        <v>4.6776775999999999E-2</v>
      </c>
      <c r="D201" s="7">
        <v>0.212764539</v>
      </c>
      <c r="E201" s="7">
        <v>8.9319886000000001E-2</v>
      </c>
      <c r="F201" s="7">
        <v>5.6978312000000003E-2</v>
      </c>
      <c r="G201" s="7">
        <v>5.8257057000000001E-2</v>
      </c>
      <c r="H201" s="7">
        <v>6.5788030999999997E-2</v>
      </c>
      <c r="I201" s="7">
        <v>8.3926962999999993E-2</v>
      </c>
      <c r="J201" s="7">
        <v>0.10684611500000001</v>
      </c>
      <c r="K201" s="7">
        <v>5.3145976999999997E-2</v>
      </c>
      <c r="L201" s="7">
        <v>6.1956559000000001E-2</v>
      </c>
      <c r="M201" s="7">
        <v>6.8528482000000002E-2</v>
      </c>
      <c r="N201" s="7">
        <v>0.11136112400000001</v>
      </c>
      <c r="O201" s="7">
        <v>4.1385902000000002E-2</v>
      </c>
      <c r="P201" s="7">
        <v>0.101493713</v>
      </c>
      <c r="Q201" s="7">
        <v>7.4738341999999999E-2</v>
      </c>
      <c r="R201" s="7">
        <v>0.12688634200000001</v>
      </c>
      <c r="S201" s="7">
        <v>3.7541063999999999E-2</v>
      </c>
      <c r="T201" s="7">
        <v>0.12417041600000001</v>
      </c>
      <c r="U201" s="7">
        <v>6.8204110999999998E-2</v>
      </c>
      <c r="V201" s="7">
        <v>-0.11279308973178508</v>
      </c>
      <c r="W201" s="7">
        <v>0.21589648221006363</v>
      </c>
      <c r="X201" s="7">
        <v>0.14953091271645702</v>
      </c>
      <c r="Y201" s="7">
        <v>-0.1378547813828179</v>
      </c>
      <c r="Z201" s="7">
        <v>0.23484743874734554</v>
      </c>
      <c r="AA201" s="7">
        <v>0.16808494157716986</v>
      </c>
      <c r="AB201" s="4">
        <v>0</v>
      </c>
      <c r="AC201" s="4">
        <v>0</v>
      </c>
      <c r="AD201" s="4">
        <v>0</v>
      </c>
    </row>
    <row r="202" spans="1:30" x14ac:dyDescent="0.3">
      <c r="A202" s="6">
        <v>44862</v>
      </c>
      <c r="B202" s="7">
        <v>0.129777484</v>
      </c>
      <c r="C202" s="7">
        <v>4.8847482999999997E-2</v>
      </c>
      <c r="D202" s="7">
        <v>0.12826675900000001</v>
      </c>
      <c r="E202" s="7">
        <v>8.4068307999999994E-2</v>
      </c>
      <c r="F202" s="7">
        <v>0.12990089099999999</v>
      </c>
      <c r="G202" s="7">
        <v>4.6776775999999999E-2</v>
      </c>
      <c r="H202" s="7">
        <v>0.212764539</v>
      </c>
      <c r="I202" s="7">
        <v>8.9319886000000001E-2</v>
      </c>
      <c r="J202" s="7">
        <v>5.6978312000000003E-2</v>
      </c>
      <c r="K202" s="7">
        <v>5.8257057000000001E-2</v>
      </c>
      <c r="L202" s="7">
        <v>6.5788030999999997E-2</v>
      </c>
      <c r="M202" s="7">
        <v>8.3926962999999993E-2</v>
      </c>
      <c r="N202" s="7">
        <v>0.10684611500000001</v>
      </c>
      <c r="O202" s="7">
        <v>5.3145976999999997E-2</v>
      </c>
      <c r="P202" s="7">
        <v>6.1956559000000001E-2</v>
      </c>
      <c r="Q202" s="7">
        <v>6.8528482000000002E-2</v>
      </c>
      <c r="R202" s="7">
        <v>0.11136112400000001</v>
      </c>
      <c r="S202" s="7">
        <v>4.1385902000000002E-2</v>
      </c>
      <c r="T202" s="7">
        <v>0.101493713</v>
      </c>
      <c r="U202" s="7">
        <v>7.4738341999999999E-2</v>
      </c>
      <c r="V202" s="7">
        <v>-0.38633168775328014</v>
      </c>
      <c r="W202" s="7">
        <v>0.21693884872078895</v>
      </c>
      <c r="X202" s="7">
        <v>0.14890008936184865</v>
      </c>
      <c r="Y202" s="7">
        <v>-0.34289923865117389</v>
      </c>
      <c r="Z202" s="7">
        <v>0.23537865973923328</v>
      </c>
      <c r="AA202" s="7">
        <v>0.16784007572698675</v>
      </c>
      <c r="AB202" s="4">
        <v>1</v>
      </c>
      <c r="AC202" s="4">
        <v>0</v>
      </c>
      <c r="AD202" s="4">
        <v>1</v>
      </c>
    </row>
    <row r="203" spans="1:30" x14ac:dyDescent="0.3">
      <c r="A203" s="6">
        <v>44865</v>
      </c>
      <c r="B203" s="7">
        <v>8.5687003999999997E-2</v>
      </c>
      <c r="C203" s="7">
        <v>5.0414162999999998E-2</v>
      </c>
      <c r="D203" s="7">
        <v>0.13322502999999999</v>
      </c>
      <c r="E203" s="7">
        <v>6.4177433000000006E-2</v>
      </c>
      <c r="F203" s="7">
        <v>0.129777484</v>
      </c>
      <c r="G203" s="7">
        <v>4.8847482999999997E-2</v>
      </c>
      <c r="H203" s="7">
        <v>0.12826675900000001</v>
      </c>
      <c r="I203" s="7">
        <v>8.4068307999999994E-2</v>
      </c>
      <c r="J203" s="7">
        <v>0.12990089099999999</v>
      </c>
      <c r="K203" s="7">
        <v>4.6776775999999999E-2</v>
      </c>
      <c r="L203" s="7">
        <v>0.212764539</v>
      </c>
      <c r="M203" s="7">
        <v>8.9319886000000001E-2</v>
      </c>
      <c r="N203" s="7">
        <v>5.6978312000000003E-2</v>
      </c>
      <c r="O203" s="7">
        <v>5.8257057000000001E-2</v>
      </c>
      <c r="P203" s="7">
        <v>6.5788030999999997E-2</v>
      </c>
      <c r="Q203" s="7">
        <v>8.3926962999999993E-2</v>
      </c>
      <c r="R203" s="7">
        <v>0.10684611500000001</v>
      </c>
      <c r="S203" s="7">
        <v>5.3145976999999997E-2</v>
      </c>
      <c r="T203" s="7">
        <v>6.1956559000000001E-2</v>
      </c>
      <c r="U203" s="7">
        <v>6.8528482000000002E-2</v>
      </c>
      <c r="V203" s="7">
        <v>-0.11279308973178508</v>
      </c>
      <c r="W203" s="7">
        <v>0.21784282757219312</v>
      </c>
      <c r="X203" s="7">
        <v>0.15094083949678672</v>
      </c>
      <c r="Y203" s="7">
        <v>-0.1378547813828179</v>
      </c>
      <c r="Z203" s="7">
        <v>0.23584191058398635</v>
      </c>
      <c r="AA203" s="7">
        <v>0.16876014908426853</v>
      </c>
      <c r="AB203" s="4">
        <v>1</v>
      </c>
      <c r="AC203" s="4">
        <v>0</v>
      </c>
      <c r="AD203" s="4">
        <v>1</v>
      </c>
    </row>
    <row r="204" spans="1:30" x14ac:dyDescent="0.3">
      <c r="A204" s="6">
        <v>44866</v>
      </c>
      <c r="B204" s="7">
        <v>6.8137191999999999E-2</v>
      </c>
      <c r="C204" s="7">
        <v>6.1084518999999997E-2</v>
      </c>
      <c r="D204" s="7">
        <v>0.11274176299999999</v>
      </c>
      <c r="E204" s="7">
        <v>8.1720777999999994E-2</v>
      </c>
      <c r="F204" s="7">
        <v>8.5687003999999997E-2</v>
      </c>
      <c r="G204" s="7">
        <v>5.0414162999999998E-2</v>
      </c>
      <c r="H204" s="7">
        <v>0.13322502999999999</v>
      </c>
      <c r="I204" s="7">
        <v>6.4177433000000006E-2</v>
      </c>
      <c r="J204" s="7">
        <v>0.129777484</v>
      </c>
      <c r="K204" s="7">
        <v>4.8847482999999997E-2</v>
      </c>
      <c r="L204" s="7">
        <v>0.12826675900000001</v>
      </c>
      <c r="M204" s="7">
        <v>8.4068307999999994E-2</v>
      </c>
      <c r="N204" s="7">
        <v>0.12990089099999999</v>
      </c>
      <c r="O204" s="7">
        <v>4.6776775999999999E-2</v>
      </c>
      <c r="P204" s="7">
        <v>0.212764539</v>
      </c>
      <c r="Q204" s="7">
        <v>8.9319886000000001E-2</v>
      </c>
      <c r="R204" s="7">
        <v>5.6978312000000003E-2</v>
      </c>
      <c r="S204" s="7">
        <v>5.8257057000000001E-2</v>
      </c>
      <c r="T204" s="7">
        <v>6.5788030999999997E-2</v>
      </c>
      <c r="U204" s="7">
        <v>8.3926962999999993E-2</v>
      </c>
      <c r="V204" s="7">
        <v>-0.11279308973178508</v>
      </c>
      <c r="W204" s="7">
        <v>0.21052305991107112</v>
      </c>
      <c r="X204" s="7">
        <v>0.14802280501663417</v>
      </c>
      <c r="Y204" s="7">
        <v>-0.11631591482700403</v>
      </c>
      <c r="Z204" s="7">
        <v>0.23268226145909193</v>
      </c>
      <c r="AA204" s="7">
        <v>0.16660912320529939</v>
      </c>
      <c r="AB204" s="4">
        <v>1</v>
      </c>
      <c r="AC204" s="4">
        <v>0</v>
      </c>
      <c r="AD204" s="4">
        <v>1</v>
      </c>
    </row>
    <row r="205" spans="1:30" x14ac:dyDescent="0.3">
      <c r="A205" s="6">
        <v>44867</v>
      </c>
      <c r="B205" s="7">
        <v>4.0252699000000003E-2</v>
      </c>
      <c r="C205" s="7">
        <v>6.7418707999999994E-2</v>
      </c>
      <c r="D205" s="7">
        <v>8.165414E-2</v>
      </c>
      <c r="E205" s="7">
        <v>7.5339964999999995E-2</v>
      </c>
      <c r="F205" s="7">
        <v>6.8137191999999999E-2</v>
      </c>
      <c r="G205" s="7">
        <v>6.1084518999999997E-2</v>
      </c>
      <c r="H205" s="7">
        <v>0.11274176299999999</v>
      </c>
      <c r="I205" s="7">
        <v>8.1720777999999994E-2</v>
      </c>
      <c r="J205" s="7">
        <v>8.5687003999999997E-2</v>
      </c>
      <c r="K205" s="7">
        <v>5.0414162999999998E-2</v>
      </c>
      <c r="L205" s="7">
        <v>0.13322502999999999</v>
      </c>
      <c r="M205" s="7">
        <v>6.4177433000000006E-2</v>
      </c>
      <c r="N205" s="7">
        <v>0.129777484</v>
      </c>
      <c r="O205" s="7">
        <v>4.8847482999999997E-2</v>
      </c>
      <c r="P205" s="7">
        <v>0.12826675900000001</v>
      </c>
      <c r="Q205" s="7">
        <v>8.4068307999999994E-2</v>
      </c>
      <c r="R205" s="7">
        <v>0.12990089099999999</v>
      </c>
      <c r="S205" s="7">
        <v>4.6776775999999999E-2</v>
      </c>
      <c r="T205" s="7">
        <v>0.212764539</v>
      </c>
      <c r="U205" s="7">
        <v>8.9319886000000001E-2</v>
      </c>
      <c r="V205" s="7">
        <v>-1.1403834680577596E-2</v>
      </c>
      <c r="W205" s="7">
        <v>0.21111476446056127</v>
      </c>
      <c r="X205" s="7">
        <v>0.14902570394765396</v>
      </c>
      <c r="Y205" s="7">
        <v>-0.11631591482700403</v>
      </c>
      <c r="Z205" s="7">
        <v>0.23145269049210107</v>
      </c>
      <c r="AA205" s="7">
        <v>0.16581361109119153</v>
      </c>
      <c r="AB205" s="4">
        <v>1</v>
      </c>
      <c r="AC205" s="4">
        <v>0</v>
      </c>
      <c r="AD205" s="4">
        <v>1</v>
      </c>
    </row>
    <row r="206" spans="1:30" x14ac:dyDescent="0.3">
      <c r="A206" s="6">
        <v>44868</v>
      </c>
      <c r="B206" s="7">
        <v>0.150515118</v>
      </c>
      <c r="C206" s="7">
        <v>4.1599583000000002E-2</v>
      </c>
      <c r="D206" s="7">
        <v>0.202494127</v>
      </c>
      <c r="E206" s="7">
        <v>6.9664402E-2</v>
      </c>
      <c r="F206" s="7">
        <v>4.0252699000000003E-2</v>
      </c>
      <c r="G206" s="7">
        <v>6.7418707999999994E-2</v>
      </c>
      <c r="H206" s="7">
        <v>8.165414E-2</v>
      </c>
      <c r="I206" s="7">
        <v>7.5339964999999995E-2</v>
      </c>
      <c r="J206" s="7">
        <v>6.8137191999999999E-2</v>
      </c>
      <c r="K206" s="7">
        <v>6.1084518999999997E-2</v>
      </c>
      <c r="L206" s="7">
        <v>0.11274176299999999</v>
      </c>
      <c r="M206" s="7">
        <v>8.1720777999999994E-2</v>
      </c>
      <c r="N206" s="7">
        <v>8.5687003999999997E-2</v>
      </c>
      <c r="O206" s="7">
        <v>5.0414162999999998E-2</v>
      </c>
      <c r="P206" s="7">
        <v>0.13322502999999999</v>
      </c>
      <c r="Q206" s="7">
        <v>6.4177433000000006E-2</v>
      </c>
      <c r="R206" s="7">
        <v>0.129777484</v>
      </c>
      <c r="S206" s="7">
        <v>4.8847482999999997E-2</v>
      </c>
      <c r="T206" s="7">
        <v>0.12826675900000001</v>
      </c>
      <c r="U206" s="7">
        <v>8.4068307999999994E-2</v>
      </c>
      <c r="V206" s="7">
        <v>-0.3725871751562021</v>
      </c>
      <c r="W206" s="7">
        <v>0.2116478509652884</v>
      </c>
      <c r="X206" s="7">
        <v>0.14804800651430941</v>
      </c>
      <c r="Y206" s="7">
        <v>-0.1378547813828179</v>
      </c>
      <c r="Z206" s="7">
        <v>0.23172789401933325</v>
      </c>
      <c r="AA206" s="7">
        <v>0.16532228890790687</v>
      </c>
      <c r="AB206" s="4">
        <v>1</v>
      </c>
      <c r="AC206" s="4">
        <v>0</v>
      </c>
      <c r="AD206" s="4">
        <v>1</v>
      </c>
    </row>
    <row r="207" spans="1:30" x14ac:dyDescent="0.3">
      <c r="A207" s="6">
        <v>44869</v>
      </c>
      <c r="B207" s="7">
        <v>9.9833083000000003E-2</v>
      </c>
      <c r="C207" s="7">
        <v>4.4419750000000001E-2</v>
      </c>
      <c r="D207" s="7">
        <v>0.18581486</v>
      </c>
      <c r="E207" s="7">
        <v>6.9592013999999994E-2</v>
      </c>
      <c r="F207" s="7">
        <v>0.150515118</v>
      </c>
      <c r="G207" s="7">
        <v>4.1599583000000002E-2</v>
      </c>
      <c r="H207" s="7">
        <v>0.202494127</v>
      </c>
      <c r="I207" s="7">
        <v>6.9664402E-2</v>
      </c>
      <c r="J207" s="7">
        <v>4.0252699000000003E-2</v>
      </c>
      <c r="K207" s="7">
        <v>6.7418707999999994E-2</v>
      </c>
      <c r="L207" s="7">
        <v>8.165414E-2</v>
      </c>
      <c r="M207" s="7">
        <v>7.5339964999999995E-2</v>
      </c>
      <c r="N207" s="7">
        <v>6.8137191999999999E-2</v>
      </c>
      <c r="O207" s="7">
        <v>6.1084518999999997E-2</v>
      </c>
      <c r="P207" s="7">
        <v>0.11274176299999999</v>
      </c>
      <c r="Q207" s="7">
        <v>8.1720777999999994E-2</v>
      </c>
      <c r="R207" s="7">
        <v>8.5687003999999997E-2</v>
      </c>
      <c r="S207" s="7">
        <v>5.0414162999999998E-2</v>
      </c>
      <c r="T207" s="7">
        <v>0.13322502999999999</v>
      </c>
      <c r="U207" s="7">
        <v>6.4177433000000006E-2</v>
      </c>
      <c r="V207" s="7">
        <v>-1.1403834680577596E-2</v>
      </c>
      <c r="W207" s="7">
        <v>0.2114913412446762</v>
      </c>
      <c r="X207" s="7">
        <v>0.14933131474079156</v>
      </c>
      <c r="Y207" s="7">
        <v>-0.1378547813828179</v>
      </c>
      <c r="Z207" s="7">
        <v>0.23105045788744635</v>
      </c>
      <c r="AA207" s="7">
        <v>0.1647288255700522</v>
      </c>
      <c r="AB207" s="4">
        <v>1</v>
      </c>
      <c r="AC207" s="4">
        <v>0</v>
      </c>
      <c r="AD207" s="4">
        <v>1</v>
      </c>
    </row>
    <row r="208" spans="1:30" x14ac:dyDescent="0.3">
      <c r="A208" s="6">
        <v>44872</v>
      </c>
      <c r="B208" s="7">
        <v>9.9445063E-2</v>
      </c>
      <c r="C208" s="7">
        <v>8.1466023999999998E-2</v>
      </c>
      <c r="D208" s="7">
        <v>0.166391118</v>
      </c>
      <c r="E208" s="7">
        <v>9.3611264999999999E-2</v>
      </c>
      <c r="F208" s="7">
        <v>9.9833083000000003E-2</v>
      </c>
      <c r="G208" s="7">
        <v>4.4419750000000001E-2</v>
      </c>
      <c r="H208" s="7">
        <v>0.18581486</v>
      </c>
      <c r="I208" s="7">
        <v>6.9592013999999994E-2</v>
      </c>
      <c r="J208" s="7">
        <v>0.150515118</v>
      </c>
      <c r="K208" s="7">
        <v>4.1599583000000002E-2</v>
      </c>
      <c r="L208" s="7">
        <v>0.202494127</v>
      </c>
      <c r="M208" s="7">
        <v>6.9664402E-2</v>
      </c>
      <c r="N208" s="7">
        <v>4.0252699000000003E-2</v>
      </c>
      <c r="O208" s="7">
        <v>6.7418707999999994E-2</v>
      </c>
      <c r="P208" s="7">
        <v>8.165414E-2</v>
      </c>
      <c r="Q208" s="7">
        <v>7.5339964999999995E-2</v>
      </c>
      <c r="R208" s="7">
        <v>6.8137191999999999E-2</v>
      </c>
      <c r="S208" s="7">
        <v>6.1084518999999997E-2</v>
      </c>
      <c r="T208" s="7">
        <v>0.11274176299999999</v>
      </c>
      <c r="U208" s="7">
        <v>8.1720777999999994E-2</v>
      </c>
      <c r="V208" s="7">
        <v>-1.1403834680577596E-2</v>
      </c>
      <c r="W208" s="7">
        <v>0.20783399662299576</v>
      </c>
      <c r="X208" s="7">
        <v>0.14775355502013385</v>
      </c>
      <c r="Y208" s="7">
        <v>-0.1378547813828179</v>
      </c>
      <c r="Z208" s="7">
        <v>0.22996207238936084</v>
      </c>
      <c r="AA208" s="7">
        <v>0.16417250019199864</v>
      </c>
      <c r="AB208" s="4">
        <v>1</v>
      </c>
      <c r="AC208" s="4">
        <v>0</v>
      </c>
      <c r="AD208" s="4">
        <v>1</v>
      </c>
    </row>
    <row r="209" spans="1:30" x14ac:dyDescent="0.3">
      <c r="A209" s="6">
        <v>44873</v>
      </c>
      <c r="B209" s="7">
        <v>7.7469571000000001E-2</v>
      </c>
      <c r="C209" s="7">
        <v>7.1653998999999996E-2</v>
      </c>
      <c r="D209" s="7">
        <v>0.113687396</v>
      </c>
      <c r="E209" s="7">
        <v>7.1980297999999998E-2</v>
      </c>
      <c r="F209" s="7">
        <v>9.9445063E-2</v>
      </c>
      <c r="G209" s="7">
        <v>8.1466023999999998E-2</v>
      </c>
      <c r="H209" s="7">
        <v>0.166391118</v>
      </c>
      <c r="I209" s="7">
        <v>9.3611264999999999E-2</v>
      </c>
      <c r="J209" s="7">
        <v>9.9833083000000003E-2</v>
      </c>
      <c r="K209" s="7">
        <v>4.4419750000000001E-2</v>
      </c>
      <c r="L209" s="7">
        <v>0.18581486</v>
      </c>
      <c r="M209" s="7">
        <v>6.9592013999999994E-2</v>
      </c>
      <c r="N209" s="7">
        <v>0.150515118</v>
      </c>
      <c r="O209" s="7">
        <v>4.1599583000000002E-2</v>
      </c>
      <c r="P209" s="7">
        <v>0.202494127</v>
      </c>
      <c r="Q209" s="7">
        <v>6.9664402E-2</v>
      </c>
      <c r="R209" s="7">
        <v>4.0252699000000003E-2</v>
      </c>
      <c r="S209" s="7">
        <v>6.7418707999999994E-2</v>
      </c>
      <c r="T209" s="7">
        <v>8.165414E-2</v>
      </c>
      <c r="U209" s="7">
        <v>7.5339964999999995E-2</v>
      </c>
      <c r="V209" s="7">
        <v>-1.1403834680577596E-2</v>
      </c>
      <c r="W209" s="7">
        <v>0.20876561101696581</v>
      </c>
      <c r="X209" s="7">
        <v>0.14837520453685299</v>
      </c>
      <c r="Y209" s="7">
        <v>-0.11631591482700403</v>
      </c>
      <c r="Z209" s="7">
        <v>0.22904508561971501</v>
      </c>
      <c r="AA209" s="7">
        <v>0.16421288338551426</v>
      </c>
      <c r="AB209" s="4">
        <v>1</v>
      </c>
      <c r="AC209" s="4">
        <v>0</v>
      </c>
      <c r="AD209" s="4">
        <v>1</v>
      </c>
    </row>
    <row r="210" spans="1:30" x14ac:dyDescent="0.3">
      <c r="A210" s="6">
        <v>44874</v>
      </c>
      <c r="B210" s="7">
        <v>4.8334241E-2</v>
      </c>
      <c r="C210" s="7">
        <v>8.1271460000000004E-2</v>
      </c>
      <c r="D210" s="7">
        <v>0.141860398</v>
      </c>
      <c r="E210" s="7">
        <v>9.4777822999999997E-2</v>
      </c>
      <c r="F210" s="7">
        <v>7.7469571000000001E-2</v>
      </c>
      <c r="G210" s="7">
        <v>7.1653998999999996E-2</v>
      </c>
      <c r="H210" s="7">
        <v>0.113687396</v>
      </c>
      <c r="I210" s="7">
        <v>7.1980297999999998E-2</v>
      </c>
      <c r="J210" s="7">
        <v>9.9445063E-2</v>
      </c>
      <c r="K210" s="7">
        <v>8.1466023999999998E-2</v>
      </c>
      <c r="L210" s="7">
        <v>0.166391118</v>
      </c>
      <c r="M210" s="7">
        <v>9.3611264999999999E-2</v>
      </c>
      <c r="N210" s="7">
        <v>9.9833083000000003E-2</v>
      </c>
      <c r="O210" s="7">
        <v>4.4419750000000001E-2</v>
      </c>
      <c r="P210" s="7">
        <v>0.18581486</v>
      </c>
      <c r="Q210" s="7">
        <v>6.9592013999999994E-2</v>
      </c>
      <c r="R210" s="7">
        <v>0.150515118</v>
      </c>
      <c r="S210" s="7">
        <v>4.1599583000000002E-2</v>
      </c>
      <c r="T210" s="7">
        <v>0.202494127</v>
      </c>
      <c r="U210" s="7">
        <v>6.9664402E-2</v>
      </c>
      <c r="V210" s="7">
        <v>-1.1403834680577596E-2</v>
      </c>
      <c r="W210" s="7">
        <v>0.2159439341063725</v>
      </c>
      <c r="X210" s="7">
        <v>0.1514912322167383</v>
      </c>
      <c r="Y210" s="7">
        <v>-0.11631591482700403</v>
      </c>
      <c r="Z210" s="7">
        <v>0.23194952080156112</v>
      </c>
      <c r="AA210" s="7">
        <v>0.16544492412001813</v>
      </c>
      <c r="AB210" s="4">
        <v>1</v>
      </c>
      <c r="AC210" s="4">
        <v>0</v>
      </c>
      <c r="AD210" s="4">
        <v>1</v>
      </c>
    </row>
    <row r="211" spans="1:30" x14ac:dyDescent="0.3">
      <c r="A211" s="6">
        <v>44875</v>
      </c>
      <c r="B211" s="7">
        <v>0.22794545199999999</v>
      </c>
      <c r="C211" s="7">
        <v>5.0530282000000003E-2</v>
      </c>
      <c r="D211" s="7">
        <v>0.245965674</v>
      </c>
      <c r="E211" s="7">
        <v>0.13171218500000001</v>
      </c>
      <c r="F211" s="7">
        <v>4.8334241E-2</v>
      </c>
      <c r="G211" s="7">
        <v>8.1271460000000004E-2</v>
      </c>
      <c r="H211" s="7">
        <v>0.141860398</v>
      </c>
      <c r="I211" s="7">
        <v>9.4777822999999997E-2</v>
      </c>
      <c r="J211" s="7">
        <v>7.7469571000000001E-2</v>
      </c>
      <c r="K211" s="7">
        <v>7.1653998999999996E-2</v>
      </c>
      <c r="L211" s="7">
        <v>0.113687396</v>
      </c>
      <c r="M211" s="7">
        <v>7.1980297999999998E-2</v>
      </c>
      <c r="N211" s="7">
        <v>9.9445063E-2</v>
      </c>
      <c r="O211" s="7">
        <v>8.1466023999999998E-2</v>
      </c>
      <c r="P211" s="7">
        <v>0.166391118</v>
      </c>
      <c r="Q211" s="7">
        <v>9.3611264999999999E-2</v>
      </c>
      <c r="R211" s="7">
        <v>9.9833083000000003E-2</v>
      </c>
      <c r="S211" s="7">
        <v>4.4419750000000001E-2</v>
      </c>
      <c r="T211" s="7">
        <v>0.18581486</v>
      </c>
      <c r="U211" s="7">
        <v>6.9592013999999994E-2</v>
      </c>
      <c r="V211" s="7">
        <v>-0.3725871751562021</v>
      </c>
      <c r="W211" s="7">
        <v>0.21693382660109353</v>
      </c>
      <c r="X211" s="7">
        <v>0.15102635139694487</v>
      </c>
      <c r="Y211" s="7">
        <v>-0.1378547813828179</v>
      </c>
      <c r="Z211" s="7">
        <v>0.23245003442295459</v>
      </c>
      <c r="AA211" s="7">
        <v>0.16523445509743862</v>
      </c>
      <c r="AB211" s="4">
        <v>1</v>
      </c>
      <c r="AC211" s="4">
        <v>0</v>
      </c>
      <c r="AD211" s="4">
        <v>1</v>
      </c>
    </row>
    <row r="212" spans="1:30" x14ac:dyDescent="0.3">
      <c r="A212" s="6">
        <v>44876</v>
      </c>
      <c r="B212" s="7">
        <v>0.12735969999999999</v>
      </c>
      <c r="C212" s="7">
        <v>0.10447849100000001</v>
      </c>
      <c r="D212" s="7">
        <v>0.31401613699999997</v>
      </c>
      <c r="E212" s="7">
        <v>0.131225587</v>
      </c>
      <c r="F212" s="7">
        <v>0.22794545199999999</v>
      </c>
      <c r="G212" s="7">
        <v>5.0530282000000003E-2</v>
      </c>
      <c r="H212" s="7">
        <v>0.245965674</v>
      </c>
      <c r="I212" s="7">
        <v>0.13171218500000001</v>
      </c>
      <c r="J212" s="7">
        <v>4.8334241E-2</v>
      </c>
      <c r="K212" s="7">
        <v>8.1271460000000004E-2</v>
      </c>
      <c r="L212" s="7">
        <v>0.141860398</v>
      </c>
      <c r="M212" s="7">
        <v>9.4777822999999997E-2</v>
      </c>
      <c r="N212" s="7">
        <v>7.7469571000000001E-2</v>
      </c>
      <c r="O212" s="7">
        <v>7.1653998999999996E-2</v>
      </c>
      <c r="P212" s="7">
        <v>0.113687396</v>
      </c>
      <c r="Q212" s="7">
        <v>7.1980297999999998E-2</v>
      </c>
      <c r="R212" s="7">
        <v>9.9445063E-2</v>
      </c>
      <c r="S212" s="7">
        <v>8.1466023999999998E-2</v>
      </c>
      <c r="T212" s="7">
        <v>0.166391118</v>
      </c>
      <c r="U212" s="7">
        <v>9.3611264999999999E-2</v>
      </c>
      <c r="V212" s="7">
        <v>-0.3725871751562021</v>
      </c>
      <c r="W212" s="7">
        <v>0.23629766129903068</v>
      </c>
      <c r="X212" s="7">
        <v>0.15748065915840553</v>
      </c>
      <c r="Y212" s="7">
        <v>-0.11631591482700403</v>
      </c>
      <c r="Z212" s="7">
        <v>0.24081285156934856</v>
      </c>
      <c r="AA212" s="7">
        <v>0.16850158745456756</v>
      </c>
      <c r="AB212" s="4">
        <v>1</v>
      </c>
      <c r="AC212" s="4">
        <v>0</v>
      </c>
      <c r="AD212" s="4">
        <v>1</v>
      </c>
    </row>
    <row r="213" spans="1:30" x14ac:dyDescent="0.3">
      <c r="A213" s="6">
        <v>44879</v>
      </c>
      <c r="B213" s="7">
        <v>0.247773682</v>
      </c>
      <c r="C213" s="7">
        <v>0.117301216</v>
      </c>
      <c r="D213" s="7">
        <v>0.36129687700000002</v>
      </c>
      <c r="E213" s="7">
        <v>0.214959768</v>
      </c>
      <c r="F213" s="7">
        <v>0.12735969999999999</v>
      </c>
      <c r="G213" s="7">
        <v>0.10447849100000001</v>
      </c>
      <c r="H213" s="7">
        <v>0.31401613699999997</v>
      </c>
      <c r="I213" s="7">
        <v>0.131225587</v>
      </c>
      <c r="J213" s="7">
        <v>0.22794545199999999</v>
      </c>
      <c r="K213" s="7">
        <v>5.0530282000000003E-2</v>
      </c>
      <c r="L213" s="7">
        <v>0.245965674</v>
      </c>
      <c r="M213" s="7">
        <v>0.13171218500000001</v>
      </c>
      <c r="N213" s="7">
        <v>4.8334241E-2</v>
      </c>
      <c r="O213" s="7">
        <v>8.1271460000000004E-2</v>
      </c>
      <c r="P213" s="7">
        <v>0.141860398</v>
      </c>
      <c r="Q213" s="7">
        <v>9.4777822999999997E-2</v>
      </c>
      <c r="R213" s="7">
        <v>7.7469571000000001E-2</v>
      </c>
      <c r="S213" s="7">
        <v>7.1653998999999996E-2</v>
      </c>
      <c r="T213" s="7">
        <v>0.113687396</v>
      </c>
      <c r="U213" s="7">
        <v>7.1980297999999998E-2</v>
      </c>
      <c r="V213" s="7">
        <v>9.2900830972278969E-2</v>
      </c>
      <c r="W213" s="7">
        <v>0.23691659398032747</v>
      </c>
      <c r="X213" s="7">
        <v>0.15941266637451343</v>
      </c>
      <c r="Y213" s="7">
        <v>-0.11631591482700403</v>
      </c>
      <c r="Z213" s="7">
        <v>0.24060545945410147</v>
      </c>
      <c r="AA213" s="7">
        <v>0.16833036409051047</v>
      </c>
      <c r="AB213" s="4">
        <v>1</v>
      </c>
      <c r="AC213" s="4">
        <v>0</v>
      </c>
      <c r="AD213" s="4">
        <v>1</v>
      </c>
    </row>
    <row r="214" spans="1:30" x14ac:dyDescent="0.3">
      <c r="A214" s="6">
        <v>44880</v>
      </c>
      <c r="B214" s="7">
        <v>0.187480814</v>
      </c>
      <c r="C214" s="7">
        <v>0.25805679100000001</v>
      </c>
      <c r="D214" s="7">
        <v>0.54412480399999996</v>
      </c>
      <c r="E214" s="7">
        <v>0.35818740500000001</v>
      </c>
      <c r="F214" s="7">
        <v>0.247773682</v>
      </c>
      <c r="G214" s="7">
        <v>0.117301216</v>
      </c>
      <c r="H214" s="7">
        <v>0.36129687700000002</v>
      </c>
      <c r="I214" s="7">
        <v>0.214959768</v>
      </c>
      <c r="J214" s="7">
        <v>0.12735969999999999</v>
      </c>
      <c r="K214" s="7">
        <v>0.10447849100000001</v>
      </c>
      <c r="L214" s="7">
        <v>0.31401613699999997</v>
      </c>
      <c r="M214" s="7">
        <v>0.131225587</v>
      </c>
      <c r="N214" s="7">
        <v>0.22794545199999999</v>
      </c>
      <c r="O214" s="7">
        <v>5.0530282000000003E-2</v>
      </c>
      <c r="P214" s="7">
        <v>0.245965674</v>
      </c>
      <c r="Q214" s="7">
        <v>0.13171218500000001</v>
      </c>
      <c r="R214" s="7">
        <v>4.8334241E-2</v>
      </c>
      <c r="S214" s="7">
        <v>8.1271460000000004E-2</v>
      </c>
      <c r="T214" s="7">
        <v>0.141860398</v>
      </c>
      <c r="U214" s="7">
        <v>9.4777822999999997E-2</v>
      </c>
      <c r="V214" s="7">
        <v>9.6464893751298589E-2</v>
      </c>
      <c r="W214" s="7">
        <v>0.24585898668356437</v>
      </c>
      <c r="X214" s="7">
        <v>0.16424813607846536</v>
      </c>
      <c r="Y214" s="7">
        <v>-0.10257140222992596</v>
      </c>
      <c r="Z214" s="7">
        <v>0.24465515147086903</v>
      </c>
      <c r="AA214" s="7">
        <v>0.17087315055739996</v>
      </c>
      <c r="AB214" s="4">
        <v>0</v>
      </c>
      <c r="AC214" s="4">
        <v>0</v>
      </c>
      <c r="AD214" s="4">
        <v>0</v>
      </c>
    </row>
    <row r="215" spans="1:30" x14ac:dyDescent="0.3">
      <c r="A215" s="6">
        <v>44881</v>
      </c>
      <c r="B215" s="7">
        <v>5.3247343000000003E-2</v>
      </c>
      <c r="C215" s="7">
        <v>4.8474648000000002E-2</v>
      </c>
      <c r="D215" s="7">
        <v>4.4806484000000001E-2</v>
      </c>
      <c r="E215" s="7">
        <v>6.3162198000000003E-2</v>
      </c>
      <c r="F215" s="7">
        <v>0.187480814</v>
      </c>
      <c r="G215" s="7">
        <v>0.25805679100000001</v>
      </c>
      <c r="H215" s="7">
        <v>0.54412480399999996</v>
      </c>
      <c r="I215" s="7">
        <v>0.35818740500000001</v>
      </c>
      <c r="J215" s="7">
        <v>0.247773682</v>
      </c>
      <c r="K215" s="7">
        <v>0.117301216</v>
      </c>
      <c r="L215" s="7">
        <v>0.36129687700000002</v>
      </c>
      <c r="M215" s="7">
        <v>0.214959768</v>
      </c>
      <c r="N215" s="7">
        <v>0.12735969999999999</v>
      </c>
      <c r="O215" s="7">
        <v>0.10447849100000001</v>
      </c>
      <c r="P215" s="7">
        <v>0.31401613699999997</v>
      </c>
      <c r="Q215" s="7">
        <v>0.131225587</v>
      </c>
      <c r="R215" s="7">
        <v>0.22794545199999999</v>
      </c>
      <c r="S215" s="7">
        <v>5.0530282000000003E-2</v>
      </c>
      <c r="T215" s="7">
        <v>0.245965674</v>
      </c>
      <c r="U215" s="7">
        <v>0.13171218500000001</v>
      </c>
      <c r="V215" s="7">
        <v>9.6464893751298589E-2</v>
      </c>
      <c r="W215" s="7">
        <v>0.24543173135883667</v>
      </c>
      <c r="X215" s="7">
        <v>0.16468925252975841</v>
      </c>
      <c r="Y215" s="7">
        <v>-0.11631591482700403</v>
      </c>
      <c r="Z215" s="7">
        <v>0.24237870398730385</v>
      </c>
      <c r="AA215" s="7">
        <v>0.16916020323933417</v>
      </c>
      <c r="AB215" s="4">
        <v>0</v>
      </c>
      <c r="AC215" s="4">
        <v>0</v>
      </c>
      <c r="AD215" s="4">
        <v>0</v>
      </c>
    </row>
    <row r="216" spans="1:30" x14ac:dyDescent="0.3">
      <c r="A216" s="6">
        <v>44882</v>
      </c>
      <c r="B216" s="7">
        <v>9.4276387000000003E-2</v>
      </c>
      <c r="C216" s="7">
        <v>3.0044099000000001E-2</v>
      </c>
      <c r="D216" s="7">
        <v>0.131151237</v>
      </c>
      <c r="E216" s="7">
        <v>6.4887577000000002E-2</v>
      </c>
      <c r="F216" s="7">
        <v>5.3247343000000003E-2</v>
      </c>
      <c r="G216" s="7">
        <v>4.8474648000000002E-2</v>
      </c>
      <c r="H216" s="7">
        <v>4.4806484000000001E-2</v>
      </c>
      <c r="I216" s="7">
        <v>6.3162198000000003E-2</v>
      </c>
      <c r="J216" s="7">
        <v>0.187480814</v>
      </c>
      <c r="K216" s="7">
        <v>0.25805679100000001</v>
      </c>
      <c r="L216" s="7">
        <v>0.54412480399999996</v>
      </c>
      <c r="M216" s="7">
        <v>0.35818740500000001</v>
      </c>
      <c r="N216" s="7">
        <v>0.247773682</v>
      </c>
      <c r="O216" s="7">
        <v>0.117301216</v>
      </c>
      <c r="P216" s="7">
        <v>0.36129687700000002</v>
      </c>
      <c r="Q216" s="7">
        <v>0.214959768</v>
      </c>
      <c r="R216" s="7">
        <v>0.12735969999999999</v>
      </c>
      <c r="S216" s="7">
        <v>0.10447849100000001</v>
      </c>
      <c r="T216" s="7">
        <v>0.31401613699999997</v>
      </c>
      <c r="U216" s="7">
        <v>0.131225587</v>
      </c>
      <c r="V216" s="7">
        <v>0.11938383462535157</v>
      </c>
      <c r="W216" s="7">
        <v>0.24425949647033074</v>
      </c>
      <c r="X216" s="7">
        <v>0.16481710424794777</v>
      </c>
      <c r="Y216" s="7">
        <v>-0.11631591482700403</v>
      </c>
      <c r="Z216" s="7">
        <v>0.24134373202172901</v>
      </c>
      <c r="AA216" s="7">
        <v>0.16806528295392165</v>
      </c>
      <c r="AB216" s="4">
        <v>1</v>
      </c>
      <c r="AC216" s="4">
        <v>0</v>
      </c>
      <c r="AD216" s="4">
        <v>1</v>
      </c>
    </row>
    <row r="217" spans="1:30" x14ac:dyDescent="0.3">
      <c r="A217" s="6">
        <v>44883</v>
      </c>
      <c r="B217" s="7">
        <v>9.4755254999999997E-2</v>
      </c>
      <c r="C217" s="7">
        <v>2.9063934E-2</v>
      </c>
      <c r="D217" s="7">
        <v>9.5314519E-2</v>
      </c>
      <c r="E217" s="7">
        <v>4.6364434000000003E-2</v>
      </c>
      <c r="F217" s="7">
        <v>9.4276387000000003E-2</v>
      </c>
      <c r="G217" s="7">
        <v>3.0044099000000001E-2</v>
      </c>
      <c r="H217" s="7">
        <v>0.131151237</v>
      </c>
      <c r="I217" s="7">
        <v>6.4887577000000002E-2</v>
      </c>
      <c r="J217" s="7">
        <v>5.3247343000000003E-2</v>
      </c>
      <c r="K217" s="7">
        <v>4.8474648000000002E-2</v>
      </c>
      <c r="L217" s="7">
        <v>4.4806484000000001E-2</v>
      </c>
      <c r="M217" s="7">
        <v>6.3162198000000003E-2</v>
      </c>
      <c r="N217" s="7">
        <v>0.187480814</v>
      </c>
      <c r="O217" s="7">
        <v>0.25805679100000001</v>
      </c>
      <c r="P217" s="7">
        <v>0.54412480399999996</v>
      </c>
      <c r="Q217" s="7">
        <v>0.35818740500000001</v>
      </c>
      <c r="R217" s="7">
        <v>0.247773682</v>
      </c>
      <c r="S217" s="7">
        <v>0.117301216</v>
      </c>
      <c r="T217" s="7">
        <v>0.36129687700000002</v>
      </c>
      <c r="U217" s="7">
        <v>0.214959768</v>
      </c>
      <c r="V217" s="7">
        <v>0.11938383462535157</v>
      </c>
      <c r="W217" s="7">
        <v>0.24427373382618645</v>
      </c>
      <c r="X217" s="7">
        <v>0.16477897996515595</v>
      </c>
      <c r="Y217" s="7">
        <v>-0.1378547813828179</v>
      </c>
      <c r="Z217" s="7">
        <v>0.24034344945684169</v>
      </c>
      <c r="AA217" s="7">
        <v>0.16684184840567101</v>
      </c>
      <c r="AB217" s="4">
        <v>1</v>
      </c>
      <c r="AC217" s="4">
        <v>0</v>
      </c>
      <c r="AD217" s="4">
        <v>1</v>
      </c>
    </row>
    <row r="218" spans="1:30" x14ac:dyDescent="0.3">
      <c r="A218" s="6">
        <v>44886</v>
      </c>
      <c r="B218" s="7">
        <v>7.9639227000000007E-2</v>
      </c>
      <c r="C218" s="7">
        <v>2.873796E-2</v>
      </c>
      <c r="D218" s="7">
        <v>7.0470895000000006E-2</v>
      </c>
      <c r="E218" s="7">
        <v>4.2535254000000002E-2</v>
      </c>
      <c r="F218" s="7">
        <v>9.4755254999999997E-2</v>
      </c>
      <c r="G218" s="7">
        <v>2.9063934E-2</v>
      </c>
      <c r="H218" s="7">
        <v>9.5314519E-2</v>
      </c>
      <c r="I218" s="7">
        <v>4.6364434000000003E-2</v>
      </c>
      <c r="J218" s="7">
        <v>9.4276387000000003E-2</v>
      </c>
      <c r="K218" s="7">
        <v>3.0044099000000001E-2</v>
      </c>
      <c r="L218" s="7">
        <v>0.131151237</v>
      </c>
      <c r="M218" s="7">
        <v>6.4887577000000002E-2</v>
      </c>
      <c r="N218" s="7">
        <v>5.3247343000000003E-2</v>
      </c>
      <c r="O218" s="7">
        <v>4.8474648000000002E-2</v>
      </c>
      <c r="P218" s="7">
        <v>4.4806484000000001E-2</v>
      </c>
      <c r="Q218" s="7">
        <v>6.3162198000000003E-2</v>
      </c>
      <c r="R218" s="7">
        <v>0.187480814</v>
      </c>
      <c r="S218" s="7">
        <v>0.25805679100000001</v>
      </c>
      <c r="T218" s="7">
        <v>0.54412480399999996</v>
      </c>
      <c r="U218" s="7">
        <v>0.35818740500000001</v>
      </c>
      <c r="V218" s="7">
        <v>-7.6129636260654041E-2</v>
      </c>
      <c r="W218" s="7">
        <v>0.24332699855576381</v>
      </c>
      <c r="X218" s="7">
        <v>0.16280409987279934</v>
      </c>
      <c r="Y218" s="7">
        <v>-0.1378547813828179</v>
      </c>
      <c r="Z218" s="7">
        <v>0.24003458522796967</v>
      </c>
      <c r="AA218" s="7">
        <v>0.16690834142066496</v>
      </c>
      <c r="AB218" s="4">
        <v>0</v>
      </c>
      <c r="AC218" s="4">
        <v>0</v>
      </c>
      <c r="AD218" s="4">
        <v>0</v>
      </c>
    </row>
    <row r="219" spans="1:30" x14ac:dyDescent="0.3">
      <c r="A219" s="6">
        <v>44887</v>
      </c>
      <c r="B219" s="7">
        <v>3.3702586E-2</v>
      </c>
      <c r="C219" s="7">
        <v>3.2949141000000001E-2</v>
      </c>
      <c r="D219" s="7">
        <v>6.8477416999999999E-2</v>
      </c>
      <c r="E219" s="7">
        <v>4.6021105999999999E-2</v>
      </c>
      <c r="F219" s="7">
        <v>7.9639227000000007E-2</v>
      </c>
      <c r="G219" s="7">
        <v>2.873796E-2</v>
      </c>
      <c r="H219" s="7">
        <v>7.0470895000000006E-2</v>
      </c>
      <c r="I219" s="7">
        <v>4.2535254000000002E-2</v>
      </c>
      <c r="J219" s="7">
        <v>9.4755254999999997E-2</v>
      </c>
      <c r="K219" s="7">
        <v>2.9063934E-2</v>
      </c>
      <c r="L219" s="7">
        <v>9.5314519E-2</v>
      </c>
      <c r="M219" s="7">
        <v>4.6364434000000003E-2</v>
      </c>
      <c r="N219" s="7">
        <v>9.4276387000000003E-2</v>
      </c>
      <c r="O219" s="7">
        <v>3.0044099000000001E-2</v>
      </c>
      <c r="P219" s="7">
        <v>0.131151237</v>
      </c>
      <c r="Q219" s="7">
        <v>6.4887577000000002E-2</v>
      </c>
      <c r="R219" s="7">
        <v>5.3247343000000003E-2</v>
      </c>
      <c r="S219" s="7">
        <v>4.8474648000000002E-2</v>
      </c>
      <c r="T219" s="7">
        <v>4.4806484000000001E-2</v>
      </c>
      <c r="U219" s="7">
        <v>6.3162198000000003E-2</v>
      </c>
      <c r="V219" s="7">
        <v>-7.6129636260654041E-2</v>
      </c>
      <c r="W219" s="7">
        <v>0.24352118411349427</v>
      </c>
      <c r="X219" s="7">
        <v>0.16304155254178374</v>
      </c>
      <c r="Y219" s="7">
        <v>-0.11631591482700403</v>
      </c>
      <c r="Z219" s="7">
        <v>0.24008154321168457</v>
      </c>
      <c r="AA219" s="7">
        <v>0.16772805240729727</v>
      </c>
      <c r="AB219" s="4">
        <v>0</v>
      </c>
      <c r="AC219" s="4">
        <v>0</v>
      </c>
      <c r="AD219" s="4">
        <v>0</v>
      </c>
    </row>
    <row r="220" spans="1:30" x14ac:dyDescent="0.3">
      <c r="A220" s="6">
        <v>44888</v>
      </c>
      <c r="B220" s="7">
        <v>3.3529875000000001E-2</v>
      </c>
      <c r="C220" s="7">
        <v>4.2950710000000003E-2</v>
      </c>
      <c r="D220" s="7">
        <v>4.5237123999999997E-2</v>
      </c>
      <c r="E220" s="7">
        <v>5.4424161999999998E-2</v>
      </c>
      <c r="F220" s="7">
        <v>3.3702586E-2</v>
      </c>
      <c r="G220" s="7">
        <v>3.2949141000000001E-2</v>
      </c>
      <c r="H220" s="7">
        <v>6.8477416999999999E-2</v>
      </c>
      <c r="I220" s="7">
        <v>4.6021105999999999E-2</v>
      </c>
      <c r="J220" s="7">
        <v>7.9639227000000007E-2</v>
      </c>
      <c r="K220" s="7">
        <v>2.873796E-2</v>
      </c>
      <c r="L220" s="7">
        <v>7.0470895000000006E-2</v>
      </c>
      <c r="M220" s="7">
        <v>4.2535254000000002E-2</v>
      </c>
      <c r="N220" s="7">
        <v>9.4755254999999997E-2</v>
      </c>
      <c r="O220" s="7">
        <v>2.9063934E-2</v>
      </c>
      <c r="P220" s="7">
        <v>9.5314519E-2</v>
      </c>
      <c r="Q220" s="7">
        <v>4.6364434000000003E-2</v>
      </c>
      <c r="R220" s="7">
        <v>9.4276387000000003E-2</v>
      </c>
      <c r="S220" s="7">
        <v>3.0044099000000001E-2</v>
      </c>
      <c r="T220" s="7">
        <v>0.131151237</v>
      </c>
      <c r="U220" s="7">
        <v>6.4887577000000002E-2</v>
      </c>
      <c r="V220" s="7">
        <v>0.11938383462535157</v>
      </c>
      <c r="W220" s="7">
        <v>0.24153659497855309</v>
      </c>
      <c r="X220" s="7">
        <v>0.1631060913339179</v>
      </c>
      <c r="Y220" s="7">
        <v>-0.11631591482700403</v>
      </c>
      <c r="Z220" s="7">
        <v>0.24022294223704307</v>
      </c>
      <c r="AA220" s="7">
        <v>0.1679876201373596</v>
      </c>
      <c r="AB220" s="4">
        <v>1</v>
      </c>
      <c r="AC220" s="4">
        <v>0</v>
      </c>
      <c r="AD220" s="4">
        <v>1</v>
      </c>
    </row>
    <row r="221" spans="1:30" x14ac:dyDescent="0.3">
      <c r="A221" s="6">
        <v>44889</v>
      </c>
      <c r="B221" s="7">
        <v>8.1134856000000005E-2</v>
      </c>
      <c r="C221" s="7">
        <v>4.5127536000000003E-2</v>
      </c>
      <c r="D221" s="7">
        <v>0.12289254099999999</v>
      </c>
      <c r="E221" s="7">
        <v>6.3846634999999999E-2</v>
      </c>
      <c r="F221" s="7">
        <v>3.3529875000000001E-2</v>
      </c>
      <c r="G221" s="7">
        <v>4.2950710000000003E-2</v>
      </c>
      <c r="H221" s="7">
        <v>4.5237123999999997E-2</v>
      </c>
      <c r="I221" s="7">
        <v>5.4424161999999998E-2</v>
      </c>
      <c r="J221" s="7">
        <v>3.3702586E-2</v>
      </c>
      <c r="K221" s="7">
        <v>3.2949141000000001E-2</v>
      </c>
      <c r="L221" s="7">
        <v>6.8477416999999999E-2</v>
      </c>
      <c r="M221" s="7">
        <v>4.6021105999999999E-2</v>
      </c>
      <c r="N221" s="7">
        <v>7.9639227000000007E-2</v>
      </c>
      <c r="O221" s="7">
        <v>2.873796E-2</v>
      </c>
      <c r="P221" s="7">
        <v>7.0470895000000006E-2</v>
      </c>
      <c r="Q221" s="7">
        <v>4.2535254000000002E-2</v>
      </c>
      <c r="R221" s="7">
        <v>9.4755254999999997E-2</v>
      </c>
      <c r="S221" s="7">
        <v>2.9063934E-2</v>
      </c>
      <c r="T221" s="7">
        <v>9.5314519E-2</v>
      </c>
      <c r="U221" s="7">
        <v>4.6364434000000003E-2</v>
      </c>
      <c r="V221" s="7">
        <v>0.11938383462535157</v>
      </c>
      <c r="W221" s="7">
        <v>0.24328805553613672</v>
      </c>
      <c r="X221" s="7">
        <v>0.16499078546574789</v>
      </c>
      <c r="Y221" s="7">
        <v>-0.10257140222992596</v>
      </c>
      <c r="Z221" s="7">
        <v>0.24106379054902516</v>
      </c>
      <c r="AA221" s="7">
        <v>0.16930898306543107</v>
      </c>
      <c r="AB221" s="4">
        <v>1</v>
      </c>
      <c r="AC221" s="4">
        <v>0</v>
      </c>
      <c r="AD221" s="4">
        <v>1</v>
      </c>
    </row>
    <row r="222" spans="1:30" x14ac:dyDescent="0.3">
      <c r="A222" s="6">
        <v>44890</v>
      </c>
      <c r="B222" s="7">
        <v>8.4839321999999995E-2</v>
      </c>
      <c r="C222" s="7">
        <v>3.1557109999999999E-2</v>
      </c>
      <c r="D222" s="7">
        <v>8.9757039999999996E-2</v>
      </c>
      <c r="E222" s="7">
        <v>3.7982500000000002E-2</v>
      </c>
      <c r="F222" s="7">
        <v>8.1134856000000005E-2</v>
      </c>
      <c r="G222" s="7">
        <v>4.5127536000000003E-2</v>
      </c>
      <c r="H222" s="7">
        <v>0.12289254099999999</v>
      </c>
      <c r="I222" s="7">
        <v>6.3846634999999999E-2</v>
      </c>
      <c r="J222" s="7">
        <v>3.3529875000000001E-2</v>
      </c>
      <c r="K222" s="7">
        <v>4.2950710000000003E-2</v>
      </c>
      <c r="L222" s="7">
        <v>4.5237123999999997E-2</v>
      </c>
      <c r="M222" s="7">
        <v>5.4424161999999998E-2</v>
      </c>
      <c r="N222" s="7">
        <v>3.3702586E-2</v>
      </c>
      <c r="O222" s="7">
        <v>3.2949141000000001E-2</v>
      </c>
      <c r="P222" s="7">
        <v>6.8477416999999999E-2</v>
      </c>
      <c r="Q222" s="7">
        <v>4.6021105999999999E-2</v>
      </c>
      <c r="R222" s="7">
        <v>7.9639227000000007E-2</v>
      </c>
      <c r="S222" s="7">
        <v>2.873796E-2</v>
      </c>
      <c r="T222" s="7">
        <v>7.0470895000000006E-2</v>
      </c>
      <c r="U222" s="7">
        <v>4.2535254000000002E-2</v>
      </c>
      <c r="V222" s="7">
        <v>-7.6129636260654041E-2</v>
      </c>
      <c r="W222" s="7">
        <v>0.24217879951550411</v>
      </c>
      <c r="X222" s="7">
        <v>0.1631633013771685</v>
      </c>
      <c r="Y222" s="7">
        <v>-0.11631591482700403</v>
      </c>
      <c r="Z222" s="7">
        <v>0.24041853379961906</v>
      </c>
      <c r="AA222" s="7">
        <v>0.16844031689838496</v>
      </c>
      <c r="AB222" s="4">
        <v>0</v>
      </c>
      <c r="AC222" s="4">
        <v>0</v>
      </c>
      <c r="AD222" s="4">
        <v>0</v>
      </c>
    </row>
    <row r="223" spans="1:30" x14ac:dyDescent="0.3">
      <c r="A223" s="6">
        <v>44893</v>
      </c>
      <c r="B223" s="7">
        <v>7.8165223000000006E-2</v>
      </c>
      <c r="C223" s="7">
        <v>3.3757967999999999E-2</v>
      </c>
      <c r="D223" s="7">
        <v>8.4210325000000003E-2</v>
      </c>
      <c r="E223" s="7">
        <v>6.1368541999999998E-2</v>
      </c>
      <c r="F223" s="7">
        <v>8.4839321999999995E-2</v>
      </c>
      <c r="G223" s="7">
        <v>3.1557109999999999E-2</v>
      </c>
      <c r="H223" s="7">
        <v>8.9757039999999996E-2</v>
      </c>
      <c r="I223" s="7">
        <v>3.7982500000000002E-2</v>
      </c>
      <c r="J223" s="7">
        <v>8.1134856000000005E-2</v>
      </c>
      <c r="K223" s="7">
        <v>4.5127536000000003E-2</v>
      </c>
      <c r="L223" s="7">
        <v>0.12289254099999999</v>
      </c>
      <c r="M223" s="7">
        <v>6.3846634999999999E-2</v>
      </c>
      <c r="N223" s="7">
        <v>3.3529875000000001E-2</v>
      </c>
      <c r="O223" s="7">
        <v>4.2950710000000003E-2</v>
      </c>
      <c r="P223" s="7">
        <v>4.5237123999999997E-2</v>
      </c>
      <c r="Q223" s="7">
        <v>5.4424161999999998E-2</v>
      </c>
      <c r="R223" s="7">
        <v>3.3702586E-2</v>
      </c>
      <c r="S223" s="7">
        <v>3.2949141000000001E-2</v>
      </c>
      <c r="T223" s="7">
        <v>6.8477416999999999E-2</v>
      </c>
      <c r="U223" s="7">
        <v>4.6021105999999999E-2</v>
      </c>
      <c r="V223" s="7">
        <v>-7.6129636260654041E-2</v>
      </c>
      <c r="W223" s="7">
        <v>0.23816136439632327</v>
      </c>
      <c r="X223" s="7">
        <v>0.15931905577834904</v>
      </c>
      <c r="Y223" s="7">
        <v>-0.11631591482700403</v>
      </c>
      <c r="Z223" s="7">
        <v>0.2408016590748025</v>
      </c>
      <c r="AA223" s="7">
        <v>0.16847475339902346</v>
      </c>
      <c r="AB223" s="4">
        <v>1</v>
      </c>
      <c r="AC223" s="4">
        <v>0</v>
      </c>
      <c r="AD223" s="4">
        <v>1</v>
      </c>
    </row>
    <row r="224" spans="1:30" x14ac:dyDescent="0.3">
      <c r="A224" s="6">
        <v>44894</v>
      </c>
      <c r="B224" s="7">
        <v>2.6677644E-2</v>
      </c>
      <c r="C224" s="7">
        <v>4.0795950999999997E-2</v>
      </c>
      <c r="D224" s="7">
        <v>8.6453190999999999E-2</v>
      </c>
      <c r="E224" s="7">
        <v>5.9215130999999997E-2</v>
      </c>
      <c r="F224" s="7">
        <v>7.8165223000000006E-2</v>
      </c>
      <c r="G224" s="7">
        <v>3.3757967999999999E-2</v>
      </c>
      <c r="H224" s="7">
        <v>8.4210325000000003E-2</v>
      </c>
      <c r="I224" s="7">
        <v>6.1368541999999998E-2</v>
      </c>
      <c r="J224" s="7">
        <v>8.4839321999999995E-2</v>
      </c>
      <c r="K224" s="7">
        <v>3.1557109999999999E-2</v>
      </c>
      <c r="L224" s="7">
        <v>8.9757039999999996E-2</v>
      </c>
      <c r="M224" s="7">
        <v>3.7982500000000002E-2</v>
      </c>
      <c r="N224" s="7">
        <v>8.1134856000000005E-2</v>
      </c>
      <c r="O224" s="7">
        <v>4.5127536000000003E-2</v>
      </c>
      <c r="P224" s="7">
        <v>0.12289254099999999</v>
      </c>
      <c r="Q224" s="7">
        <v>6.3846634999999999E-2</v>
      </c>
      <c r="R224" s="7">
        <v>3.3529875000000001E-2</v>
      </c>
      <c r="S224" s="7">
        <v>4.2950710000000003E-2</v>
      </c>
      <c r="T224" s="7">
        <v>4.5237123999999997E-2</v>
      </c>
      <c r="U224" s="7">
        <v>5.4424161999999998E-2</v>
      </c>
      <c r="V224" s="7">
        <v>0.11938383462535157</v>
      </c>
      <c r="W224" s="7">
        <v>0.23840656712735575</v>
      </c>
      <c r="X224" s="7">
        <v>0.16132638267877081</v>
      </c>
      <c r="Y224" s="7">
        <v>-0.10257140222992596</v>
      </c>
      <c r="Z224" s="7">
        <v>0.24103739720396211</v>
      </c>
      <c r="AA224" s="7">
        <v>0.16949474126849179</v>
      </c>
      <c r="AB224" s="4">
        <v>0</v>
      </c>
      <c r="AC224" s="4">
        <v>0</v>
      </c>
      <c r="AD224" s="4">
        <v>0</v>
      </c>
    </row>
    <row r="225" spans="1:30" x14ac:dyDescent="0.3">
      <c r="A225" s="6">
        <v>44895</v>
      </c>
      <c r="B225" s="7">
        <v>1.6510387000000001E-2</v>
      </c>
      <c r="C225" s="7">
        <v>3.7940344000000001E-2</v>
      </c>
      <c r="D225" s="7">
        <v>6.9557473999999994E-2</v>
      </c>
      <c r="E225" s="7">
        <v>5.9602805000000002E-2</v>
      </c>
      <c r="F225" s="7">
        <v>2.6677644E-2</v>
      </c>
      <c r="G225" s="7">
        <v>4.0795950999999997E-2</v>
      </c>
      <c r="H225" s="7">
        <v>8.6453190999999999E-2</v>
      </c>
      <c r="I225" s="7">
        <v>5.9215130999999997E-2</v>
      </c>
      <c r="J225" s="7">
        <v>7.8165223000000006E-2</v>
      </c>
      <c r="K225" s="7">
        <v>3.3757967999999999E-2</v>
      </c>
      <c r="L225" s="7">
        <v>8.4210325000000003E-2</v>
      </c>
      <c r="M225" s="7">
        <v>6.1368541999999998E-2</v>
      </c>
      <c r="N225" s="7">
        <v>8.4839321999999995E-2</v>
      </c>
      <c r="O225" s="7">
        <v>3.1557109999999999E-2</v>
      </c>
      <c r="P225" s="7">
        <v>8.9757039999999996E-2</v>
      </c>
      <c r="Q225" s="7">
        <v>3.7982500000000002E-2</v>
      </c>
      <c r="R225" s="7">
        <v>8.1134856000000005E-2</v>
      </c>
      <c r="S225" s="7">
        <v>4.5127536000000003E-2</v>
      </c>
      <c r="T225" s="7">
        <v>0.12289254099999999</v>
      </c>
      <c r="U225" s="7">
        <v>6.3846634999999999E-2</v>
      </c>
      <c r="V225" s="7">
        <v>0.32501124533681719</v>
      </c>
      <c r="W225" s="7">
        <v>0.23991897940386964</v>
      </c>
      <c r="X225" s="7">
        <v>0.16352547301847722</v>
      </c>
      <c r="Y225" s="7">
        <v>-7.6129636260654041E-2</v>
      </c>
      <c r="Z225" s="7">
        <v>0.24078519032302739</v>
      </c>
      <c r="AA225" s="7">
        <v>0.17009565927272327</v>
      </c>
      <c r="AB225" s="4">
        <v>0</v>
      </c>
      <c r="AC225" s="4">
        <v>1</v>
      </c>
      <c r="AD225" s="4">
        <v>1</v>
      </c>
    </row>
    <row r="226" spans="1:30" x14ac:dyDescent="0.3">
      <c r="A226" s="6">
        <v>44896</v>
      </c>
      <c r="B226" s="7">
        <v>0.11582432600000001</v>
      </c>
      <c r="C226" s="7">
        <v>4.5281042000000001E-2</v>
      </c>
      <c r="D226" s="7">
        <v>0.14742787099999999</v>
      </c>
      <c r="E226" s="7">
        <v>6.9481238000000001E-2</v>
      </c>
      <c r="F226" s="7">
        <v>1.6510387000000001E-2</v>
      </c>
      <c r="G226" s="7">
        <v>3.7940344000000001E-2</v>
      </c>
      <c r="H226" s="7">
        <v>6.9557473999999994E-2</v>
      </c>
      <c r="I226" s="7">
        <v>5.9602805000000002E-2</v>
      </c>
      <c r="J226" s="7">
        <v>2.6677644E-2</v>
      </c>
      <c r="K226" s="7">
        <v>4.0795950999999997E-2</v>
      </c>
      <c r="L226" s="7">
        <v>8.6453190999999999E-2</v>
      </c>
      <c r="M226" s="7">
        <v>5.9215130999999997E-2</v>
      </c>
      <c r="N226" s="7">
        <v>7.8165223000000006E-2</v>
      </c>
      <c r="O226" s="7">
        <v>3.3757967999999999E-2</v>
      </c>
      <c r="P226" s="7">
        <v>8.4210325000000003E-2</v>
      </c>
      <c r="Q226" s="7">
        <v>6.1368541999999998E-2</v>
      </c>
      <c r="R226" s="7">
        <v>8.4839321999999995E-2</v>
      </c>
      <c r="S226" s="7">
        <v>3.1557109999999999E-2</v>
      </c>
      <c r="T226" s="7">
        <v>8.9757039999999996E-2</v>
      </c>
      <c r="U226" s="7">
        <v>3.7982500000000002E-2</v>
      </c>
      <c r="V226" s="7">
        <v>0.32501124533681719</v>
      </c>
      <c r="W226" s="7">
        <v>0.24076921088409223</v>
      </c>
      <c r="X226" s="7">
        <v>0.16498245550450735</v>
      </c>
      <c r="Y226" s="7">
        <v>1.1515106193475372E-2</v>
      </c>
      <c r="Z226" s="7">
        <v>0.2413078708609121</v>
      </c>
      <c r="AA226" s="7">
        <v>0.17099053982377072</v>
      </c>
      <c r="AB226" s="4">
        <v>0</v>
      </c>
      <c r="AC226" s="4">
        <v>1</v>
      </c>
      <c r="AD226" s="4">
        <v>1</v>
      </c>
    </row>
    <row r="227" spans="1:30" x14ac:dyDescent="0.3">
      <c r="A227" s="6">
        <v>44897</v>
      </c>
      <c r="B227" s="7">
        <v>9.4191928999999994E-2</v>
      </c>
      <c r="C227" s="7">
        <v>3.0250684E-2</v>
      </c>
      <c r="D227" s="7">
        <v>0.121946739</v>
      </c>
      <c r="E227" s="7">
        <v>4.7430501999999999E-2</v>
      </c>
      <c r="F227" s="7">
        <v>0.11582432600000001</v>
      </c>
      <c r="G227" s="7">
        <v>4.5281042000000001E-2</v>
      </c>
      <c r="H227" s="7">
        <v>0.14742787099999999</v>
      </c>
      <c r="I227" s="7">
        <v>6.9481238000000001E-2</v>
      </c>
      <c r="J227" s="7">
        <v>1.6510387000000001E-2</v>
      </c>
      <c r="K227" s="7">
        <v>3.7940344000000001E-2</v>
      </c>
      <c r="L227" s="7">
        <v>6.9557473999999994E-2</v>
      </c>
      <c r="M227" s="7">
        <v>5.9602805000000002E-2</v>
      </c>
      <c r="N227" s="7">
        <v>2.6677644E-2</v>
      </c>
      <c r="O227" s="7">
        <v>4.0795950999999997E-2</v>
      </c>
      <c r="P227" s="7">
        <v>8.6453190999999999E-2</v>
      </c>
      <c r="Q227" s="7">
        <v>5.9215130999999997E-2</v>
      </c>
      <c r="R227" s="7">
        <v>7.8165223000000006E-2</v>
      </c>
      <c r="S227" s="7">
        <v>3.3757967999999999E-2</v>
      </c>
      <c r="T227" s="7">
        <v>8.4210325000000003E-2</v>
      </c>
      <c r="U227" s="7">
        <v>6.1368541999999998E-2</v>
      </c>
      <c r="V227" s="7">
        <v>0.32501124533681719</v>
      </c>
      <c r="W227" s="7">
        <v>0.23609997717697545</v>
      </c>
      <c r="X227" s="7">
        <v>0.16117114695208434</v>
      </c>
      <c r="Y227" s="7">
        <v>1.1515106193475372E-2</v>
      </c>
      <c r="Z227" s="7">
        <v>0.24130118328623329</v>
      </c>
      <c r="AA227" s="7">
        <v>0.17099812517429258</v>
      </c>
      <c r="AB227" s="4">
        <v>0</v>
      </c>
      <c r="AC227" s="4">
        <v>1</v>
      </c>
      <c r="AD227" s="4">
        <v>1</v>
      </c>
    </row>
    <row r="228" spans="1:30" x14ac:dyDescent="0.3">
      <c r="A228" s="6">
        <v>44900</v>
      </c>
      <c r="B228" s="7">
        <v>8.4159466000000002E-2</v>
      </c>
      <c r="C228" s="7">
        <v>3.5459350000000001E-2</v>
      </c>
      <c r="D228" s="7">
        <v>0.10934476799999999</v>
      </c>
      <c r="E228" s="7">
        <v>7.0722774000000002E-2</v>
      </c>
      <c r="F228" s="7">
        <v>9.4191928999999994E-2</v>
      </c>
      <c r="G228" s="7">
        <v>3.0250684E-2</v>
      </c>
      <c r="H228" s="7">
        <v>0.121946739</v>
      </c>
      <c r="I228" s="7">
        <v>4.7430501999999999E-2</v>
      </c>
      <c r="J228" s="7">
        <v>0.11582432600000001</v>
      </c>
      <c r="K228" s="7">
        <v>4.5281042000000001E-2</v>
      </c>
      <c r="L228" s="7">
        <v>0.14742787099999999</v>
      </c>
      <c r="M228" s="7">
        <v>6.9481238000000001E-2</v>
      </c>
      <c r="N228" s="7">
        <v>1.6510387000000001E-2</v>
      </c>
      <c r="O228" s="7">
        <v>3.7940344000000001E-2</v>
      </c>
      <c r="P228" s="7">
        <v>6.9557473999999994E-2</v>
      </c>
      <c r="Q228" s="7">
        <v>5.9602805000000002E-2</v>
      </c>
      <c r="R228" s="7">
        <v>2.6677644E-2</v>
      </c>
      <c r="S228" s="7">
        <v>4.0795950999999997E-2</v>
      </c>
      <c r="T228" s="7">
        <v>8.6453190999999999E-2</v>
      </c>
      <c r="U228" s="7">
        <v>5.9215130999999997E-2</v>
      </c>
      <c r="V228" s="7">
        <v>0.18685644056450165</v>
      </c>
      <c r="W228" s="7">
        <v>0.23452891798507289</v>
      </c>
      <c r="X228" s="7">
        <v>0.15902795493812427</v>
      </c>
      <c r="Y228" s="7">
        <v>7.8987712132625468E-2</v>
      </c>
      <c r="Z228" s="7">
        <v>0.24067329715518512</v>
      </c>
      <c r="AA228" s="7">
        <v>0.1710315249978151</v>
      </c>
      <c r="AB228" s="4">
        <v>0</v>
      </c>
      <c r="AC228" s="4">
        <v>1</v>
      </c>
      <c r="AD228" s="4">
        <v>1</v>
      </c>
    </row>
    <row r="229" spans="1:30" x14ac:dyDescent="0.3">
      <c r="A229" s="6">
        <v>44901</v>
      </c>
      <c r="B229" s="7">
        <v>9.2170081000000001E-2</v>
      </c>
      <c r="C229" s="7">
        <v>3.8405710000000003E-2</v>
      </c>
      <c r="D229" s="7">
        <v>4.6555860999999997E-2</v>
      </c>
      <c r="E229" s="7">
        <v>7.5190551999999994E-2</v>
      </c>
      <c r="F229" s="7">
        <v>8.4159466000000002E-2</v>
      </c>
      <c r="G229" s="7">
        <v>3.5459350000000001E-2</v>
      </c>
      <c r="H229" s="7">
        <v>0.10934476799999999</v>
      </c>
      <c r="I229" s="7">
        <v>7.0722774000000002E-2</v>
      </c>
      <c r="J229" s="7">
        <v>9.4191928999999994E-2</v>
      </c>
      <c r="K229" s="7">
        <v>3.0250684E-2</v>
      </c>
      <c r="L229" s="7">
        <v>0.121946739</v>
      </c>
      <c r="M229" s="7">
        <v>4.7430501999999999E-2</v>
      </c>
      <c r="N229" s="7">
        <v>0.11582432600000001</v>
      </c>
      <c r="O229" s="7">
        <v>4.5281042000000001E-2</v>
      </c>
      <c r="P229" s="7">
        <v>0.14742787099999999</v>
      </c>
      <c r="Q229" s="7">
        <v>6.9481238000000001E-2</v>
      </c>
      <c r="R229" s="7">
        <v>1.6510387000000001E-2</v>
      </c>
      <c r="S229" s="7">
        <v>3.7940344000000001E-2</v>
      </c>
      <c r="T229" s="7">
        <v>6.9557473999999994E-2</v>
      </c>
      <c r="U229" s="7">
        <v>5.9602805000000002E-2</v>
      </c>
      <c r="V229" s="7">
        <v>1.4261910552549035E-2</v>
      </c>
      <c r="W229" s="7">
        <v>0.23798786682139569</v>
      </c>
      <c r="X229" s="7">
        <v>0.16039293002845056</v>
      </c>
      <c r="Y229" s="7">
        <v>7.8987712132625468E-2</v>
      </c>
      <c r="Z229" s="7">
        <v>0.24149530307868475</v>
      </c>
      <c r="AA229" s="7">
        <v>0.17179476614148778</v>
      </c>
      <c r="AB229" s="4">
        <v>0</v>
      </c>
      <c r="AC229" s="4">
        <v>0</v>
      </c>
      <c r="AD229" s="4">
        <v>0</v>
      </c>
    </row>
    <row r="230" spans="1:30" x14ac:dyDescent="0.3">
      <c r="A230" s="6">
        <v>44902</v>
      </c>
      <c r="B230" s="7">
        <v>7.4051469999999994E-2</v>
      </c>
      <c r="C230" s="7">
        <v>4.9371074000000001E-2</v>
      </c>
      <c r="D230" s="7">
        <v>2.8287058E-2</v>
      </c>
      <c r="E230" s="7">
        <v>6.0065049000000002E-2</v>
      </c>
      <c r="F230" s="7">
        <v>9.2170081000000001E-2</v>
      </c>
      <c r="G230" s="7">
        <v>3.8405710000000003E-2</v>
      </c>
      <c r="H230" s="7">
        <v>4.6555860999999997E-2</v>
      </c>
      <c r="I230" s="7">
        <v>7.5190551999999994E-2</v>
      </c>
      <c r="J230" s="7">
        <v>8.4159466000000002E-2</v>
      </c>
      <c r="K230" s="7">
        <v>3.5459350000000001E-2</v>
      </c>
      <c r="L230" s="7">
        <v>0.10934476799999999</v>
      </c>
      <c r="M230" s="7">
        <v>7.0722774000000002E-2</v>
      </c>
      <c r="N230" s="7">
        <v>9.4191928999999994E-2</v>
      </c>
      <c r="O230" s="7">
        <v>3.0250684E-2</v>
      </c>
      <c r="P230" s="7">
        <v>0.121946739</v>
      </c>
      <c r="Q230" s="7">
        <v>4.7430501999999999E-2</v>
      </c>
      <c r="R230" s="7">
        <v>0.11582432600000001</v>
      </c>
      <c r="S230" s="7">
        <v>4.5281042000000001E-2</v>
      </c>
      <c r="T230" s="7">
        <v>0.14742787099999999</v>
      </c>
      <c r="U230" s="7">
        <v>6.9481238000000001E-2</v>
      </c>
      <c r="V230" s="7">
        <v>-9.4391675330209757E-2</v>
      </c>
      <c r="W230" s="7">
        <v>0.23826186889693665</v>
      </c>
      <c r="X230" s="7">
        <v>0.15899436530193925</v>
      </c>
      <c r="Y230" s="7">
        <v>7.8987712132625468E-2</v>
      </c>
      <c r="Z230" s="7">
        <v>0.24112889503706525</v>
      </c>
      <c r="AA230" s="7">
        <v>0.1715835910426618</v>
      </c>
      <c r="AB230" s="4">
        <v>0</v>
      </c>
      <c r="AC230" s="4">
        <v>0</v>
      </c>
      <c r="AD230" s="4">
        <v>0</v>
      </c>
    </row>
    <row r="231" spans="1:30" x14ac:dyDescent="0.3">
      <c r="A231" s="6">
        <v>44903</v>
      </c>
      <c r="B231" s="7">
        <v>0.145892467</v>
      </c>
      <c r="C231" s="7">
        <v>3.0062882999999999E-2</v>
      </c>
      <c r="D231" s="7">
        <v>0.19610396499999999</v>
      </c>
      <c r="E231" s="7">
        <v>6.6045968999999996E-2</v>
      </c>
      <c r="F231" s="7">
        <v>7.4051469999999994E-2</v>
      </c>
      <c r="G231" s="7">
        <v>4.9371074000000001E-2</v>
      </c>
      <c r="H231" s="7">
        <v>2.8287058E-2</v>
      </c>
      <c r="I231" s="7">
        <v>6.0065049000000002E-2</v>
      </c>
      <c r="J231" s="7">
        <v>9.2170081000000001E-2</v>
      </c>
      <c r="K231" s="7">
        <v>3.8405710000000003E-2</v>
      </c>
      <c r="L231" s="7">
        <v>4.6555860999999997E-2</v>
      </c>
      <c r="M231" s="7">
        <v>7.5190551999999994E-2</v>
      </c>
      <c r="N231" s="7">
        <v>8.4159466000000002E-2</v>
      </c>
      <c r="O231" s="7">
        <v>3.5459350000000001E-2</v>
      </c>
      <c r="P231" s="7">
        <v>0.10934476799999999</v>
      </c>
      <c r="Q231" s="7">
        <v>7.0722774000000002E-2</v>
      </c>
      <c r="R231" s="7">
        <v>9.4191928999999994E-2</v>
      </c>
      <c r="S231" s="7">
        <v>3.0250684E-2</v>
      </c>
      <c r="T231" s="7">
        <v>0.121946739</v>
      </c>
      <c r="U231" s="7">
        <v>4.7430501999999999E-2</v>
      </c>
      <c r="V231" s="7">
        <v>-9.4391675330209757E-2</v>
      </c>
      <c r="W231" s="7">
        <v>0.23518224452048922</v>
      </c>
      <c r="X231" s="7">
        <v>0.15647176087210132</v>
      </c>
      <c r="Y231" s="7">
        <v>1.1515106193475372E-2</v>
      </c>
      <c r="Z231" s="7">
        <v>0.23777004871463364</v>
      </c>
      <c r="AA231" s="7">
        <v>0.16934591956412529</v>
      </c>
      <c r="AB231" s="4">
        <v>0</v>
      </c>
      <c r="AC231" s="4">
        <v>0</v>
      </c>
      <c r="AD231" s="4">
        <v>0</v>
      </c>
    </row>
    <row r="232" spans="1:30" x14ac:dyDescent="0.3">
      <c r="A232" s="6">
        <v>44904</v>
      </c>
      <c r="B232" s="7">
        <v>0.113714515</v>
      </c>
      <c r="C232" s="7">
        <v>2.7427356999999999E-2</v>
      </c>
      <c r="D232" s="7">
        <v>0.16505351500000001</v>
      </c>
      <c r="E232" s="7">
        <v>4.1524477999999997E-2</v>
      </c>
      <c r="F232" s="7">
        <v>0.145892467</v>
      </c>
      <c r="G232" s="7">
        <v>3.0062882999999999E-2</v>
      </c>
      <c r="H232" s="7">
        <v>0.19610396499999999</v>
      </c>
      <c r="I232" s="7">
        <v>6.6045968999999996E-2</v>
      </c>
      <c r="J232" s="7">
        <v>7.4051469999999994E-2</v>
      </c>
      <c r="K232" s="7">
        <v>4.9371074000000001E-2</v>
      </c>
      <c r="L232" s="7">
        <v>2.8287058E-2</v>
      </c>
      <c r="M232" s="7">
        <v>6.0065049000000002E-2</v>
      </c>
      <c r="N232" s="7">
        <v>9.2170081000000001E-2</v>
      </c>
      <c r="O232" s="7">
        <v>3.8405710000000003E-2</v>
      </c>
      <c r="P232" s="7">
        <v>4.6555860999999997E-2</v>
      </c>
      <c r="Q232" s="7">
        <v>7.5190551999999994E-2</v>
      </c>
      <c r="R232" s="7">
        <v>8.4159466000000002E-2</v>
      </c>
      <c r="S232" s="7">
        <v>3.5459350000000001E-2</v>
      </c>
      <c r="T232" s="7">
        <v>0.10934476799999999</v>
      </c>
      <c r="U232" s="7">
        <v>7.0722774000000002E-2</v>
      </c>
      <c r="V232" s="7">
        <v>-9.4391675330209757E-2</v>
      </c>
      <c r="W232" s="7">
        <v>0.23645792548283814</v>
      </c>
      <c r="X232" s="7">
        <v>0.1582929588810339</v>
      </c>
      <c r="Y232" s="7">
        <v>7.8987712132625468E-2</v>
      </c>
      <c r="Z232" s="7">
        <v>0.23466375781200194</v>
      </c>
      <c r="AA232" s="7">
        <v>0.1670201725905586</v>
      </c>
      <c r="AB232" s="4">
        <v>0</v>
      </c>
      <c r="AC232" s="4">
        <v>0</v>
      </c>
      <c r="AD232" s="4">
        <v>0</v>
      </c>
    </row>
    <row r="233" spans="1:30" x14ac:dyDescent="0.3">
      <c r="A233" s="6">
        <v>44907</v>
      </c>
      <c r="B233" s="7">
        <v>0.14733323400000001</v>
      </c>
      <c r="C233" s="7">
        <v>5.6098845000000001E-2</v>
      </c>
      <c r="D233" s="7">
        <v>0.162825042</v>
      </c>
      <c r="E233" s="7">
        <v>7.9213514999999998E-2</v>
      </c>
      <c r="F233" s="7">
        <v>0.113714515</v>
      </c>
      <c r="G233" s="7">
        <v>2.7427356999999999E-2</v>
      </c>
      <c r="H233" s="7">
        <v>0.16505351500000001</v>
      </c>
      <c r="I233" s="7">
        <v>4.1524477999999997E-2</v>
      </c>
      <c r="J233" s="7">
        <v>0.145892467</v>
      </c>
      <c r="K233" s="7">
        <v>3.0062882999999999E-2</v>
      </c>
      <c r="L233" s="7">
        <v>0.19610396499999999</v>
      </c>
      <c r="M233" s="7">
        <v>6.6045968999999996E-2</v>
      </c>
      <c r="N233" s="7">
        <v>7.4051469999999994E-2</v>
      </c>
      <c r="O233" s="7">
        <v>4.9371074000000001E-2</v>
      </c>
      <c r="P233" s="7">
        <v>2.8287058E-2</v>
      </c>
      <c r="Q233" s="7">
        <v>6.0065049000000002E-2</v>
      </c>
      <c r="R233" s="7">
        <v>9.2170081000000001E-2</v>
      </c>
      <c r="S233" s="7">
        <v>3.8405710000000003E-2</v>
      </c>
      <c r="T233" s="7">
        <v>4.6555860999999997E-2</v>
      </c>
      <c r="U233" s="7">
        <v>7.5190551999999994E-2</v>
      </c>
      <c r="V233" s="7">
        <v>-9.4391675330209757E-2</v>
      </c>
      <c r="W233" s="7">
        <v>0.23584895377061738</v>
      </c>
      <c r="X233" s="7">
        <v>0.15810996481976894</v>
      </c>
      <c r="Y233" s="7">
        <v>7.8987712132625468E-2</v>
      </c>
      <c r="Z233" s="7">
        <v>0.23392887471350554</v>
      </c>
      <c r="AA233" s="7">
        <v>0.16664998792376523</v>
      </c>
      <c r="AB233" s="4">
        <v>0</v>
      </c>
      <c r="AC233" s="4">
        <v>0</v>
      </c>
      <c r="AD233" s="4">
        <v>0</v>
      </c>
    </row>
    <row r="234" spans="1:30" x14ac:dyDescent="0.3">
      <c r="A234" s="6">
        <v>44908</v>
      </c>
      <c r="B234" s="7">
        <v>0.16774586599999999</v>
      </c>
      <c r="C234" s="7">
        <v>4.4665145000000003E-2</v>
      </c>
      <c r="D234" s="7">
        <v>0.123314401</v>
      </c>
      <c r="E234" s="7">
        <v>7.9413210999999997E-2</v>
      </c>
      <c r="F234" s="7">
        <v>0.14733323400000001</v>
      </c>
      <c r="G234" s="7">
        <v>5.6098845000000001E-2</v>
      </c>
      <c r="H234" s="7">
        <v>0.162825042</v>
      </c>
      <c r="I234" s="7">
        <v>7.9213514999999998E-2</v>
      </c>
      <c r="J234" s="7">
        <v>0.113714515</v>
      </c>
      <c r="K234" s="7">
        <v>2.7427356999999999E-2</v>
      </c>
      <c r="L234" s="7">
        <v>0.16505351500000001</v>
      </c>
      <c r="M234" s="7">
        <v>4.1524477999999997E-2</v>
      </c>
      <c r="N234" s="7">
        <v>0.145892467</v>
      </c>
      <c r="O234" s="7">
        <v>3.0062882999999999E-2</v>
      </c>
      <c r="P234" s="7">
        <v>0.19610396499999999</v>
      </c>
      <c r="Q234" s="7">
        <v>6.6045968999999996E-2</v>
      </c>
      <c r="R234" s="7">
        <v>7.4051469999999994E-2</v>
      </c>
      <c r="S234" s="7">
        <v>4.9371074000000001E-2</v>
      </c>
      <c r="T234" s="7">
        <v>2.8287058E-2</v>
      </c>
      <c r="U234" s="7">
        <v>6.0065049000000002E-2</v>
      </c>
      <c r="V234" s="7">
        <v>-9.4391675330209757E-2</v>
      </c>
      <c r="W234" s="7">
        <v>0.23597323457611435</v>
      </c>
      <c r="X234" s="7">
        <v>0.15815387514382379</v>
      </c>
      <c r="Y234" s="7">
        <v>1.1515106193475372E-2</v>
      </c>
      <c r="Z234" s="7">
        <v>0.23371265797734533</v>
      </c>
      <c r="AA234" s="7">
        <v>0.16574144659810233</v>
      </c>
      <c r="AB234" s="4">
        <v>0</v>
      </c>
      <c r="AC234" s="4">
        <v>1</v>
      </c>
      <c r="AD234" s="4">
        <v>1</v>
      </c>
    </row>
    <row r="235" spans="1:30" x14ac:dyDescent="0.3">
      <c r="A235" s="6">
        <v>44909</v>
      </c>
      <c r="B235" s="7">
        <v>6.9948446999999997E-2</v>
      </c>
      <c r="C235" s="7">
        <v>7.4085221000000007E-2</v>
      </c>
      <c r="D235" s="7">
        <v>0.11371940799999999</v>
      </c>
      <c r="E235" s="7">
        <v>8.4814455999999996E-2</v>
      </c>
      <c r="F235" s="7">
        <v>0.16774586599999999</v>
      </c>
      <c r="G235" s="7">
        <v>4.4665145000000003E-2</v>
      </c>
      <c r="H235" s="7">
        <v>0.123314401</v>
      </c>
      <c r="I235" s="7">
        <v>7.9413210999999997E-2</v>
      </c>
      <c r="J235" s="7">
        <v>0.14733323400000001</v>
      </c>
      <c r="K235" s="7">
        <v>5.6098845000000001E-2</v>
      </c>
      <c r="L235" s="7">
        <v>0.162825042</v>
      </c>
      <c r="M235" s="7">
        <v>7.9213514999999998E-2</v>
      </c>
      <c r="N235" s="7">
        <v>0.113714515</v>
      </c>
      <c r="O235" s="7">
        <v>2.7427356999999999E-2</v>
      </c>
      <c r="P235" s="7">
        <v>0.16505351500000001</v>
      </c>
      <c r="Q235" s="7">
        <v>4.1524477999999997E-2</v>
      </c>
      <c r="R235" s="7">
        <v>0.145892467</v>
      </c>
      <c r="S235" s="7">
        <v>3.0062882999999999E-2</v>
      </c>
      <c r="T235" s="7">
        <v>0.19610396499999999</v>
      </c>
      <c r="U235" s="7">
        <v>6.6045968999999996E-2</v>
      </c>
      <c r="V235" s="7">
        <v>-9.4391675330209757E-2</v>
      </c>
      <c r="W235" s="7">
        <v>0.23775915492548724</v>
      </c>
      <c r="X235" s="7">
        <v>0.15934002168625597</v>
      </c>
      <c r="Y235" s="7">
        <v>1.1515106193475372E-2</v>
      </c>
      <c r="Z235" s="7">
        <v>0.23460265243022591</v>
      </c>
      <c r="AA235" s="7">
        <v>0.16622872379251399</v>
      </c>
      <c r="AB235" s="4">
        <v>0</v>
      </c>
      <c r="AC235" s="4">
        <v>1</v>
      </c>
      <c r="AD235" s="4">
        <v>1</v>
      </c>
    </row>
    <row r="236" spans="1:30" x14ac:dyDescent="0.3">
      <c r="A236" s="6">
        <v>44910</v>
      </c>
      <c r="B236" s="7">
        <v>0.16123608</v>
      </c>
      <c r="C236" s="7">
        <v>6.0551922000000001E-2</v>
      </c>
      <c r="D236" s="7">
        <v>0.248814601</v>
      </c>
      <c r="E236" s="7">
        <v>0.13875425799999999</v>
      </c>
      <c r="F236" s="7">
        <v>6.9948446999999997E-2</v>
      </c>
      <c r="G236" s="7">
        <v>7.4085221000000007E-2</v>
      </c>
      <c r="H236" s="7">
        <v>0.11371940799999999</v>
      </c>
      <c r="I236" s="7">
        <v>8.4814455999999996E-2</v>
      </c>
      <c r="J236" s="7">
        <v>0.16774586599999999</v>
      </c>
      <c r="K236" s="7">
        <v>4.4665145000000003E-2</v>
      </c>
      <c r="L236" s="7">
        <v>0.123314401</v>
      </c>
      <c r="M236" s="7">
        <v>7.9413210999999997E-2</v>
      </c>
      <c r="N236" s="7">
        <v>0.14733323400000001</v>
      </c>
      <c r="O236" s="7">
        <v>5.6098845000000001E-2</v>
      </c>
      <c r="P236" s="7">
        <v>0.162825042</v>
      </c>
      <c r="Q236" s="7">
        <v>7.9213514999999998E-2</v>
      </c>
      <c r="R236" s="7">
        <v>0.113714515</v>
      </c>
      <c r="S236" s="7">
        <v>2.7427356999999999E-2</v>
      </c>
      <c r="T236" s="7">
        <v>0.16505351500000001</v>
      </c>
      <c r="U236" s="7">
        <v>4.1524477999999997E-2</v>
      </c>
      <c r="V236" s="7">
        <v>-9.1379541558490193E-2</v>
      </c>
      <c r="W236" s="7">
        <v>0.23660896226207251</v>
      </c>
      <c r="X236" s="7">
        <v>0.15921459969895699</v>
      </c>
      <c r="Y236" s="7">
        <v>1.1515106193475372E-2</v>
      </c>
      <c r="Z236" s="7">
        <v>0.23428838652531542</v>
      </c>
      <c r="AA236" s="7">
        <v>0.16636089252205388</v>
      </c>
      <c r="AB236" s="4">
        <v>0</v>
      </c>
      <c r="AC236" s="4">
        <v>1</v>
      </c>
      <c r="AD236" s="4">
        <v>1</v>
      </c>
    </row>
    <row r="237" spans="1:30" x14ac:dyDescent="0.3">
      <c r="A237" s="6">
        <v>44911</v>
      </c>
      <c r="B237" s="7">
        <v>0.17531296599999999</v>
      </c>
      <c r="C237" s="7">
        <v>6.6560232999999996E-2</v>
      </c>
      <c r="D237" s="7">
        <v>0.22661298899999999</v>
      </c>
      <c r="E237" s="7">
        <v>0.147163514</v>
      </c>
      <c r="F237" s="7">
        <v>0.16123608</v>
      </c>
      <c r="G237" s="7">
        <v>6.0551922000000001E-2</v>
      </c>
      <c r="H237" s="7">
        <v>0.248814601</v>
      </c>
      <c r="I237" s="7">
        <v>0.13875425799999999</v>
      </c>
      <c r="J237" s="7">
        <v>6.9948446999999997E-2</v>
      </c>
      <c r="K237" s="7">
        <v>7.4085221000000007E-2</v>
      </c>
      <c r="L237" s="7">
        <v>0.11371940799999999</v>
      </c>
      <c r="M237" s="7">
        <v>8.4814455999999996E-2</v>
      </c>
      <c r="N237" s="7">
        <v>0.16774586599999999</v>
      </c>
      <c r="O237" s="7">
        <v>4.4665145000000003E-2</v>
      </c>
      <c r="P237" s="7">
        <v>0.123314401</v>
      </c>
      <c r="Q237" s="7">
        <v>7.9413210999999997E-2</v>
      </c>
      <c r="R237" s="7">
        <v>0.14733323400000001</v>
      </c>
      <c r="S237" s="7">
        <v>5.6098845000000001E-2</v>
      </c>
      <c r="T237" s="7">
        <v>0.162825042</v>
      </c>
      <c r="U237" s="7">
        <v>7.9213514999999998E-2</v>
      </c>
      <c r="V237" s="7">
        <v>-9.1379541558490193E-2</v>
      </c>
      <c r="W237" s="7">
        <v>0.2380440438790444</v>
      </c>
      <c r="X237" s="7">
        <v>0.16050240703026869</v>
      </c>
      <c r="Y237" s="7">
        <v>1.1515106193475372E-2</v>
      </c>
      <c r="Z237" s="7">
        <v>0.23447006784804614</v>
      </c>
      <c r="AA237" s="7">
        <v>0.16652628090071267</v>
      </c>
      <c r="AB237" s="4">
        <v>0</v>
      </c>
      <c r="AC237" s="4">
        <v>1</v>
      </c>
      <c r="AD237" s="4">
        <v>1</v>
      </c>
    </row>
    <row r="238" spans="1:30" x14ac:dyDescent="0.3">
      <c r="A238" s="6">
        <v>44914</v>
      </c>
      <c r="B238" s="7">
        <v>0.24324194099999999</v>
      </c>
      <c r="C238" s="7">
        <v>0.10918786599999999</v>
      </c>
      <c r="D238" s="7">
        <v>0.31620914900000002</v>
      </c>
      <c r="E238" s="7">
        <v>0.21017902699999999</v>
      </c>
      <c r="F238" s="7">
        <v>0.17531296599999999</v>
      </c>
      <c r="G238" s="7">
        <v>6.6560232999999996E-2</v>
      </c>
      <c r="H238" s="7">
        <v>0.22661298899999999</v>
      </c>
      <c r="I238" s="7">
        <v>0.147163514</v>
      </c>
      <c r="J238" s="7">
        <v>0.16123608</v>
      </c>
      <c r="K238" s="7">
        <v>6.0551922000000001E-2</v>
      </c>
      <c r="L238" s="7">
        <v>0.248814601</v>
      </c>
      <c r="M238" s="7">
        <v>0.13875425799999999</v>
      </c>
      <c r="N238" s="7">
        <v>6.9948446999999997E-2</v>
      </c>
      <c r="O238" s="7">
        <v>7.4085221000000007E-2</v>
      </c>
      <c r="P238" s="7">
        <v>0.11371940799999999</v>
      </c>
      <c r="Q238" s="7">
        <v>8.4814455999999996E-2</v>
      </c>
      <c r="R238" s="7">
        <v>0.16774586599999999</v>
      </c>
      <c r="S238" s="7">
        <v>4.4665145000000003E-2</v>
      </c>
      <c r="T238" s="7">
        <v>0.123314401</v>
      </c>
      <c r="U238" s="7">
        <v>7.9413210999999997E-2</v>
      </c>
      <c r="V238" s="7">
        <v>-9.1379541558490193E-2</v>
      </c>
      <c r="W238" s="7">
        <v>0.23625500936903049</v>
      </c>
      <c r="X238" s="7">
        <v>0.15937191397434738</v>
      </c>
      <c r="Y238" s="7">
        <v>1.1515106193475372E-2</v>
      </c>
      <c r="Z238" s="7">
        <v>0.22951615928499741</v>
      </c>
      <c r="AA238" s="7">
        <v>0.16163383229394773</v>
      </c>
      <c r="AB238" s="4">
        <v>0</v>
      </c>
      <c r="AC238" s="4">
        <v>0</v>
      </c>
      <c r="AD238" s="4">
        <v>0</v>
      </c>
    </row>
    <row r="239" spans="1:30" x14ac:dyDescent="0.3">
      <c r="A239" s="6">
        <v>44915</v>
      </c>
      <c r="B239" s="7">
        <v>0.39735930200000003</v>
      </c>
      <c r="C239" s="7">
        <v>0.17623604100000001</v>
      </c>
      <c r="D239" s="7">
        <v>0.203561674</v>
      </c>
      <c r="E239" s="7">
        <v>0.27981578899999998</v>
      </c>
      <c r="F239" s="7">
        <v>0.24324194099999999</v>
      </c>
      <c r="G239" s="7">
        <v>0.10918786599999999</v>
      </c>
      <c r="H239" s="7">
        <v>0.31620914900000002</v>
      </c>
      <c r="I239" s="7">
        <v>0.21017902699999999</v>
      </c>
      <c r="J239" s="7">
        <v>0.17531296599999999</v>
      </c>
      <c r="K239" s="7">
        <v>6.6560232999999996E-2</v>
      </c>
      <c r="L239" s="7">
        <v>0.22661298899999999</v>
      </c>
      <c r="M239" s="7">
        <v>0.147163514</v>
      </c>
      <c r="N239" s="7">
        <v>0.16123608</v>
      </c>
      <c r="O239" s="7">
        <v>6.0551922000000001E-2</v>
      </c>
      <c r="P239" s="7">
        <v>0.248814601</v>
      </c>
      <c r="Q239" s="7">
        <v>0.13875425799999999</v>
      </c>
      <c r="R239" s="7">
        <v>6.9948446999999997E-2</v>
      </c>
      <c r="S239" s="7">
        <v>7.4085221000000007E-2</v>
      </c>
      <c r="T239" s="7">
        <v>0.11371940799999999</v>
      </c>
      <c r="U239" s="7">
        <v>8.4814455999999996E-2</v>
      </c>
      <c r="V239" s="7">
        <v>-9.1379541558490193E-2</v>
      </c>
      <c r="W239" s="7">
        <v>0.2381958588659886</v>
      </c>
      <c r="X239" s="7">
        <v>0.16139058376660223</v>
      </c>
      <c r="Y239" s="7">
        <v>1.1515106193475372E-2</v>
      </c>
      <c r="Z239" s="7">
        <v>0.22435640715648394</v>
      </c>
      <c r="AA239" s="7">
        <v>0.15560318784432051</v>
      </c>
      <c r="AB239" s="4">
        <v>0</v>
      </c>
      <c r="AC239" s="4">
        <v>0</v>
      </c>
      <c r="AD239" s="4">
        <v>0</v>
      </c>
    </row>
    <row r="240" spans="1:30" x14ac:dyDescent="0.3">
      <c r="A240" s="6">
        <v>44916</v>
      </c>
      <c r="B240" s="7">
        <v>2.8976990000000001E-2</v>
      </c>
      <c r="C240" s="7">
        <v>3.6445088E-2</v>
      </c>
      <c r="D240" s="7">
        <v>4.2170595999999998E-2</v>
      </c>
      <c r="E240" s="7">
        <v>4.4208883999999997E-2</v>
      </c>
      <c r="F240" s="7">
        <v>0.39735930200000003</v>
      </c>
      <c r="G240" s="7">
        <v>0.17623604100000001</v>
      </c>
      <c r="H240" s="7">
        <v>0.203561674</v>
      </c>
      <c r="I240" s="7">
        <v>0.27981578899999998</v>
      </c>
      <c r="J240" s="7">
        <v>0.24324194099999999</v>
      </c>
      <c r="K240" s="7">
        <v>0.10918786599999999</v>
      </c>
      <c r="L240" s="7">
        <v>0.31620914900000002</v>
      </c>
      <c r="M240" s="7">
        <v>0.21017902699999999</v>
      </c>
      <c r="N240" s="7">
        <v>0.17531296599999999</v>
      </c>
      <c r="O240" s="7">
        <v>6.6560232999999996E-2</v>
      </c>
      <c r="P240" s="7">
        <v>0.22661298899999999</v>
      </c>
      <c r="Q240" s="7">
        <v>0.147163514</v>
      </c>
      <c r="R240" s="7">
        <v>0.16123608</v>
      </c>
      <c r="S240" s="7">
        <v>6.0551922000000001E-2</v>
      </c>
      <c r="T240" s="7">
        <v>0.248814601</v>
      </c>
      <c r="U240" s="7">
        <v>0.13875425799999999</v>
      </c>
      <c r="V240" s="7">
        <v>-9.1379541558490193E-2</v>
      </c>
      <c r="W240" s="7">
        <v>0.23827839970731177</v>
      </c>
      <c r="X240" s="7">
        <v>0.16158071405984789</v>
      </c>
      <c r="Y240" s="7">
        <v>7.8987712132625468E-2</v>
      </c>
      <c r="Z240" s="7">
        <v>0.22427436724235464</v>
      </c>
      <c r="AA240" s="7">
        <v>0.15616911416760954</v>
      </c>
      <c r="AB240" s="4">
        <v>0</v>
      </c>
      <c r="AC240" s="4">
        <v>0</v>
      </c>
      <c r="AD240" s="4">
        <v>0</v>
      </c>
    </row>
    <row r="241" spans="1:34" x14ac:dyDescent="0.3">
      <c r="A241" s="6">
        <v>44917</v>
      </c>
      <c r="B241" s="7">
        <v>7.2754926999999997E-2</v>
      </c>
      <c r="C241" s="7">
        <v>6.5650822999999997E-2</v>
      </c>
      <c r="D241" s="7">
        <v>0.10857676199999999</v>
      </c>
      <c r="E241" s="7">
        <v>5.2159160000000003E-2</v>
      </c>
      <c r="F241" s="7">
        <v>2.8976990000000001E-2</v>
      </c>
      <c r="G241" s="7">
        <v>3.6445088E-2</v>
      </c>
      <c r="H241" s="7">
        <v>4.2170595999999998E-2</v>
      </c>
      <c r="I241" s="7">
        <v>4.4208883999999997E-2</v>
      </c>
      <c r="J241" s="7">
        <v>0.39735930200000003</v>
      </c>
      <c r="K241" s="7">
        <v>0.17623604100000001</v>
      </c>
      <c r="L241" s="7">
        <v>0.203561674</v>
      </c>
      <c r="M241" s="7">
        <v>0.27981578899999998</v>
      </c>
      <c r="N241" s="7">
        <v>0.24324194099999999</v>
      </c>
      <c r="O241" s="7">
        <v>0.10918786599999999</v>
      </c>
      <c r="P241" s="7">
        <v>0.31620914900000002</v>
      </c>
      <c r="Q241" s="7">
        <v>0.21017902699999999</v>
      </c>
      <c r="R241" s="7">
        <v>0.17531296599999999</v>
      </c>
      <c r="S241" s="7">
        <v>6.6560232999999996E-2</v>
      </c>
      <c r="T241" s="7">
        <v>0.22661298899999999</v>
      </c>
      <c r="U241" s="7">
        <v>0.147163514</v>
      </c>
      <c r="V241" s="7">
        <v>1.4261910552549035E-2</v>
      </c>
      <c r="W241" s="7">
        <v>0.23048381726559514</v>
      </c>
      <c r="X241" s="7">
        <v>0.154509354867258</v>
      </c>
      <c r="Y241" s="7">
        <v>7.8987712132625468E-2</v>
      </c>
      <c r="Z241" s="7">
        <v>0.22510478095725073</v>
      </c>
      <c r="AA241" s="7">
        <v>0.15663809851346452</v>
      </c>
      <c r="AB241" s="4">
        <v>0</v>
      </c>
      <c r="AC241" s="4">
        <v>1</v>
      </c>
      <c r="AD241" s="4">
        <v>1</v>
      </c>
    </row>
    <row r="242" spans="1:34" x14ac:dyDescent="0.3">
      <c r="A242" s="6">
        <v>44918</v>
      </c>
      <c r="B242" s="7">
        <v>5.8928765000000001E-2</v>
      </c>
      <c r="C242" s="7">
        <v>2.7203274999999999E-2</v>
      </c>
      <c r="D242" s="7">
        <v>8.3640689000000004E-2</v>
      </c>
      <c r="E242" s="7">
        <v>4.2377181E-2</v>
      </c>
      <c r="F242" s="7">
        <v>7.2754926999999997E-2</v>
      </c>
      <c r="G242" s="7">
        <v>6.5650822999999997E-2</v>
      </c>
      <c r="H242" s="7">
        <v>0.10857676199999999</v>
      </c>
      <c r="I242" s="7">
        <v>5.2159160000000003E-2</v>
      </c>
      <c r="J242" s="7">
        <v>2.8976990000000001E-2</v>
      </c>
      <c r="K242" s="7">
        <v>3.6445088E-2</v>
      </c>
      <c r="L242" s="7">
        <v>4.2170595999999998E-2</v>
      </c>
      <c r="M242" s="7">
        <v>4.4208883999999997E-2</v>
      </c>
      <c r="N242" s="7">
        <v>0.39735930200000003</v>
      </c>
      <c r="O242" s="7">
        <v>0.17623604100000001</v>
      </c>
      <c r="P242" s="7">
        <v>0.203561674</v>
      </c>
      <c r="Q242" s="7">
        <v>0.27981578899999998</v>
      </c>
      <c r="R242" s="7">
        <v>0.24324194099999999</v>
      </c>
      <c r="S242" s="7">
        <v>0.10918786599999999</v>
      </c>
      <c r="T242" s="7">
        <v>0.31620914900000002</v>
      </c>
      <c r="U242" s="7">
        <v>0.21017902699999999</v>
      </c>
      <c r="V242" s="7">
        <v>-9.1379541558490193E-2</v>
      </c>
      <c r="W242" s="7">
        <v>0.23271178301935141</v>
      </c>
      <c r="X242" s="7">
        <v>0.15479592804409362</v>
      </c>
      <c r="Y242" s="7">
        <v>7.8987712132625468E-2</v>
      </c>
      <c r="Z242" s="7">
        <v>0.22146465230855389</v>
      </c>
      <c r="AA242" s="7">
        <v>0.15265292247594653</v>
      </c>
      <c r="AB242" s="4">
        <v>0</v>
      </c>
      <c r="AC242" s="4">
        <v>0</v>
      </c>
      <c r="AD242" s="4">
        <v>0</v>
      </c>
    </row>
    <row r="243" spans="1:34" x14ac:dyDescent="0.3">
      <c r="A243" s="6">
        <v>44921</v>
      </c>
      <c r="B243" s="7">
        <v>4.1833356000000002E-2</v>
      </c>
      <c r="C243" s="7">
        <v>2.2731241999999999E-2</v>
      </c>
      <c r="D243" s="7">
        <v>7.5273225999999999E-2</v>
      </c>
      <c r="E243" s="7">
        <v>4.8498508000000003E-2</v>
      </c>
      <c r="F243" s="7">
        <v>5.8928765000000001E-2</v>
      </c>
      <c r="G243" s="7">
        <v>2.7203274999999999E-2</v>
      </c>
      <c r="H243" s="7">
        <v>8.3640689000000004E-2</v>
      </c>
      <c r="I243" s="7">
        <v>4.2377181E-2</v>
      </c>
      <c r="J243" s="7">
        <v>7.2754926999999997E-2</v>
      </c>
      <c r="K243" s="7">
        <v>6.5650822999999997E-2</v>
      </c>
      <c r="L243" s="7">
        <v>0.10857676199999999</v>
      </c>
      <c r="M243" s="7">
        <v>5.2159160000000003E-2</v>
      </c>
      <c r="N243" s="7">
        <v>2.8976990000000001E-2</v>
      </c>
      <c r="O243" s="7">
        <v>3.6445088E-2</v>
      </c>
      <c r="P243" s="7">
        <v>4.2170595999999998E-2</v>
      </c>
      <c r="Q243" s="7">
        <v>4.4208883999999997E-2</v>
      </c>
      <c r="R243" s="7">
        <v>0.39735930200000003</v>
      </c>
      <c r="S243" s="7">
        <v>0.17623604100000001</v>
      </c>
      <c r="T243" s="7">
        <v>0.203561674</v>
      </c>
      <c r="U243" s="7">
        <v>0.27981578899999998</v>
      </c>
      <c r="V243" s="7">
        <v>1.4261910552549035E-2</v>
      </c>
      <c r="W243" s="7">
        <v>0.23150909761823513</v>
      </c>
      <c r="X243" s="7">
        <v>0.15468180798138606</v>
      </c>
      <c r="Y243" s="7">
        <v>7.8987712132625468E-2</v>
      </c>
      <c r="Z243" s="7">
        <v>0.21732648012556779</v>
      </c>
      <c r="AA243" s="7">
        <v>0.15048466353530757</v>
      </c>
      <c r="AB243" s="4">
        <v>0</v>
      </c>
      <c r="AC243" s="4">
        <v>1</v>
      </c>
      <c r="AD243" s="4">
        <v>1</v>
      </c>
    </row>
    <row r="244" spans="1:34" x14ac:dyDescent="0.3">
      <c r="A244" s="6">
        <v>44922</v>
      </c>
      <c r="B244" s="7">
        <v>3.8732581000000002E-2</v>
      </c>
      <c r="C244" s="7">
        <v>2.3194639999999999E-2</v>
      </c>
      <c r="D244" s="7">
        <v>4.2916259999999998E-2</v>
      </c>
      <c r="E244" s="7">
        <v>3.9341035000000003E-2</v>
      </c>
      <c r="F244" s="7">
        <v>4.1833356000000002E-2</v>
      </c>
      <c r="G244" s="7">
        <v>2.2731241999999999E-2</v>
      </c>
      <c r="H244" s="7">
        <v>7.5273225999999999E-2</v>
      </c>
      <c r="I244" s="7">
        <v>4.8498508000000003E-2</v>
      </c>
      <c r="J244" s="7">
        <v>5.8928765000000001E-2</v>
      </c>
      <c r="K244" s="7">
        <v>2.7203274999999999E-2</v>
      </c>
      <c r="L244" s="7">
        <v>8.3640689000000004E-2</v>
      </c>
      <c r="M244" s="7">
        <v>4.2377181E-2</v>
      </c>
      <c r="N244" s="7">
        <v>7.2754926999999997E-2</v>
      </c>
      <c r="O244" s="7">
        <v>6.5650822999999997E-2</v>
      </c>
      <c r="P244" s="7">
        <v>0.10857676199999999</v>
      </c>
      <c r="Q244" s="7">
        <v>5.2159160000000003E-2</v>
      </c>
      <c r="R244" s="7">
        <v>2.8976990000000001E-2</v>
      </c>
      <c r="S244" s="7">
        <v>3.6445088E-2</v>
      </c>
      <c r="T244" s="7">
        <v>4.2170595999999998E-2</v>
      </c>
      <c r="U244" s="7">
        <v>4.4208883999999997E-2</v>
      </c>
      <c r="V244" s="7">
        <v>9.8384292256802869E-2</v>
      </c>
      <c r="W244" s="7">
        <v>0.23090050398011183</v>
      </c>
      <c r="X244" s="7">
        <v>0.15532898315836721</v>
      </c>
      <c r="Y244" s="7">
        <v>7.8987712132625468E-2</v>
      </c>
      <c r="Z244" s="7">
        <v>0.21685686790210615</v>
      </c>
      <c r="AA244" s="7">
        <v>0.14996115839390345</v>
      </c>
      <c r="AB244" s="4">
        <v>0</v>
      </c>
      <c r="AC244" s="4">
        <v>1</v>
      </c>
      <c r="AD244" s="4">
        <v>1</v>
      </c>
    </row>
    <row r="245" spans="1:34" x14ac:dyDescent="0.3">
      <c r="A245" s="6">
        <v>44923</v>
      </c>
      <c r="B245" s="7">
        <v>3.2185009000000001E-2</v>
      </c>
      <c r="C245" s="7">
        <v>3.1636401000000001E-2</v>
      </c>
      <c r="D245" s="7">
        <v>3.4072910999999997E-2</v>
      </c>
      <c r="E245" s="7">
        <v>3.9830645999999997E-2</v>
      </c>
      <c r="F245" s="7">
        <v>3.8732581000000002E-2</v>
      </c>
      <c r="G245" s="7">
        <v>2.3194639999999999E-2</v>
      </c>
      <c r="H245" s="7">
        <v>4.2916259999999998E-2</v>
      </c>
      <c r="I245" s="7">
        <v>3.9341035000000003E-2</v>
      </c>
      <c r="J245" s="7">
        <v>4.1833356000000002E-2</v>
      </c>
      <c r="K245" s="7">
        <v>2.2731241999999999E-2</v>
      </c>
      <c r="L245" s="7">
        <v>7.5273225999999999E-2</v>
      </c>
      <c r="M245" s="7">
        <v>4.8498508000000003E-2</v>
      </c>
      <c r="N245" s="7">
        <v>5.8928765000000001E-2</v>
      </c>
      <c r="O245" s="7">
        <v>2.7203274999999999E-2</v>
      </c>
      <c r="P245" s="7">
        <v>8.3640689000000004E-2</v>
      </c>
      <c r="Q245" s="7">
        <v>4.2377181E-2</v>
      </c>
      <c r="R245" s="7">
        <v>7.2754926999999997E-2</v>
      </c>
      <c r="S245" s="7">
        <v>6.5650822999999997E-2</v>
      </c>
      <c r="T245" s="7">
        <v>0.10857676199999999</v>
      </c>
      <c r="U245" s="7">
        <v>5.2159160000000003E-2</v>
      </c>
      <c r="V245" s="7">
        <v>1.4261910552549035E-2</v>
      </c>
      <c r="W245" s="7">
        <v>0.22795924972553855</v>
      </c>
      <c r="X245" s="7">
        <v>0.15238787905112922</v>
      </c>
      <c r="Y245" s="7">
        <v>7.8987712132625468E-2</v>
      </c>
      <c r="Z245" s="7">
        <v>0.21754346965704457</v>
      </c>
      <c r="AA245" s="7">
        <v>0.15041784900070931</v>
      </c>
      <c r="AB245" s="4">
        <v>0</v>
      </c>
      <c r="AC245" s="4">
        <v>1</v>
      </c>
      <c r="AD245" s="4">
        <v>1</v>
      </c>
    </row>
    <row r="246" spans="1:34" x14ac:dyDescent="0.3">
      <c r="A246" s="6">
        <v>44924</v>
      </c>
      <c r="B246" s="7">
        <v>8.1225726999999998E-2</v>
      </c>
      <c r="C246" s="7">
        <v>4.2573036000000002E-2</v>
      </c>
      <c r="D246" s="7">
        <v>0.104922679</v>
      </c>
      <c r="E246" s="7">
        <v>5.9842266999999998E-2</v>
      </c>
      <c r="F246" s="7">
        <v>3.2185009000000001E-2</v>
      </c>
      <c r="G246" s="7">
        <v>3.1636401000000001E-2</v>
      </c>
      <c r="H246" s="7">
        <v>3.4072910999999997E-2</v>
      </c>
      <c r="I246" s="7">
        <v>3.9830645999999997E-2</v>
      </c>
      <c r="J246" s="7">
        <v>3.8732581000000002E-2</v>
      </c>
      <c r="K246" s="7">
        <v>2.3194639999999999E-2</v>
      </c>
      <c r="L246" s="7">
        <v>4.2916259999999998E-2</v>
      </c>
      <c r="M246" s="7">
        <v>3.9341035000000003E-2</v>
      </c>
      <c r="N246" s="7">
        <v>4.1833356000000002E-2</v>
      </c>
      <c r="O246" s="7">
        <v>2.2731241999999999E-2</v>
      </c>
      <c r="P246" s="7">
        <v>7.5273225999999999E-2</v>
      </c>
      <c r="Q246" s="7">
        <v>4.8498508000000003E-2</v>
      </c>
      <c r="R246" s="7">
        <v>5.8928765000000001E-2</v>
      </c>
      <c r="S246" s="7">
        <v>2.7203274999999999E-2</v>
      </c>
      <c r="T246" s="7">
        <v>8.3640689000000004E-2</v>
      </c>
      <c r="U246" s="7">
        <v>4.2377181E-2</v>
      </c>
      <c r="V246" s="7">
        <v>-9.1379541558490193E-2</v>
      </c>
      <c r="W246" s="7">
        <v>0.22536270158463326</v>
      </c>
      <c r="X246" s="7">
        <v>0.14914028810150623</v>
      </c>
      <c r="Y246" s="7">
        <v>7.8987712132625468E-2</v>
      </c>
      <c r="Z246" s="7">
        <v>0.21229831463166826</v>
      </c>
      <c r="AA246" s="7">
        <v>0.14476244082837178</v>
      </c>
      <c r="AB246" s="4">
        <v>0</v>
      </c>
      <c r="AC246" s="4">
        <v>1</v>
      </c>
      <c r="AD246" s="4">
        <v>1</v>
      </c>
    </row>
    <row r="247" spans="1:34" x14ac:dyDescent="0.3">
      <c r="A247" s="6">
        <v>44925</v>
      </c>
      <c r="B247" s="7">
        <v>6.9507456999999995E-2</v>
      </c>
      <c r="C247" s="7">
        <v>2.9769940000000002E-2</v>
      </c>
      <c r="D247" s="7">
        <v>8.0027497000000003E-2</v>
      </c>
      <c r="E247" s="7">
        <v>4.5414766000000002E-2</v>
      </c>
      <c r="F247" s="7">
        <v>8.1225726999999998E-2</v>
      </c>
      <c r="G247" s="7">
        <v>4.2573036000000002E-2</v>
      </c>
      <c r="H247" s="7">
        <v>0.104922679</v>
      </c>
      <c r="I247" s="7">
        <v>5.9842266999999998E-2</v>
      </c>
      <c r="J247" s="7">
        <v>3.2185009000000001E-2</v>
      </c>
      <c r="K247" s="7">
        <v>3.1636401000000001E-2</v>
      </c>
      <c r="L247" s="7">
        <v>3.4072910999999997E-2</v>
      </c>
      <c r="M247" s="7">
        <v>3.9830645999999997E-2</v>
      </c>
      <c r="N247" s="7">
        <v>3.8732581000000002E-2</v>
      </c>
      <c r="O247" s="7">
        <v>2.3194639999999999E-2</v>
      </c>
      <c r="P247" s="7">
        <v>4.2916259999999998E-2</v>
      </c>
      <c r="Q247" s="7">
        <v>3.9341035000000003E-2</v>
      </c>
      <c r="R247" s="7">
        <v>4.1833356000000002E-2</v>
      </c>
      <c r="S247" s="7">
        <v>2.2731241999999999E-2</v>
      </c>
      <c r="T247" s="7">
        <v>7.5273225999999999E-2</v>
      </c>
      <c r="U247" s="7">
        <v>4.8498508000000003E-2</v>
      </c>
      <c r="V247" s="7">
        <v>-9.1379541558490193E-2</v>
      </c>
      <c r="W247" s="7">
        <v>0.22501892422454284</v>
      </c>
      <c r="X247" s="7">
        <v>0.14860969844476515</v>
      </c>
      <c r="Y247" s="7">
        <v>7.8987712132625468E-2</v>
      </c>
      <c r="Z247" s="7">
        <v>0.20739077796276231</v>
      </c>
      <c r="AA247" s="7">
        <v>0.14270727037340306</v>
      </c>
      <c r="AB247" s="4">
        <v>0</v>
      </c>
      <c r="AC247" s="4">
        <v>1</v>
      </c>
      <c r="AD247" s="4">
        <v>1</v>
      </c>
    </row>
    <row r="248" spans="1:34" x14ac:dyDescent="0.3">
      <c r="A248" s="1">
        <v>44929</v>
      </c>
      <c r="B248" s="7">
        <v>3.1143362000000001E-2</v>
      </c>
      <c r="C248" s="7">
        <v>3.2400788E-2</v>
      </c>
      <c r="D248" s="7">
        <v>7.2489070000000003E-2</v>
      </c>
      <c r="E248" s="7">
        <v>4.1180415999999997E-2</v>
      </c>
      <c r="F248" s="7">
        <v>6.9507456999999995E-2</v>
      </c>
      <c r="G248" s="7">
        <v>2.9769940000000002E-2</v>
      </c>
      <c r="H248" s="7">
        <v>8.0027497000000003E-2</v>
      </c>
      <c r="I248" s="7">
        <v>4.5414766000000002E-2</v>
      </c>
      <c r="J248" s="7">
        <v>8.1225726999999998E-2</v>
      </c>
      <c r="K248" s="7">
        <v>4.2573036000000002E-2</v>
      </c>
      <c r="L248" s="7">
        <v>0.104922679</v>
      </c>
      <c r="M248" s="7">
        <v>5.9842266999999998E-2</v>
      </c>
      <c r="N248" s="7">
        <v>3.2185009000000001E-2</v>
      </c>
      <c r="O248" s="7">
        <v>3.1636401000000001E-2</v>
      </c>
      <c r="P248" s="7">
        <v>3.4072910999999997E-2</v>
      </c>
      <c r="Q248" s="7">
        <v>3.9830645999999997E-2</v>
      </c>
      <c r="R248" s="7">
        <v>3.8732581000000002E-2</v>
      </c>
      <c r="S248" s="7">
        <v>2.3194639999999999E-2</v>
      </c>
      <c r="T248" s="7">
        <v>4.2916259999999998E-2</v>
      </c>
      <c r="U248" s="7">
        <v>3.9341035000000003E-2</v>
      </c>
      <c r="AB248" s="4">
        <v>1</v>
      </c>
      <c r="AC248" s="4">
        <v>0</v>
      </c>
      <c r="AD248" s="4">
        <v>1</v>
      </c>
      <c r="AE248" s="4"/>
      <c r="AF248" s="4" t="s">
        <v>293</v>
      </c>
      <c r="AG248" s="4" t="s">
        <v>294</v>
      </c>
      <c r="AH248" s="4" t="s">
        <v>297</v>
      </c>
    </row>
    <row r="249" spans="1:34" x14ac:dyDescent="0.3">
      <c r="A249" s="1">
        <v>44930</v>
      </c>
      <c r="B249" s="7">
        <v>4.1435021000000002E-2</v>
      </c>
      <c r="C249" s="7">
        <v>3.3284415999999997E-2</v>
      </c>
      <c r="D249" s="7">
        <v>3.1029600000000001E-2</v>
      </c>
      <c r="E249" s="7">
        <v>3.5172347E-2</v>
      </c>
      <c r="F249" s="7">
        <v>3.1143362000000001E-2</v>
      </c>
      <c r="G249" s="7">
        <v>3.2400788E-2</v>
      </c>
      <c r="H249" s="7">
        <v>7.2489070000000003E-2</v>
      </c>
      <c r="I249" s="7">
        <v>4.1180415999999997E-2</v>
      </c>
      <c r="J249" s="7">
        <v>6.9507456999999995E-2</v>
      </c>
      <c r="K249" s="7">
        <v>2.9769940000000002E-2</v>
      </c>
      <c r="L249" s="7">
        <v>8.0027497000000003E-2</v>
      </c>
      <c r="M249" s="7">
        <v>4.5414766000000002E-2</v>
      </c>
      <c r="N249" s="7">
        <v>8.1225726999999998E-2</v>
      </c>
      <c r="O249" s="7">
        <v>4.2573036000000002E-2</v>
      </c>
      <c r="P249" s="7">
        <v>0.104922679</v>
      </c>
      <c r="Q249" s="7">
        <v>5.9842266999999998E-2</v>
      </c>
      <c r="R249" s="7">
        <v>3.2185009000000001E-2</v>
      </c>
      <c r="S249" s="7">
        <v>3.1636401000000001E-2</v>
      </c>
      <c r="T249" s="7">
        <v>3.4072910999999997E-2</v>
      </c>
      <c r="U249" s="7">
        <v>3.9830645999999997E-2</v>
      </c>
      <c r="AB249" s="4">
        <v>1</v>
      </c>
      <c r="AC249" s="4">
        <v>0</v>
      </c>
      <c r="AD249" s="4">
        <v>1</v>
      </c>
      <c r="AE249" s="4" t="s">
        <v>298</v>
      </c>
      <c r="AF249" s="4">
        <v>58</v>
      </c>
      <c r="AG249" s="4">
        <v>40</v>
      </c>
      <c r="AH249" s="4">
        <v>98</v>
      </c>
    </row>
    <row r="250" spans="1:34" x14ac:dyDescent="0.3">
      <c r="A250" s="1">
        <v>44931</v>
      </c>
      <c r="B250" s="7">
        <v>8.4548582999999997E-2</v>
      </c>
      <c r="C250" s="7">
        <v>2.9341509000000002E-2</v>
      </c>
      <c r="D250" s="7">
        <v>0.11461055000000001</v>
      </c>
      <c r="E250" s="7">
        <v>4.0500750000000002E-2</v>
      </c>
      <c r="F250" s="7">
        <v>4.1435021000000002E-2</v>
      </c>
      <c r="G250" s="7">
        <v>3.3284415999999997E-2</v>
      </c>
      <c r="H250" s="7">
        <v>3.1029600000000001E-2</v>
      </c>
      <c r="I250" s="7">
        <v>3.5172347E-2</v>
      </c>
      <c r="J250" s="7">
        <v>3.1143362000000001E-2</v>
      </c>
      <c r="K250" s="7">
        <v>3.2400788E-2</v>
      </c>
      <c r="L250" s="7">
        <v>7.2489070000000003E-2</v>
      </c>
      <c r="M250" s="7">
        <v>4.1180415999999997E-2</v>
      </c>
      <c r="N250" s="7">
        <v>6.9507456999999995E-2</v>
      </c>
      <c r="O250" s="7">
        <v>2.9769940000000002E-2</v>
      </c>
      <c r="P250" s="7">
        <v>8.0027497000000003E-2</v>
      </c>
      <c r="Q250" s="7">
        <v>4.5414766000000002E-2</v>
      </c>
      <c r="R250" s="7">
        <v>8.1225726999999998E-2</v>
      </c>
      <c r="S250" s="7">
        <v>4.2573036000000002E-2</v>
      </c>
      <c r="T250" s="7">
        <v>0.104922679</v>
      </c>
      <c r="U250" s="7">
        <v>5.9842266999999998E-2</v>
      </c>
      <c r="AB250" s="4">
        <v>1</v>
      </c>
      <c r="AC250" s="4">
        <v>0</v>
      </c>
      <c r="AD250" s="4">
        <v>1</v>
      </c>
      <c r="AE250" s="4" t="s">
        <v>299</v>
      </c>
      <c r="AF250" s="4">
        <v>181</v>
      </c>
      <c r="AG250" s="4">
        <v>199</v>
      </c>
      <c r="AH250" s="4">
        <v>141</v>
      </c>
    </row>
    <row r="251" spans="1:34" x14ac:dyDescent="0.3">
      <c r="A251" s="1">
        <v>44932</v>
      </c>
      <c r="B251" s="7">
        <v>7.0204411999999994E-2</v>
      </c>
      <c r="C251" s="7">
        <v>3.0731448000000001E-2</v>
      </c>
      <c r="D251" s="7">
        <v>0.11181990999999999</v>
      </c>
      <c r="E251" s="7">
        <v>4.3927602000000003E-2</v>
      </c>
      <c r="F251" s="7">
        <v>8.4548582999999997E-2</v>
      </c>
      <c r="G251" s="7">
        <v>2.9341509000000002E-2</v>
      </c>
      <c r="H251" s="7">
        <v>0.11461055000000001</v>
      </c>
      <c r="I251" s="7">
        <v>4.0500750000000002E-2</v>
      </c>
      <c r="J251" s="7">
        <v>4.1435021000000002E-2</v>
      </c>
      <c r="K251" s="7">
        <v>3.3284415999999997E-2</v>
      </c>
      <c r="L251" s="7">
        <v>3.1029600000000001E-2</v>
      </c>
      <c r="M251" s="7">
        <v>3.5172347E-2</v>
      </c>
      <c r="N251" s="7">
        <v>3.1143362000000001E-2</v>
      </c>
      <c r="O251" s="7">
        <v>3.2400788E-2</v>
      </c>
      <c r="P251" s="7">
        <v>7.2489070000000003E-2</v>
      </c>
      <c r="Q251" s="7">
        <v>4.1180415999999997E-2</v>
      </c>
      <c r="R251" s="7">
        <v>6.9507456999999995E-2</v>
      </c>
      <c r="S251" s="7">
        <v>2.9769940000000002E-2</v>
      </c>
      <c r="T251" s="7">
        <v>8.0027497000000003E-2</v>
      </c>
      <c r="U251" s="7">
        <v>4.5414766000000002E-2</v>
      </c>
      <c r="AB251" s="4">
        <v>1</v>
      </c>
      <c r="AC251" s="4">
        <v>0</v>
      </c>
      <c r="AD251" s="4">
        <v>1</v>
      </c>
      <c r="AE251" s="4"/>
      <c r="AF251" s="4">
        <v>239</v>
      </c>
      <c r="AG251" s="4">
        <v>239</v>
      </c>
      <c r="AH251" s="4">
        <v>239</v>
      </c>
    </row>
    <row r="252" spans="1:34" x14ac:dyDescent="0.3">
      <c r="A252" s="1">
        <v>44935</v>
      </c>
      <c r="B252" s="7">
        <v>4.5637469E-2</v>
      </c>
      <c r="C252" s="7">
        <v>6.0862096999999997E-2</v>
      </c>
      <c r="D252" s="7">
        <v>0.125481973</v>
      </c>
      <c r="E252" s="7">
        <v>5.5941824000000001E-2</v>
      </c>
      <c r="F252" s="7">
        <v>7.0204411999999994E-2</v>
      </c>
      <c r="G252" s="7">
        <v>3.0731448000000001E-2</v>
      </c>
      <c r="H252" s="7">
        <v>0.11181990999999999</v>
      </c>
      <c r="I252" s="7">
        <v>4.3927602000000003E-2</v>
      </c>
      <c r="J252" s="7">
        <v>8.4548582999999997E-2</v>
      </c>
      <c r="K252" s="7">
        <v>2.9341509000000002E-2</v>
      </c>
      <c r="L252" s="7">
        <v>0.11461055000000001</v>
      </c>
      <c r="M252" s="7">
        <v>4.0500750000000002E-2</v>
      </c>
      <c r="N252" s="7">
        <v>4.1435021000000002E-2</v>
      </c>
      <c r="O252" s="7">
        <v>3.3284415999999997E-2</v>
      </c>
      <c r="P252" s="7">
        <v>3.1029600000000001E-2</v>
      </c>
      <c r="Q252" s="7">
        <v>3.5172347E-2</v>
      </c>
      <c r="R252" s="7">
        <v>3.1143362000000001E-2</v>
      </c>
      <c r="S252" s="7">
        <v>3.2400788E-2</v>
      </c>
      <c r="T252" s="7">
        <v>7.2489070000000003E-2</v>
      </c>
      <c r="U252" s="7">
        <v>4.1180415999999997E-2</v>
      </c>
      <c r="AB252" s="4">
        <v>0</v>
      </c>
      <c r="AC252" s="4">
        <v>0</v>
      </c>
      <c r="AD252" s="4">
        <v>0</v>
      </c>
      <c r="AE252" s="4"/>
      <c r="AF252" s="4"/>
      <c r="AG252" s="4"/>
      <c r="AH252" s="4"/>
    </row>
    <row r="253" spans="1:34" x14ac:dyDescent="0.3">
      <c r="A253" s="1">
        <v>44936</v>
      </c>
      <c r="B253" s="7">
        <v>6.0239756999999998E-2</v>
      </c>
      <c r="C253" s="7">
        <v>4.3288383E-2</v>
      </c>
      <c r="D253" s="7">
        <v>7.8056635999999999E-2</v>
      </c>
      <c r="E253" s="7">
        <v>5.8307044000000002E-2</v>
      </c>
      <c r="F253" s="7">
        <v>4.5637469E-2</v>
      </c>
      <c r="G253" s="7">
        <v>6.0862096999999997E-2</v>
      </c>
      <c r="H253" s="7">
        <v>0.125481973</v>
      </c>
      <c r="I253" s="7">
        <v>5.5941824000000001E-2</v>
      </c>
      <c r="J253" s="7">
        <v>7.0204411999999994E-2</v>
      </c>
      <c r="K253" s="7">
        <v>3.0731448000000001E-2</v>
      </c>
      <c r="L253" s="7">
        <v>0.11181990999999999</v>
      </c>
      <c r="M253" s="7">
        <v>4.3927602000000003E-2</v>
      </c>
      <c r="N253" s="7">
        <v>8.4548582999999997E-2</v>
      </c>
      <c r="O253" s="7">
        <v>2.9341509000000002E-2</v>
      </c>
      <c r="P253" s="7">
        <v>0.11461055000000001</v>
      </c>
      <c r="Q253" s="7">
        <v>4.0500750000000002E-2</v>
      </c>
      <c r="R253" s="7">
        <v>4.1435021000000002E-2</v>
      </c>
      <c r="S253" s="7">
        <v>3.3284415999999997E-2</v>
      </c>
      <c r="T253" s="7">
        <v>3.1029600000000001E-2</v>
      </c>
      <c r="U253" s="7">
        <v>3.5172347E-2</v>
      </c>
      <c r="AB253" s="4">
        <v>0</v>
      </c>
      <c r="AC253" s="4">
        <v>0</v>
      </c>
      <c r="AD253" s="4">
        <v>0</v>
      </c>
      <c r="AE253" s="4"/>
      <c r="AF253" s="4"/>
      <c r="AG253" s="4"/>
      <c r="AH253" s="4"/>
    </row>
    <row r="254" spans="1:34" x14ac:dyDescent="0.3">
      <c r="A254" s="1">
        <v>44937</v>
      </c>
      <c r="B254" s="7">
        <v>5.1866872000000001E-2</v>
      </c>
      <c r="C254" s="7">
        <v>4.7944904000000003E-2</v>
      </c>
      <c r="D254" s="7">
        <v>4.0830742000000003E-2</v>
      </c>
      <c r="E254" s="7">
        <v>5.8949440999999998E-2</v>
      </c>
      <c r="F254" s="7">
        <v>6.0239756999999998E-2</v>
      </c>
      <c r="G254" s="7">
        <v>4.3288383E-2</v>
      </c>
      <c r="H254" s="7">
        <v>7.8056635999999999E-2</v>
      </c>
      <c r="I254" s="7">
        <v>5.8307044000000002E-2</v>
      </c>
      <c r="J254" s="7">
        <v>4.5637469E-2</v>
      </c>
      <c r="K254" s="7">
        <v>6.0862096999999997E-2</v>
      </c>
      <c r="L254" s="7">
        <v>0.125481973</v>
      </c>
      <c r="M254" s="7">
        <v>5.5941824000000001E-2</v>
      </c>
      <c r="N254" s="7">
        <v>7.0204411999999994E-2</v>
      </c>
      <c r="O254" s="7">
        <v>3.0731448000000001E-2</v>
      </c>
      <c r="P254" s="7">
        <v>0.11181990999999999</v>
      </c>
      <c r="Q254" s="7">
        <v>4.3927602000000003E-2</v>
      </c>
      <c r="R254" s="7">
        <v>8.4548582999999997E-2</v>
      </c>
      <c r="S254" s="7">
        <v>2.9341509000000002E-2</v>
      </c>
      <c r="T254" s="7">
        <v>0.11461055000000001</v>
      </c>
      <c r="U254" s="7">
        <v>4.0500750000000002E-2</v>
      </c>
      <c r="AB254" s="4">
        <v>1</v>
      </c>
      <c r="AC254" s="4">
        <v>0</v>
      </c>
      <c r="AD254" s="4">
        <v>1</v>
      </c>
      <c r="AE254" s="4"/>
      <c r="AF254" s="4"/>
      <c r="AG254" s="4"/>
      <c r="AH254" s="4"/>
    </row>
    <row r="255" spans="1:34" x14ac:dyDescent="0.3">
      <c r="A255" s="1">
        <v>44938</v>
      </c>
      <c r="B255" s="7">
        <v>0.16105109300000001</v>
      </c>
      <c r="C255" s="7">
        <v>2.5058767999999999E-2</v>
      </c>
      <c r="D255" s="7">
        <v>0.175947139</v>
      </c>
      <c r="E255" s="7">
        <v>4.7976978000000003E-2</v>
      </c>
      <c r="F255" s="7">
        <v>5.1866872000000001E-2</v>
      </c>
      <c r="G255" s="7">
        <v>4.7944904000000003E-2</v>
      </c>
      <c r="H255" s="7">
        <v>4.0830742000000003E-2</v>
      </c>
      <c r="I255" s="7">
        <v>5.8949440999999998E-2</v>
      </c>
      <c r="J255" s="7">
        <v>6.0239756999999998E-2</v>
      </c>
      <c r="K255" s="7">
        <v>4.3288383E-2</v>
      </c>
      <c r="L255" s="7">
        <v>7.8056635999999999E-2</v>
      </c>
      <c r="M255" s="7">
        <v>5.8307044000000002E-2</v>
      </c>
      <c r="N255" s="7">
        <v>4.5637469E-2</v>
      </c>
      <c r="O255" s="7">
        <v>6.0862096999999997E-2</v>
      </c>
      <c r="P255" s="7">
        <v>0.125481973</v>
      </c>
      <c r="Q255" s="7">
        <v>5.5941824000000001E-2</v>
      </c>
      <c r="R255" s="7">
        <v>7.0204411999999994E-2</v>
      </c>
      <c r="S255" s="7">
        <v>3.0731448000000001E-2</v>
      </c>
      <c r="T255" s="7">
        <v>0.11181990999999999</v>
      </c>
      <c r="U255" s="7">
        <v>4.3927602000000003E-2</v>
      </c>
      <c r="AB255" s="4">
        <v>1</v>
      </c>
      <c r="AC255" s="4">
        <v>0</v>
      </c>
      <c r="AD255" s="4">
        <v>1</v>
      </c>
      <c r="AE255" s="4"/>
      <c r="AF255" s="4"/>
      <c r="AG255" s="4"/>
      <c r="AH255" s="4"/>
    </row>
    <row r="256" spans="1:34" x14ac:dyDescent="0.3">
      <c r="A256" s="1">
        <v>44939</v>
      </c>
      <c r="B256" s="7">
        <v>0.15683986599999999</v>
      </c>
      <c r="C256" s="7">
        <v>3.8900315999999997E-2</v>
      </c>
      <c r="D256" s="7">
        <v>0.151513234</v>
      </c>
      <c r="E256" s="7">
        <v>5.4795815999999997E-2</v>
      </c>
      <c r="F256" s="7">
        <v>0.16105109300000001</v>
      </c>
      <c r="G256" s="7">
        <v>2.5058767999999999E-2</v>
      </c>
      <c r="H256" s="7">
        <v>0.175947139</v>
      </c>
      <c r="I256" s="7">
        <v>4.7976978000000003E-2</v>
      </c>
      <c r="J256" s="7">
        <v>5.1866872000000001E-2</v>
      </c>
      <c r="K256" s="7">
        <v>4.7944904000000003E-2</v>
      </c>
      <c r="L256" s="7">
        <v>4.0830742000000003E-2</v>
      </c>
      <c r="M256" s="7">
        <v>5.8949440999999998E-2</v>
      </c>
      <c r="N256" s="7">
        <v>6.0239756999999998E-2</v>
      </c>
      <c r="O256" s="7">
        <v>4.3288383E-2</v>
      </c>
      <c r="P256" s="7">
        <v>7.8056635999999999E-2</v>
      </c>
      <c r="Q256" s="7">
        <v>5.8307044000000002E-2</v>
      </c>
      <c r="R256" s="7">
        <v>4.5637469E-2</v>
      </c>
      <c r="S256" s="7">
        <v>6.0862096999999997E-2</v>
      </c>
      <c r="T256" s="7">
        <v>0.125481973</v>
      </c>
      <c r="U256" s="7">
        <v>5.5941824000000001E-2</v>
      </c>
      <c r="AB256" s="4">
        <v>1</v>
      </c>
      <c r="AC256" s="4">
        <v>0</v>
      </c>
      <c r="AD256" s="4">
        <v>1</v>
      </c>
      <c r="AE256" s="4"/>
      <c r="AF256" s="4"/>
      <c r="AG256" s="4"/>
      <c r="AH256" s="4"/>
    </row>
    <row r="257" spans="1:34" x14ac:dyDescent="0.3">
      <c r="A257" s="1">
        <v>44942</v>
      </c>
      <c r="B257" s="7">
        <v>0.12769074399999999</v>
      </c>
      <c r="C257" s="7">
        <v>3.1201652E-2</v>
      </c>
      <c r="D257" s="7">
        <v>0.165816773</v>
      </c>
      <c r="E257" s="7">
        <v>6.9269819999999996E-2</v>
      </c>
      <c r="F257" s="7">
        <v>0.15683986599999999</v>
      </c>
      <c r="G257" s="7">
        <v>3.8900315999999997E-2</v>
      </c>
      <c r="H257" s="7">
        <v>0.151513234</v>
      </c>
      <c r="I257" s="7">
        <v>5.4795815999999997E-2</v>
      </c>
      <c r="J257" s="7">
        <v>0.16105109300000001</v>
      </c>
      <c r="K257" s="7">
        <v>2.5058767999999999E-2</v>
      </c>
      <c r="L257" s="7">
        <v>0.175947139</v>
      </c>
      <c r="M257" s="7">
        <v>4.7976978000000003E-2</v>
      </c>
      <c r="N257" s="7">
        <v>5.1866872000000001E-2</v>
      </c>
      <c r="O257" s="7">
        <v>4.7944904000000003E-2</v>
      </c>
      <c r="P257" s="7">
        <v>4.0830742000000003E-2</v>
      </c>
      <c r="Q257" s="7">
        <v>5.8949440999999998E-2</v>
      </c>
      <c r="R257" s="7">
        <v>6.0239756999999998E-2</v>
      </c>
      <c r="S257" s="7">
        <v>4.3288383E-2</v>
      </c>
      <c r="T257" s="7">
        <v>7.8056635999999999E-2</v>
      </c>
      <c r="U257" s="7">
        <v>5.8307044000000002E-2</v>
      </c>
      <c r="AB257" s="4">
        <v>1</v>
      </c>
      <c r="AC257" s="4">
        <v>0</v>
      </c>
      <c r="AD257" s="4">
        <v>1</v>
      </c>
      <c r="AE257" s="4"/>
      <c r="AF257" s="4"/>
      <c r="AG257" s="4"/>
      <c r="AH257" s="4"/>
    </row>
    <row r="258" spans="1:34" x14ac:dyDescent="0.3">
      <c r="A258" s="1">
        <v>44943</v>
      </c>
      <c r="B258" s="7">
        <v>0.13956343800000001</v>
      </c>
      <c r="C258" s="7">
        <v>7.2661320000000001E-2</v>
      </c>
      <c r="D258" s="7">
        <v>0.16253078700000001</v>
      </c>
      <c r="E258" s="7">
        <v>9.1773915999999997E-2</v>
      </c>
      <c r="F258" s="7">
        <v>0.12769074399999999</v>
      </c>
      <c r="G258" s="7">
        <v>3.1201652E-2</v>
      </c>
      <c r="H258" s="7">
        <v>0.165816773</v>
      </c>
      <c r="I258" s="7">
        <v>6.9269819999999996E-2</v>
      </c>
      <c r="J258" s="7">
        <v>0.15683986599999999</v>
      </c>
      <c r="K258" s="7">
        <v>3.8900315999999997E-2</v>
      </c>
      <c r="L258" s="7">
        <v>0.151513234</v>
      </c>
      <c r="M258" s="7">
        <v>5.4795815999999997E-2</v>
      </c>
      <c r="N258" s="7">
        <v>0.16105109300000001</v>
      </c>
      <c r="O258" s="7">
        <v>2.5058767999999999E-2</v>
      </c>
      <c r="P258" s="7">
        <v>0.175947139</v>
      </c>
      <c r="Q258" s="7">
        <v>4.7976978000000003E-2</v>
      </c>
      <c r="R258" s="7">
        <v>5.1866872000000001E-2</v>
      </c>
      <c r="S258" s="7">
        <v>4.7944904000000003E-2</v>
      </c>
      <c r="T258" s="7">
        <v>4.0830742000000003E-2</v>
      </c>
      <c r="U258" s="7">
        <v>5.8949440999999998E-2</v>
      </c>
      <c r="AB258" s="4">
        <v>1</v>
      </c>
      <c r="AC258" s="4">
        <v>0</v>
      </c>
      <c r="AD258" s="4">
        <v>1</v>
      </c>
      <c r="AE258" s="4"/>
      <c r="AF258" s="4"/>
      <c r="AG258" s="4"/>
      <c r="AH258" s="4"/>
    </row>
    <row r="259" spans="1:34" x14ac:dyDescent="0.3">
      <c r="A259" s="1">
        <v>44956</v>
      </c>
      <c r="B259" s="7">
        <v>3.1215250999999999E-2</v>
      </c>
      <c r="C259" s="7">
        <v>5.3758988000000001E-2</v>
      </c>
      <c r="D259" s="7">
        <v>9.9967262000000001E-2</v>
      </c>
      <c r="E259" s="7">
        <v>9.0267764E-2</v>
      </c>
      <c r="F259" s="7">
        <v>0.13956343800000001</v>
      </c>
      <c r="G259" s="7">
        <v>7.2661320000000001E-2</v>
      </c>
      <c r="H259" s="7">
        <v>0.16253078700000001</v>
      </c>
      <c r="I259" s="7">
        <v>9.1773915999999997E-2</v>
      </c>
      <c r="J259" s="7">
        <v>0.12769074399999999</v>
      </c>
      <c r="K259" s="7">
        <v>3.1201652E-2</v>
      </c>
      <c r="L259" s="7">
        <v>0.165816773</v>
      </c>
      <c r="M259" s="7">
        <v>6.9269819999999996E-2</v>
      </c>
      <c r="N259" s="7">
        <v>0.15683986599999999</v>
      </c>
      <c r="O259" s="7">
        <v>3.8900315999999997E-2</v>
      </c>
      <c r="P259" s="7">
        <v>0.151513234</v>
      </c>
      <c r="Q259" s="7">
        <v>5.4795815999999997E-2</v>
      </c>
      <c r="R259" s="7">
        <v>0.16105109300000001</v>
      </c>
      <c r="S259" s="7">
        <v>2.5058767999999999E-2</v>
      </c>
      <c r="T259" s="7">
        <v>0.175947139</v>
      </c>
      <c r="U259" s="7">
        <v>4.7976978000000003E-2</v>
      </c>
      <c r="AB259" s="4">
        <v>0</v>
      </c>
      <c r="AC259" s="4">
        <v>0</v>
      </c>
      <c r="AD259" s="4">
        <v>0</v>
      </c>
      <c r="AE259" s="4"/>
      <c r="AF259" s="4"/>
      <c r="AG259" s="4"/>
      <c r="AH259" s="4"/>
    </row>
    <row r="260" spans="1:34" x14ac:dyDescent="0.3">
      <c r="A260" s="1">
        <v>44957</v>
      </c>
      <c r="B260" s="7">
        <v>9.1341821000000004E-2</v>
      </c>
      <c r="C260" s="7">
        <v>5.6918045E-2</v>
      </c>
      <c r="D260" s="7">
        <v>4.3536534000000002E-2</v>
      </c>
      <c r="E260" s="7">
        <v>6.2425135999999999E-2</v>
      </c>
      <c r="F260" s="7">
        <v>3.1215250999999999E-2</v>
      </c>
      <c r="G260" s="7">
        <v>5.3758988000000001E-2</v>
      </c>
      <c r="H260" s="7">
        <v>9.9967262000000001E-2</v>
      </c>
      <c r="I260" s="7">
        <v>9.0267764E-2</v>
      </c>
      <c r="J260" s="7">
        <v>0.13956343800000001</v>
      </c>
      <c r="K260" s="7">
        <v>7.2661320000000001E-2</v>
      </c>
      <c r="L260" s="7">
        <v>0.16253078700000001</v>
      </c>
      <c r="M260" s="7">
        <v>9.1773915999999997E-2</v>
      </c>
      <c r="N260" s="7">
        <v>0.12769074399999999</v>
      </c>
      <c r="O260" s="7">
        <v>3.1201652E-2</v>
      </c>
      <c r="P260" s="7">
        <v>0.165816773</v>
      </c>
      <c r="Q260" s="7">
        <v>6.9269819999999996E-2</v>
      </c>
      <c r="R260" s="7">
        <v>0.15683986599999999</v>
      </c>
      <c r="S260" s="7">
        <v>3.8900315999999997E-2</v>
      </c>
      <c r="T260" s="7">
        <v>0.151513234</v>
      </c>
      <c r="U260" s="7">
        <v>5.4795815999999997E-2</v>
      </c>
      <c r="AB260" s="4">
        <v>0</v>
      </c>
      <c r="AC260" s="4">
        <v>0</v>
      </c>
      <c r="AD260" s="4">
        <v>0</v>
      </c>
      <c r="AE260" s="4"/>
      <c r="AF260" s="4"/>
      <c r="AG260" s="4"/>
      <c r="AH260" s="4"/>
    </row>
    <row r="261" spans="1:34" x14ac:dyDescent="0.3">
      <c r="A261" s="1">
        <v>44958</v>
      </c>
      <c r="B261" s="7">
        <v>4.2206779999999999E-2</v>
      </c>
      <c r="C261" s="7">
        <v>7.3365130000000001E-2</v>
      </c>
      <c r="D261" s="7">
        <v>6.9480912000000006E-2</v>
      </c>
      <c r="E261" s="7">
        <v>5.327399E-2</v>
      </c>
      <c r="F261" s="7">
        <v>9.1341821000000004E-2</v>
      </c>
      <c r="G261" s="7">
        <v>5.6918045E-2</v>
      </c>
      <c r="H261" s="7">
        <v>4.3536534000000002E-2</v>
      </c>
      <c r="I261" s="7">
        <v>6.2425135999999999E-2</v>
      </c>
      <c r="J261" s="7">
        <v>3.1215250999999999E-2</v>
      </c>
      <c r="K261" s="7">
        <v>5.3758988000000001E-2</v>
      </c>
      <c r="L261" s="7">
        <v>9.9967262000000001E-2</v>
      </c>
      <c r="M261" s="7">
        <v>9.0267764E-2</v>
      </c>
      <c r="N261" s="7">
        <v>0.13956343800000001</v>
      </c>
      <c r="O261" s="7">
        <v>7.2661320000000001E-2</v>
      </c>
      <c r="P261" s="7">
        <v>0.16253078700000001</v>
      </c>
      <c r="Q261" s="7">
        <v>9.1773915999999997E-2</v>
      </c>
      <c r="R261" s="7">
        <v>0.12769074399999999</v>
      </c>
      <c r="S261" s="7">
        <v>3.1201652E-2</v>
      </c>
      <c r="T261" s="7">
        <v>0.165816773</v>
      </c>
      <c r="U261" s="7">
        <v>6.9269819999999996E-2</v>
      </c>
      <c r="AB261" s="4">
        <v>0</v>
      </c>
      <c r="AC261" s="4">
        <v>0</v>
      </c>
      <c r="AD261" s="4">
        <v>0</v>
      </c>
      <c r="AE261" s="4"/>
      <c r="AF261" s="4"/>
      <c r="AG261" s="4"/>
      <c r="AH261" s="4"/>
    </row>
    <row r="262" spans="1:34" x14ac:dyDescent="0.3">
      <c r="A262" s="1">
        <v>44959</v>
      </c>
      <c r="B262" s="7">
        <v>9.3579409000000002E-2</v>
      </c>
      <c r="C262" s="7">
        <v>4.8916690999999998E-2</v>
      </c>
      <c r="D262" s="7">
        <v>0.15806144</v>
      </c>
      <c r="E262" s="7">
        <v>7.5242093999999995E-2</v>
      </c>
      <c r="F262" s="7">
        <v>4.2206779999999999E-2</v>
      </c>
      <c r="G262" s="7">
        <v>7.3365130000000001E-2</v>
      </c>
      <c r="H262" s="7">
        <v>6.9480912000000006E-2</v>
      </c>
      <c r="I262" s="7">
        <v>5.327399E-2</v>
      </c>
      <c r="J262" s="7">
        <v>9.1341821000000004E-2</v>
      </c>
      <c r="K262" s="7">
        <v>5.6918045E-2</v>
      </c>
      <c r="L262" s="7">
        <v>4.3536534000000002E-2</v>
      </c>
      <c r="M262" s="7">
        <v>6.2425135999999999E-2</v>
      </c>
      <c r="N262" s="7">
        <v>3.1215250999999999E-2</v>
      </c>
      <c r="O262" s="7">
        <v>5.3758988000000001E-2</v>
      </c>
      <c r="P262" s="7">
        <v>9.9967262000000001E-2</v>
      </c>
      <c r="Q262" s="7">
        <v>9.0267764E-2</v>
      </c>
      <c r="R262" s="7">
        <v>0.13956343800000001</v>
      </c>
      <c r="S262" s="7">
        <v>7.2661320000000001E-2</v>
      </c>
      <c r="T262" s="7">
        <v>0.16253078700000001</v>
      </c>
      <c r="U262" s="7">
        <v>9.1773915999999997E-2</v>
      </c>
      <c r="AB262" s="4">
        <v>0</v>
      </c>
      <c r="AC262" s="4">
        <v>0</v>
      </c>
      <c r="AD262" s="4">
        <v>0</v>
      </c>
      <c r="AE262" s="4"/>
      <c r="AF262" s="4"/>
      <c r="AG262" s="4"/>
      <c r="AH262" s="4"/>
    </row>
    <row r="263" spans="1:34" x14ac:dyDescent="0.3">
      <c r="A263" s="1">
        <v>44960</v>
      </c>
      <c r="B263" s="7">
        <v>9.6970803999999994E-2</v>
      </c>
      <c r="C263" s="7">
        <v>3.3718452000000003E-2</v>
      </c>
      <c r="D263" s="7">
        <v>0.162967477</v>
      </c>
      <c r="E263" s="7">
        <v>0.15641875399999999</v>
      </c>
      <c r="F263" s="7">
        <v>9.3579409000000002E-2</v>
      </c>
      <c r="G263" s="7">
        <v>4.8916690999999998E-2</v>
      </c>
      <c r="H263" s="7">
        <v>0.15806144</v>
      </c>
      <c r="I263" s="7">
        <v>7.5242093999999995E-2</v>
      </c>
      <c r="J263" s="7">
        <v>4.2206779999999999E-2</v>
      </c>
      <c r="K263" s="7">
        <v>7.3365130000000001E-2</v>
      </c>
      <c r="L263" s="7">
        <v>6.9480912000000006E-2</v>
      </c>
      <c r="M263" s="7">
        <v>5.327399E-2</v>
      </c>
      <c r="N263" s="7">
        <v>9.1341821000000004E-2</v>
      </c>
      <c r="O263" s="7">
        <v>5.6918045E-2</v>
      </c>
      <c r="P263" s="7">
        <v>4.3536534000000002E-2</v>
      </c>
      <c r="Q263" s="7">
        <v>6.2425135999999999E-2</v>
      </c>
      <c r="R263" s="7">
        <v>3.1215250999999999E-2</v>
      </c>
      <c r="S263" s="7">
        <v>5.3758988000000001E-2</v>
      </c>
      <c r="T263" s="7">
        <v>9.9967262000000001E-2</v>
      </c>
      <c r="U263" s="7">
        <v>9.0267764E-2</v>
      </c>
      <c r="AB263" s="4">
        <v>0</v>
      </c>
      <c r="AC263" s="4">
        <v>0</v>
      </c>
      <c r="AD263" s="4">
        <v>0</v>
      </c>
      <c r="AE263" s="4"/>
      <c r="AF263" s="4"/>
      <c r="AG263" s="4"/>
      <c r="AH263" s="4"/>
    </row>
    <row r="264" spans="1:34" x14ac:dyDescent="0.3">
      <c r="A264" s="1">
        <v>44963</v>
      </c>
      <c r="B264" s="7">
        <v>0.12720546699999999</v>
      </c>
      <c r="C264" s="7">
        <v>4.7530010999999997E-2</v>
      </c>
      <c r="D264" s="7">
        <v>0.102354801</v>
      </c>
      <c r="E264" s="7">
        <v>0.14580699599999999</v>
      </c>
      <c r="F264" s="7">
        <v>9.6970803999999994E-2</v>
      </c>
      <c r="G264" s="7">
        <v>3.3718452000000003E-2</v>
      </c>
      <c r="H264" s="7">
        <v>0.162967477</v>
      </c>
      <c r="I264" s="7">
        <v>0.15641875399999999</v>
      </c>
      <c r="J264" s="7">
        <v>9.3579409000000002E-2</v>
      </c>
      <c r="K264" s="7">
        <v>4.8916690999999998E-2</v>
      </c>
      <c r="L264" s="7">
        <v>0.15806144</v>
      </c>
      <c r="M264" s="7">
        <v>7.5242093999999995E-2</v>
      </c>
      <c r="N264" s="7">
        <v>4.2206779999999999E-2</v>
      </c>
      <c r="O264" s="7">
        <v>7.3365130000000001E-2</v>
      </c>
      <c r="P264" s="7">
        <v>6.9480912000000006E-2</v>
      </c>
      <c r="Q264" s="7">
        <v>5.327399E-2</v>
      </c>
      <c r="R264" s="7">
        <v>9.1341821000000004E-2</v>
      </c>
      <c r="S264" s="7">
        <v>5.6918045E-2</v>
      </c>
      <c r="T264" s="7">
        <v>4.3536534000000002E-2</v>
      </c>
      <c r="U264" s="7">
        <v>6.2425135999999999E-2</v>
      </c>
      <c r="AB264" s="4">
        <v>0</v>
      </c>
      <c r="AC264" s="4">
        <v>0</v>
      </c>
      <c r="AD264" s="4">
        <v>0</v>
      </c>
      <c r="AE264" s="4"/>
      <c r="AF264" s="4"/>
      <c r="AG264" s="4"/>
      <c r="AH264" s="4"/>
    </row>
    <row r="265" spans="1:34" x14ac:dyDescent="0.3">
      <c r="A265" s="1">
        <v>44964</v>
      </c>
      <c r="B265" s="7">
        <v>8.4468565999999995E-2</v>
      </c>
      <c r="C265" s="7">
        <v>4.3364097999999997E-2</v>
      </c>
      <c r="D265" s="7">
        <v>0.10192789300000001</v>
      </c>
      <c r="E265" s="7">
        <v>0.112353447</v>
      </c>
      <c r="F265" s="7">
        <v>0.12720546699999999</v>
      </c>
      <c r="G265" s="7">
        <v>4.7530010999999997E-2</v>
      </c>
      <c r="H265" s="7">
        <v>0.102354801</v>
      </c>
      <c r="I265" s="7">
        <v>0.14580699599999999</v>
      </c>
      <c r="J265" s="7">
        <v>9.6970803999999994E-2</v>
      </c>
      <c r="K265" s="7">
        <v>3.3718452000000003E-2</v>
      </c>
      <c r="L265" s="7">
        <v>0.162967477</v>
      </c>
      <c r="M265" s="7">
        <v>0.15641875399999999</v>
      </c>
      <c r="N265" s="7">
        <v>9.3579409000000002E-2</v>
      </c>
      <c r="O265" s="7">
        <v>4.8916690999999998E-2</v>
      </c>
      <c r="P265" s="7">
        <v>0.15806144</v>
      </c>
      <c r="Q265" s="7">
        <v>7.5242093999999995E-2</v>
      </c>
      <c r="R265" s="7">
        <v>4.2206779999999999E-2</v>
      </c>
      <c r="S265" s="7">
        <v>7.3365130000000001E-2</v>
      </c>
      <c r="T265" s="7">
        <v>6.9480912000000006E-2</v>
      </c>
      <c r="U265" s="7">
        <v>5.327399E-2</v>
      </c>
      <c r="AB265" s="4">
        <v>1</v>
      </c>
      <c r="AC265" s="4">
        <v>0</v>
      </c>
      <c r="AD265" s="4">
        <v>1</v>
      </c>
      <c r="AE265" s="4"/>
      <c r="AF265" s="4"/>
      <c r="AG265" s="4"/>
      <c r="AH265" s="4"/>
    </row>
    <row r="266" spans="1:34" x14ac:dyDescent="0.3">
      <c r="A266" s="1">
        <v>44965</v>
      </c>
      <c r="B266" s="7">
        <v>5.3275432999999997E-2</v>
      </c>
      <c r="C266" s="7">
        <v>7.6127655000000002E-2</v>
      </c>
      <c r="D266" s="7">
        <v>0.11372945600000001</v>
      </c>
      <c r="E266" s="7">
        <v>0.142491601</v>
      </c>
      <c r="F266" s="7">
        <v>8.4468565999999995E-2</v>
      </c>
      <c r="G266" s="7">
        <v>4.3364097999999997E-2</v>
      </c>
      <c r="H266" s="7">
        <v>0.10192789300000001</v>
      </c>
      <c r="I266" s="7">
        <v>0.112353447</v>
      </c>
      <c r="J266" s="7">
        <v>0.12720546699999999</v>
      </c>
      <c r="K266" s="7">
        <v>4.7530010999999997E-2</v>
      </c>
      <c r="L266" s="7">
        <v>0.102354801</v>
      </c>
      <c r="M266" s="7">
        <v>0.14580699599999999</v>
      </c>
      <c r="N266" s="7">
        <v>9.6970803999999994E-2</v>
      </c>
      <c r="O266" s="7">
        <v>3.3718452000000003E-2</v>
      </c>
      <c r="P266" s="7">
        <v>0.162967477</v>
      </c>
      <c r="Q266" s="7">
        <v>0.15641875399999999</v>
      </c>
      <c r="R266" s="7">
        <v>9.3579409000000002E-2</v>
      </c>
      <c r="S266" s="7">
        <v>4.8916690999999998E-2</v>
      </c>
      <c r="T266" s="7">
        <v>0.15806144</v>
      </c>
      <c r="U266" s="7">
        <v>7.5242093999999995E-2</v>
      </c>
      <c r="AB266" s="4">
        <v>0</v>
      </c>
      <c r="AC266" s="4">
        <v>0</v>
      </c>
      <c r="AD266" s="4">
        <v>0</v>
      </c>
      <c r="AE266" s="4"/>
      <c r="AF266" s="4"/>
      <c r="AG266" s="4"/>
      <c r="AH266" s="4"/>
    </row>
    <row r="267" spans="1:34" x14ac:dyDescent="0.3">
      <c r="A267" s="1">
        <v>44966</v>
      </c>
      <c r="B267" s="7">
        <v>0.178672732</v>
      </c>
      <c r="C267" s="7">
        <v>7.1662667999999999E-2</v>
      </c>
      <c r="D267" s="7">
        <v>0.21806429199999999</v>
      </c>
      <c r="E267" s="7">
        <v>0.12760614300000001</v>
      </c>
      <c r="F267" s="7">
        <v>5.3275432999999997E-2</v>
      </c>
      <c r="G267" s="7">
        <v>7.6127655000000002E-2</v>
      </c>
      <c r="H267" s="7">
        <v>0.11372945600000001</v>
      </c>
      <c r="I267" s="7">
        <v>0.142491601</v>
      </c>
      <c r="J267" s="7">
        <v>8.4468565999999995E-2</v>
      </c>
      <c r="K267" s="7">
        <v>4.3364097999999997E-2</v>
      </c>
      <c r="L267" s="7">
        <v>0.10192789300000001</v>
      </c>
      <c r="M267" s="7">
        <v>0.112353447</v>
      </c>
      <c r="N267" s="7">
        <v>0.12720546699999999</v>
      </c>
      <c r="O267" s="7">
        <v>4.7530010999999997E-2</v>
      </c>
      <c r="P267" s="7">
        <v>0.102354801</v>
      </c>
      <c r="Q267" s="7">
        <v>0.14580699599999999</v>
      </c>
      <c r="R267" s="7">
        <v>9.6970803999999994E-2</v>
      </c>
      <c r="S267" s="7">
        <v>3.3718452000000003E-2</v>
      </c>
      <c r="T267" s="7">
        <v>0.162967477</v>
      </c>
      <c r="U267" s="7">
        <v>0.15641875399999999</v>
      </c>
      <c r="AB267" s="4">
        <v>0</v>
      </c>
      <c r="AC267" s="4">
        <v>0</v>
      </c>
      <c r="AD267" s="4">
        <v>0</v>
      </c>
      <c r="AE267" s="4"/>
      <c r="AF267" s="4"/>
      <c r="AG267" s="4"/>
      <c r="AH267" s="4"/>
    </row>
    <row r="268" spans="1:34" x14ac:dyDescent="0.3">
      <c r="A268" s="1">
        <v>44967</v>
      </c>
      <c r="B268" s="7">
        <v>0.195059332</v>
      </c>
      <c r="C268" s="7">
        <v>7.4779459000000006E-2</v>
      </c>
      <c r="D268" s="7">
        <v>0.22197277700000001</v>
      </c>
      <c r="E268" s="7">
        <v>0.197798893</v>
      </c>
      <c r="F268" s="7">
        <v>0.178672732</v>
      </c>
      <c r="G268" s="7">
        <v>7.1662667999999999E-2</v>
      </c>
      <c r="H268" s="7">
        <v>0.21806429199999999</v>
      </c>
      <c r="I268" s="7">
        <v>0.12760614300000001</v>
      </c>
      <c r="J268" s="7">
        <v>5.3275432999999997E-2</v>
      </c>
      <c r="K268" s="7">
        <v>7.6127655000000002E-2</v>
      </c>
      <c r="L268" s="7">
        <v>0.11372945600000001</v>
      </c>
      <c r="M268" s="7">
        <v>0.142491601</v>
      </c>
      <c r="N268" s="7">
        <v>8.4468565999999995E-2</v>
      </c>
      <c r="O268" s="7">
        <v>4.3364097999999997E-2</v>
      </c>
      <c r="P268" s="7">
        <v>0.10192789300000001</v>
      </c>
      <c r="Q268" s="7">
        <v>0.112353447</v>
      </c>
      <c r="R268" s="7">
        <v>0.12720546699999999</v>
      </c>
      <c r="S268" s="7">
        <v>4.7530010999999997E-2</v>
      </c>
      <c r="T268" s="7">
        <v>0.102354801</v>
      </c>
      <c r="U268" s="7">
        <v>0.14580699599999999</v>
      </c>
      <c r="AB268" s="4">
        <v>0</v>
      </c>
      <c r="AC268" s="4">
        <v>0</v>
      </c>
      <c r="AD268" s="4">
        <v>0</v>
      </c>
      <c r="AE268" s="4"/>
      <c r="AF268" s="4"/>
      <c r="AG268" s="4"/>
      <c r="AH268" s="4"/>
    </row>
    <row r="269" spans="1:34" x14ac:dyDescent="0.3">
      <c r="A269" s="1">
        <v>44970</v>
      </c>
      <c r="B269" s="7">
        <v>0.25137200799999998</v>
      </c>
      <c r="C269" s="7">
        <v>9.7240665000000004E-2</v>
      </c>
      <c r="D269" s="7">
        <v>0.32445908600000001</v>
      </c>
      <c r="E269" s="7">
        <v>0.23031790999999999</v>
      </c>
      <c r="F269" s="7">
        <v>0.195059332</v>
      </c>
      <c r="G269" s="7">
        <v>7.4779459000000006E-2</v>
      </c>
      <c r="H269" s="7">
        <v>0.22197277700000001</v>
      </c>
      <c r="I269" s="7">
        <v>0.197798893</v>
      </c>
      <c r="J269" s="7">
        <v>0.178672732</v>
      </c>
      <c r="K269" s="7">
        <v>7.1662667999999999E-2</v>
      </c>
      <c r="L269" s="7">
        <v>0.21806429199999999</v>
      </c>
      <c r="M269" s="7">
        <v>0.12760614300000001</v>
      </c>
      <c r="N269" s="7">
        <v>5.3275432999999997E-2</v>
      </c>
      <c r="O269" s="7">
        <v>7.6127655000000002E-2</v>
      </c>
      <c r="P269" s="7">
        <v>0.11372945600000001</v>
      </c>
      <c r="Q269" s="7">
        <v>0.142491601</v>
      </c>
      <c r="R269" s="7">
        <v>8.4468565999999995E-2</v>
      </c>
      <c r="S269" s="7">
        <v>4.3364097999999997E-2</v>
      </c>
      <c r="T269" s="7">
        <v>0.10192789300000001</v>
      </c>
      <c r="U269" s="7">
        <v>0.112353447</v>
      </c>
      <c r="AB269" s="4">
        <v>0</v>
      </c>
      <c r="AC269" s="4">
        <v>0</v>
      </c>
      <c r="AD269" s="4">
        <v>0</v>
      </c>
      <c r="AE269" s="4"/>
      <c r="AF269" s="4"/>
      <c r="AG269" s="4"/>
      <c r="AH269" s="4"/>
    </row>
    <row r="270" spans="1:34" x14ac:dyDescent="0.3">
      <c r="A270" s="1">
        <v>44971</v>
      </c>
      <c r="B270" s="7">
        <v>0.32493302299999999</v>
      </c>
      <c r="C270" s="7">
        <v>0.26941551400000002</v>
      </c>
      <c r="D270" s="7">
        <v>0.38429681599999999</v>
      </c>
      <c r="E270" s="7">
        <v>0.26215977600000001</v>
      </c>
      <c r="F270" s="7">
        <v>0.25137200799999998</v>
      </c>
      <c r="G270" s="7">
        <v>9.7240665000000004E-2</v>
      </c>
      <c r="H270" s="7">
        <v>0.32445908600000001</v>
      </c>
      <c r="I270" s="7">
        <v>0.23031790999999999</v>
      </c>
      <c r="J270" s="7">
        <v>0.195059332</v>
      </c>
      <c r="K270" s="7">
        <v>7.4779459000000006E-2</v>
      </c>
      <c r="L270" s="7">
        <v>0.22197277700000001</v>
      </c>
      <c r="M270" s="7">
        <v>0.197798893</v>
      </c>
      <c r="N270" s="7">
        <v>0.178672732</v>
      </c>
      <c r="O270" s="7">
        <v>7.1662667999999999E-2</v>
      </c>
      <c r="P270" s="7">
        <v>0.21806429199999999</v>
      </c>
      <c r="Q270" s="7">
        <v>0.12760614300000001</v>
      </c>
      <c r="R270" s="7">
        <v>5.3275432999999997E-2</v>
      </c>
      <c r="S270" s="7">
        <v>7.6127655000000002E-2</v>
      </c>
      <c r="T270" s="7">
        <v>0.11372945600000001</v>
      </c>
      <c r="U270" s="7">
        <v>0.142491601</v>
      </c>
      <c r="AB270" s="4">
        <v>0</v>
      </c>
      <c r="AC270" s="4">
        <v>0</v>
      </c>
      <c r="AD270" s="4">
        <v>0</v>
      </c>
      <c r="AE270" s="4"/>
      <c r="AF270" s="4"/>
      <c r="AG270" s="4"/>
      <c r="AH270" s="4"/>
    </row>
    <row r="271" spans="1:34" x14ac:dyDescent="0.3">
      <c r="A271" s="1">
        <v>44972</v>
      </c>
      <c r="B271" s="7">
        <v>5.2986601000000001E-2</v>
      </c>
      <c r="C271" s="7">
        <v>4.9755602000000003E-2</v>
      </c>
      <c r="D271" s="7">
        <v>3.4174216E-2</v>
      </c>
      <c r="E271" s="7">
        <v>6.2713151999999994E-2</v>
      </c>
      <c r="F271" s="7">
        <v>0.32493302299999999</v>
      </c>
      <c r="G271" s="7">
        <v>0.26941551400000002</v>
      </c>
      <c r="H271" s="7">
        <v>0.38429681599999999</v>
      </c>
      <c r="I271" s="7">
        <v>0.26215977600000001</v>
      </c>
      <c r="J271" s="7">
        <v>0.25137200799999998</v>
      </c>
      <c r="K271" s="7">
        <v>9.7240665000000004E-2</v>
      </c>
      <c r="L271" s="7">
        <v>0.32445908600000001</v>
      </c>
      <c r="M271" s="7">
        <v>0.23031790999999999</v>
      </c>
      <c r="N271" s="7">
        <v>0.195059332</v>
      </c>
      <c r="O271" s="7">
        <v>7.4779459000000006E-2</v>
      </c>
      <c r="P271" s="7">
        <v>0.22197277700000001</v>
      </c>
      <c r="Q271" s="7">
        <v>0.197798893</v>
      </c>
      <c r="R271" s="7">
        <v>0.178672732</v>
      </c>
      <c r="S271" s="7">
        <v>7.1662667999999999E-2</v>
      </c>
      <c r="T271" s="7">
        <v>0.21806429199999999</v>
      </c>
      <c r="U271" s="7">
        <v>0.12760614300000001</v>
      </c>
      <c r="AB271" s="4">
        <v>0</v>
      </c>
      <c r="AC271" s="4">
        <v>0</v>
      </c>
      <c r="AD271" s="4">
        <v>0</v>
      </c>
      <c r="AE271" s="4"/>
      <c r="AF271" s="4"/>
      <c r="AG271" s="4"/>
      <c r="AH271" s="4"/>
    </row>
    <row r="272" spans="1:34" x14ac:dyDescent="0.3">
      <c r="A272" s="1">
        <v>44973</v>
      </c>
      <c r="B272" s="7">
        <v>7.6574518999999994E-2</v>
      </c>
      <c r="C272" s="7">
        <v>4.2467339E-2</v>
      </c>
      <c r="D272" s="7">
        <v>0.108811325</v>
      </c>
      <c r="E272" s="7">
        <v>4.7109197999999998E-2</v>
      </c>
      <c r="F272" s="7">
        <v>5.2986601000000001E-2</v>
      </c>
      <c r="G272" s="7">
        <v>4.9755602000000003E-2</v>
      </c>
      <c r="H272" s="7">
        <v>3.4174216E-2</v>
      </c>
      <c r="I272" s="7">
        <v>6.2713151999999994E-2</v>
      </c>
      <c r="J272" s="7">
        <v>0.32493302299999999</v>
      </c>
      <c r="K272" s="7">
        <v>0.26941551400000002</v>
      </c>
      <c r="L272" s="7">
        <v>0.38429681599999999</v>
      </c>
      <c r="M272" s="7">
        <v>0.26215977600000001</v>
      </c>
      <c r="N272" s="7">
        <v>0.25137200799999998</v>
      </c>
      <c r="O272" s="7">
        <v>9.7240665000000004E-2</v>
      </c>
      <c r="P272" s="7">
        <v>0.32445908600000001</v>
      </c>
      <c r="Q272" s="7">
        <v>0.23031790999999999</v>
      </c>
      <c r="R272" s="7">
        <v>0.195059332</v>
      </c>
      <c r="S272" s="7">
        <v>7.4779459000000006E-2</v>
      </c>
      <c r="T272" s="7">
        <v>0.22197277700000001</v>
      </c>
      <c r="U272" s="7">
        <v>0.197798893</v>
      </c>
      <c r="AB272" s="4">
        <v>0</v>
      </c>
      <c r="AC272" s="4">
        <v>0</v>
      </c>
      <c r="AD272" s="4">
        <v>0</v>
      </c>
      <c r="AE272" s="4"/>
      <c r="AF272" s="4"/>
      <c r="AG272" s="4"/>
      <c r="AH272" s="4"/>
    </row>
    <row r="273" spans="1:34" x14ac:dyDescent="0.3">
      <c r="A273" s="1">
        <v>44974</v>
      </c>
      <c r="B273" s="7">
        <v>6.3574512999999999E-2</v>
      </c>
      <c r="C273" s="7">
        <v>3.0481670999999998E-2</v>
      </c>
      <c r="D273" s="7">
        <v>9.1943311999999999E-2</v>
      </c>
      <c r="E273" s="7">
        <v>6.1824523999999999E-2</v>
      </c>
      <c r="F273" s="7">
        <v>7.6574518999999994E-2</v>
      </c>
      <c r="G273" s="7">
        <v>4.2467339E-2</v>
      </c>
      <c r="H273" s="7">
        <v>0.108811325</v>
      </c>
      <c r="I273" s="7">
        <v>4.7109197999999998E-2</v>
      </c>
      <c r="J273" s="7">
        <v>5.2986601000000001E-2</v>
      </c>
      <c r="K273" s="7">
        <v>4.9755602000000003E-2</v>
      </c>
      <c r="L273" s="7">
        <v>3.4174216E-2</v>
      </c>
      <c r="M273" s="7">
        <v>6.2713151999999994E-2</v>
      </c>
      <c r="N273" s="7">
        <v>0.32493302299999999</v>
      </c>
      <c r="O273" s="7">
        <v>0.26941551400000002</v>
      </c>
      <c r="P273" s="7">
        <v>0.38429681599999999</v>
      </c>
      <c r="Q273" s="7">
        <v>0.26215977600000001</v>
      </c>
      <c r="R273" s="7">
        <v>0.25137200799999998</v>
      </c>
      <c r="S273" s="7">
        <v>9.7240665000000004E-2</v>
      </c>
      <c r="T273" s="7">
        <v>0.32445908600000001</v>
      </c>
      <c r="U273" s="7">
        <v>0.23031790999999999</v>
      </c>
      <c r="AB273" s="4">
        <v>0</v>
      </c>
      <c r="AC273" s="4">
        <v>0</v>
      </c>
      <c r="AD273" s="4">
        <v>0</v>
      </c>
      <c r="AE273" s="4"/>
      <c r="AF273" s="4"/>
      <c r="AG273" s="4"/>
      <c r="AH273" s="4"/>
    </row>
    <row r="274" spans="1:34" x14ac:dyDescent="0.3">
      <c r="A274" s="1">
        <v>44977</v>
      </c>
      <c r="B274" s="7">
        <v>4.4778363000000002E-2</v>
      </c>
      <c r="C274" s="7">
        <v>3.9983031000000002E-2</v>
      </c>
      <c r="D274" s="7">
        <v>8.5068119999999997E-2</v>
      </c>
      <c r="E274" s="7">
        <v>4.8031169999999998E-2</v>
      </c>
      <c r="F274" s="7">
        <v>6.3574512999999999E-2</v>
      </c>
      <c r="G274" s="7">
        <v>3.0481670999999998E-2</v>
      </c>
      <c r="H274" s="7">
        <v>9.1943311999999999E-2</v>
      </c>
      <c r="I274" s="7">
        <v>6.1824523999999999E-2</v>
      </c>
      <c r="J274" s="7">
        <v>7.6574518999999994E-2</v>
      </c>
      <c r="K274" s="7">
        <v>4.2467339E-2</v>
      </c>
      <c r="L274" s="7">
        <v>0.108811325</v>
      </c>
      <c r="M274" s="7">
        <v>4.7109197999999998E-2</v>
      </c>
      <c r="N274" s="7">
        <v>5.2986601000000001E-2</v>
      </c>
      <c r="O274" s="7">
        <v>4.9755602000000003E-2</v>
      </c>
      <c r="P274" s="7">
        <v>3.4174216E-2</v>
      </c>
      <c r="Q274" s="7">
        <v>6.2713151999999994E-2</v>
      </c>
      <c r="R274" s="7">
        <v>0.32493302299999999</v>
      </c>
      <c r="S274" s="7">
        <v>0.26941551400000002</v>
      </c>
      <c r="T274" s="7">
        <v>0.38429681599999999</v>
      </c>
      <c r="U274" s="7">
        <v>0.26215977600000001</v>
      </c>
      <c r="AB274" s="4">
        <v>0</v>
      </c>
      <c r="AC274" s="4">
        <v>0</v>
      </c>
      <c r="AD274" s="4">
        <v>0</v>
      </c>
      <c r="AE274" s="4"/>
      <c r="AF274" s="4"/>
      <c r="AG274" s="4"/>
      <c r="AH274" s="4"/>
    </row>
    <row r="275" spans="1:34" x14ac:dyDescent="0.3">
      <c r="A275" s="1">
        <v>44978</v>
      </c>
      <c r="B275" s="7">
        <v>3.5723273E-2</v>
      </c>
      <c r="C275" s="7">
        <v>3.5979838E-2</v>
      </c>
      <c r="D275" s="7">
        <v>8.0303048000000002E-2</v>
      </c>
      <c r="E275" s="7">
        <v>8.5255987000000005E-2</v>
      </c>
      <c r="F275" s="7">
        <v>4.4778363000000002E-2</v>
      </c>
      <c r="G275" s="7">
        <v>3.9983031000000002E-2</v>
      </c>
      <c r="H275" s="7">
        <v>8.5068119999999997E-2</v>
      </c>
      <c r="I275" s="7">
        <v>4.8031169999999998E-2</v>
      </c>
      <c r="J275" s="7">
        <v>6.3574512999999999E-2</v>
      </c>
      <c r="K275" s="7">
        <v>3.0481670999999998E-2</v>
      </c>
      <c r="L275" s="7">
        <v>9.1943311999999999E-2</v>
      </c>
      <c r="M275" s="7">
        <v>6.1824523999999999E-2</v>
      </c>
      <c r="N275" s="7">
        <v>7.6574518999999994E-2</v>
      </c>
      <c r="O275" s="7">
        <v>4.2467339E-2</v>
      </c>
      <c r="P275" s="7">
        <v>0.108811325</v>
      </c>
      <c r="Q275" s="7">
        <v>4.7109197999999998E-2</v>
      </c>
      <c r="R275" s="7">
        <v>5.2986601000000001E-2</v>
      </c>
      <c r="S275" s="7">
        <v>4.9755602000000003E-2</v>
      </c>
      <c r="T275" s="7">
        <v>3.4174216E-2</v>
      </c>
      <c r="U275" s="7">
        <v>6.2713151999999994E-2</v>
      </c>
      <c r="AB275" s="4">
        <v>0</v>
      </c>
      <c r="AC275" s="4">
        <v>0</v>
      </c>
      <c r="AD275" s="4">
        <v>0</v>
      </c>
      <c r="AE275" s="4"/>
      <c r="AF275" s="4"/>
      <c r="AG275" s="4"/>
      <c r="AH275" s="4"/>
    </row>
    <row r="276" spans="1:34" x14ac:dyDescent="0.3">
      <c r="A276" s="1">
        <v>44979</v>
      </c>
      <c r="B276" s="7">
        <v>4.5216122999999997E-2</v>
      </c>
      <c r="C276" s="7">
        <v>5.936027E-2</v>
      </c>
      <c r="D276" s="7">
        <v>4.6451566E-2</v>
      </c>
      <c r="E276" s="7">
        <v>4.9964074999999997E-2</v>
      </c>
      <c r="F276" s="7">
        <v>3.5723273E-2</v>
      </c>
      <c r="G276" s="7">
        <v>3.5979838E-2</v>
      </c>
      <c r="H276" s="7">
        <v>8.0303048000000002E-2</v>
      </c>
      <c r="I276" s="7">
        <v>8.5255987000000005E-2</v>
      </c>
      <c r="J276" s="7">
        <v>4.4778363000000002E-2</v>
      </c>
      <c r="K276" s="7">
        <v>3.9983031000000002E-2</v>
      </c>
      <c r="L276" s="7">
        <v>8.5068119999999997E-2</v>
      </c>
      <c r="M276" s="7">
        <v>4.8031169999999998E-2</v>
      </c>
      <c r="N276" s="7">
        <v>6.3574512999999999E-2</v>
      </c>
      <c r="O276" s="7">
        <v>3.0481670999999998E-2</v>
      </c>
      <c r="P276" s="7">
        <v>9.1943311999999999E-2</v>
      </c>
      <c r="Q276" s="7">
        <v>6.1824523999999999E-2</v>
      </c>
      <c r="R276" s="7">
        <v>7.6574518999999994E-2</v>
      </c>
      <c r="S276" s="7">
        <v>4.2467339E-2</v>
      </c>
      <c r="T276" s="7">
        <v>0.108811325</v>
      </c>
      <c r="U276" s="7">
        <v>4.7109197999999998E-2</v>
      </c>
      <c r="AB276" s="4">
        <v>0</v>
      </c>
      <c r="AC276" s="4">
        <v>0</v>
      </c>
      <c r="AD276" s="4">
        <v>0</v>
      </c>
      <c r="AE276" s="4"/>
      <c r="AF276" s="4"/>
      <c r="AG276" s="4"/>
      <c r="AH276" s="4"/>
    </row>
    <row r="277" spans="1:34" x14ac:dyDescent="0.3">
      <c r="A277" s="1">
        <v>44980</v>
      </c>
      <c r="B277" s="7">
        <v>6.6795550999999995E-2</v>
      </c>
      <c r="C277" s="7">
        <v>4.5347111000000002E-2</v>
      </c>
      <c r="D277" s="7">
        <v>0.11516003299999999</v>
      </c>
      <c r="E277" s="7">
        <v>4.5006334000000002E-2</v>
      </c>
      <c r="F277" s="7">
        <v>4.5216122999999997E-2</v>
      </c>
      <c r="G277" s="7">
        <v>5.936027E-2</v>
      </c>
      <c r="H277" s="7">
        <v>4.6451566E-2</v>
      </c>
      <c r="I277" s="7">
        <v>4.9964074999999997E-2</v>
      </c>
      <c r="J277" s="7">
        <v>3.5723273E-2</v>
      </c>
      <c r="K277" s="7">
        <v>3.5979838E-2</v>
      </c>
      <c r="L277" s="7">
        <v>8.0303048000000002E-2</v>
      </c>
      <c r="M277" s="7">
        <v>8.5255987000000005E-2</v>
      </c>
      <c r="N277" s="7">
        <v>4.4778363000000002E-2</v>
      </c>
      <c r="O277" s="7">
        <v>3.9983031000000002E-2</v>
      </c>
      <c r="P277" s="7">
        <v>8.5068119999999997E-2</v>
      </c>
      <c r="Q277" s="7">
        <v>4.8031169999999998E-2</v>
      </c>
      <c r="R277" s="7">
        <v>6.3574512999999999E-2</v>
      </c>
      <c r="S277" s="7">
        <v>3.0481670999999998E-2</v>
      </c>
      <c r="T277" s="7">
        <v>9.1943311999999999E-2</v>
      </c>
      <c r="U277" s="7">
        <v>6.1824523999999999E-2</v>
      </c>
      <c r="AB277" s="4">
        <v>0</v>
      </c>
      <c r="AC277" s="4">
        <v>0</v>
      </c>
      <c r="AD277" s="4">
        <v>0</v>
      </c>
      <c r="AE277" s="4"/>
      <c r="AF277" s="4"/>
      <c r="AG277" s="4"/>
      <c r="AH277" s="4"/>
    </row>
    <row r="278" spans="1:34" x14ac:dyDescent="0.3">
      <c r="A278" s="1">
        <v>44981</v>
      </c>
      <c r="B278" s="7">
        <v>0.105235405</v>
      </c>
      <c r="C278" s="7">
        <v>4.4124917E-2</v>
      </c>
      <c r="D278" s="7">
        <v>6.7310556999999993E-2</v>
      </c>
      <c r="E278" s="7">
        <v>4.7269074000000001E-2</v>
      </c>
      <c r="F278" s="7">
        <v>6.6795550999999995E-2</v>
      </c>
      <c r="G278" s="7">
        <v>4.5347111000000002E-2</v>
      </c>
      <c r="H278" s="7">
        <v>0.11516003299999999</v>
      </c>
      <c r="I278" s="7">
        <v>4.5006334000000002E-2</v>
      </c>
      <c r="J278" s="7">
        <v>4.5216122999999997E-2</v>
      </c>
      <c r="K278" s="7">
        <v>5.936027E-2</v>
      </c>
      <c r="L278" s="7">
        <v>4.6451566E-2</v>
      </c>
      <c r="M278" s="7">
        <v>4.9964074999999997E-2</v>
      </c>
      <c r="N278" s="7">
        <v>3.5723273E-2</v>
      </c>
      <c r="O278" s="7">
        <v>3.5979838E-2</v>
      </c>
      <c r="P278" s="7">
        <v>8.0303048000000002E-2</v>
      </c>
      <c r="Q278" s="7">
        <v>8.5255987000000005E-2</v>
      </c>
      <c r="R278" s="7">
        <v>4.4778363000000002E-2</v>
      </c>
      <c r="S278" s="7">
        <v>3.9983031000000002E-2</v>
      </c>
      <c r="T278" s="7">
        <v>8.5068119999999997E-2</v>
      </c>
      <c r="U278" s="7">
        <v>4.8031169999999998E-2</v>
      </c>
      <c r="AB278" s="4">
        <v>1</v>
      </c>
      <c r="AC278" s="4">
        <v>0</v>
      </c>
      <c r="AD278" s="4">
        <v>1</v>
      </c>
      <c r="AE278" s="4"/>
      <c r="AF278" s="4"/>
      <c r="AG278" s="4"/>
      <c r="AH278" s="4"/>
    </row>
    <row r="279" spans="1:34" x14ac:dyDescent="0.3">
      <c r="A279" s="1">
        <v>44986</v>
      </c>
      <c r="B279" s="7">
        <v>2.6843170999999999E-2</v>
      </c>
      <c r="C279" s="7">
        <v>4.0596733000000003E-2</v>
      </c>
      <c r="D279" s="7">
        <v>9.2547003000000003E-2</v>
      </c>
      <c r="E279" s="7">
        <v>7.6301115000000003E-2</v>
      </c>
      <c r="F279" s="7">
        <v>0.105235405</v>
      </c>
      <c r="G279" s="7">
        <v>4.4124917E-2</v>
      </c>
      <c r="H279" s="7">
        <v>6.7310556999999993E-2</v>
      </c>
      <c r="I279" s="7">
        <v>4.7269074000000001E-2</v>
      </c>
      <c r="J279" s="7">
        <v>6.6795550999999995E-2</v>
      </c>
      <c r="K279" s="7">
        <v>4.5347111000000002E-2</v>
      </c>
      <c r="L279" s="7">
        <v>0.11516003299999999</v>
      </c>
      <c r="M279" s="7">
        <v>4.5006334000000002E-2</v>
      </c>
      <c r="N279" s="7">
        <v>4.5216122999999997E-2</v>
      </c>
      <c r="O279" s="7">
        <v>5.936027E-2</v>
      </c>
      <c r="P279" s="7">
        <v>4.6451566E-2</v>
      </c>
      <c r="Q279" s="7">
        <v>4.9964074999999997E-2</v>
      </c>
      <c r="R279" s="7">
        <v>3.5723273E-2</v>
      </c>
      <c r="S279" s="7">
        <v>3.5979838E-2</v>
      </c>
      <c r="T279" s="7">
        <v>8.0303048000000002E-2</v>
      </c>
      <c r="U279" s="7">
        <v>8.5255987000000005E-2</v>
      </c>
      <c r="AB279" s="4">
        <v>0</v>
      </c>
      <c r="AC279" s="4">
        <v>0</v>
      </c>
      <c r="AD279" s="4">
        <v>0</v>
      </c>
      <c r="AE279" s="4"/>
      <c r="AF279" s="4"/>
      <c r="AG279" s="4"/>
      <c r="AH279" s="4"/>
    </row>
    <row r="280" spans="1:34" x14ac:dyDescent="0.3">
      <c r="A280" s="1">
        <v>44987</v>
      </c>
      <c r="B280" s="7">
        <v>9.1624229000000001E-2</v>
      </c>
      <c r="C280" s="7">
        <v>2.5176819999999999E-2</v>
      </c>
      <c r="D280" s="7">
        <v>0.14777664500000001</v>
      </c>
      <c r="E280" s="7">
        <v>4.8875776000000003E-2</v>
      </c>
      <c r="F280" s="7">
        <v>2.6843170999999999E-2</v>
      </c>
      <c r="G280" s="7">
        <v>4.0596733000000003E-2</v>
      </c>
      <c r="H280" s="7">
        <v>9.2547003000000003E-2</v>
      </c>
      <c r="I280" s="7">
        <v>7.6301115000000003E-2</v>
      </c>
      <c r="J280" s="7">
        <v>0.105235405</v>
      </c>
      <c r="K280" s="7">
        <v>4.4124917E-2</v>
      </c>
      <c r="L280" s="7">
        <v>6.7310556999999993E-2</v>
      </c>
      <c r="M280" s="7">
        <v>4.7269074000000001E-2</v>
      </c>
      <c r="N280" s="7">
        <v>6.6795550999999995E-2</v>
      </c>
      <c r="O280" s="7">
        <v>4.5347111000000002E-2</v>
      </c>
      <c r="P280" s="7">
        <v>0.11516003299999999</v>
      </c>
      <c r="Q280" s="7">
        <v>4.5006334000000002E-2</v>
      </c>
      <c r="R280" s="7">
        <v>4.5216122999999997E-2</v>
      </c>
      <c r="S280" s="7">
        <v>5.936027E-2</v>
      </c>
      <c r="T280" s="7">
        <v>4.6451566E-2</v>
      </c>
      <c r="U280" s="7">
        <v>4.9964074999999997E-2</v>
      </c>
      <c r="AB280" s="4">
        <v>0</v>
      </c>
      <c r="AC280" s="4">
        <v>0</v>
      </c>
      <c r="AD280" s="4">
        <v>0</v>
      </c>
      <c r="AE280" s="4"/>
      <c r="AF280" s="4"/>
      <c r="AG280" s="4"/>
      <c r="AH280" s="4"/>
    </row>
    <row r="281" spans="1:34" x14ac:dyDescent="0.3">
      <c r="A281" s="1">
        <v>44988</v>
      </c>
      <c r="B281" s="7">
        <v>0.105111723</v>
      </c>
      <c r="C281" s="7">
        <v>5.5640727000000001E-2</v>
      </c>
      <c r="D281" s="7">
        <v>0.116252064</v>
      </c>
      <c r="E281" s="7">
        <v>4.6030006999999998E-2</v>
      </c>
      <c r="F281" s="7">
        <v>9.1624229000000001E-2</v>
      </c>
      <c r="G281" s="7">
        <v>2.5176819999999999E-2</v>
      </c>
      <c r="H281" s="7">
        <v>0.14777664500000001</v>
      </c>
      <c r="I281" s="7">
        <v>4.8875776000000003E-2</v>
      </c>
      <c r="J281" s="7">
        <v>2.6843170999999999E-2</v>
      </c>
      <c r="K281" s="7">
        <v>4.0596733000000003E-2</v>
      </c>
      <c r="L281" s="7">
        <v>9.2547003000000003E-2</v>
      </c>
      <c r="M281" s="7">
        <v>7.6301115000000003E-2</v>
      </c>
      <c r="N281" s="7">
        <v>0.105235405</v>
      </c>
      <c r="O281" s="7">
        <v>4.4124917E-2</v>
      </c>
      <c r="P281" s="7">
        <v>6.7310556999999993E-2</v>
      </c>
      <c r="Q281" s="7">
        <v>4.7269074000000001E-2</v>
      </c>
      <c r="R281" s="7">
        <v>6.6795550999999995E-2</v>
      </c>
      <c r="S281" s="7">
        <v>4.5347111000000002E-2</v>
      </c>
      <c r="T281" s="7">
        <v>0.11516003299999999</v>
      </c>
      <c r="U281" s="7">
        <v>4.5006334000000002E-2</v>
      </c>
      <c r="AB281" s="4">
        <v>0</v>
      </c>
      <c r="AC281" s="4">
        <v>0</v>
      </c>
      <c r="AD281" s="4">
        <v>0</v>
      </c>
      <c r="AE281" s="4"/>
      <c r="AF281" s="4"/>
      <c r="AG281" s="4"/>
      <c r="AH281" s="4"/>
    </row>
    <row r="282" spans="1:34" x14ac:dyDescent="0.3">
      <c r="A282" s="1">
        <v>44991</v>
      </c>
      <c r="B282" s="7">
        <v>0.10200514199999999</v>
      </c>
      <c r="C282" s="7">
        <v>8.0985250999999994E-2</v>
      </c>
      <c r="D282" s="7">
        <v>0.120703344</v>
      </c>
      <c r="E282" s="7">
        <v>5.5949543999999997E-2</v>
      </c>
      <c r="F282" s="7">
        <v>0.105111723</v>
      </c>
      <c r="G282" s="7">
        <v>5.5640727000000001E-2</v>
      </c>
      <c r="H282" s="7">
        <v>0.116252064</v>
      </c>
      <c r="I282" s="7">
        <v>4.6030006999999998E-2</v>
      </c>
      <c r="J282" s="7">
        <v>9.1624229000000001E-2</v>
      </c>
      <c r="K282" s="7">
        <v>2.5176819999999999E-2</v>
      </c>
      <c r="L282" s="7">
        <v>0.14777664500000001</v>
      </c>
      <c r="M282" s="7">
        <v>4.8875776000000003E-2</v>
      </c>
      <c r="N282" s="7">
        <v>2.6843170999999999E-2</v>
      </c>
      <c r="O282" s="7">
        <v>4.0596733000000003E-2</v>
      </c>
      <c r="P282" s="7">
        <v>9.2547003000000003E-2</v>
      </c>
      <c r="Q282" s="7">
        <v>7.6301115000000003E-2</v>
      </c>
      <c r="R282" s="7">
        <v>0.105235405</v>
      </c>
      <c r="S282" s="7">
        <v>4.4124917E-2</v>
      </c>
      <c r="T282" s="7">
        <v>6.7310556999999993E-2</v>
      </c>
      <c r="U282" s="7">
        <v>4.7269074000000001E-2</v>
      </c>
      <c r="AB282" s="4">
        <v>0</v>
      </c>
      <c r="AC282" s="4">
        <v>0</v>
      </c>
      <c r="AD282" s="4">
        <v>0</v>
      </c>
      <c r="AE282" s="4"/>
      <c r="AF282" s="4"/>
      <c r="AG282" s="4"/>
      <c r="AH282" s="4"/>
    </row>
    <row r="283" spans="1:34" x14ac:dyDescent="0.3">
      <c r="A283" s="1">
        <v>44992</v>
      </c>
      <c r="B283" s="7">
        <v>6.9390453000000005E-2</v>
      </c>
      <c r="C283" s="7">
        <v>6.1661571999999998E-2</v>
      </c>
      <c r="D283" s="7">
        <v>0.111231286</v>
      </c>
      <c r="E283" s="7">
        <v>6.1000541999999998E-2</v>
      </c>
      <c r="F283" s="7">
        <v>0.10200514199999999</v>
      </c>
      <c r="G283" s="7">
        <v>8.0985250999999994E-2</v>
      </c>
      <c r="H283" s="7">
        <v>0.120703344</v>
      </c>
      <c r="I283" s="7">
        <v>5.5949543999999997E-2</v>
      </c>
      <c r="J283" s="7">
        <v>0.105111723</v>
      </c>
      <c r="K283" s="7">
        <v>5.5640727000000001E-2</v>
      </c>
      <c r="L283" s="7">
        <v>0.116252064</v>
      </c>
      <c r="M283" s="7">
        <v>4.6030006999999998E-2</v>
      </c>
      <c r="N283" s="7">
        <v>9.1624229000000001E-2</v>
      </c>
      <c r="O283" s="7">
        <v>2.5176819999999999E-2</v>
      </c>
      <c r="P283" s="7">
        <v>0.14777664500000001</v>
      </c>
      <c r="Q283" s="7">
        <v>4.8875776000000003E-2</v>
      </c>
      <c r="R283" s="7">
        <v>2.6843170999999999E-2</v>
      </c>
      <c r="S283" s="7">
        <v>4.0596733000000003E-2</v>
      </c>
      <c r="T283" s="7">
        <v>9.2547003000000003E-2</v>
      </c>
      <c r="U283" s="7">
        <v>7.6301115000000003E-2</v>
      </c>
      <c r="AB283" s="4">
        <v>0</v>
      </c>
      <c r="AC283" s="4">
        <v>1</v>
      </c>
      <c r="AD283" s="4">
        <v>1</v>
      </c>
      <c r="AE283" s="4"/>
      <c r="AF283" s="4"/>
      <c r="AG283" s="4"/>
      <c r="AH283" s="4"/>
    </row>
    <row r="284" spans="1:34" x14ac:dyDescent="0.3">
      <c r="A284" s="1">
        <v>44993</v>
      </c>
      <c r="B284" s="7">
        <v>4.7691905E-2</v>
      </c>
      <c r="C284" s="7">
        <v>5.6511801E-2</v>
      </c>
      <c r="D284" s="7">
        <v>9.5181696999999996E-2</v>
      </c>
      <c r="E284" s="7">
        <v>7.7510843999999995E-2</v>
      </c>
      <c r="F284" s="7">
        <v>6.9390453000000005E-2</v>
      </c>
      <c r="G284" s="7">
        <v>6.1661571999999998E-2</v>
      </c>
      <c r="H284" s="7">
        <v>0.111231286</v>
      </c>
      <c r="I284" s="7">
        <v>6.1000541999999998E-2</v>
      </c>
      <c r="J284" s="7">
        <v>0.10200514199999999</v>
      </c>
      <c r="K284" s="7">
        <v>8.0985250999999994E-2</v>
      </c>
      <c r="L284" s="7">
        <v>0.120703344</v>
      </c>
      <c r="M284" s="7">
        <v>5.5949543999999997E-2</v>
      </c>
      <c r="N284" s="7">
        <v>0.105111723</v>
      </c>
      <c r="O284" s="7">
        <v>5.5640727000000001E-2</v>
      </c>
      <c r="P284" s="7">
        <v>0.116252064</v>
      </c>
      <c r="Q284" s="7">
        <v>4.6030006999999998E-2</v>
      </c>
      <c r="R284" s="7">
        <v>9.1624229000000001E-2</v>
      </c>
      <c r="S284" s="7">
        <v>2.5176819999999999E-2</v>
      </c>
      <c r="T284" s="7">
        <v>0.14777664500000001</v>
      </c>
      <c r="U284" s="7">
        <v>4.8875776000000003E-2</v>
      </c>
      <c r="AB284" s="4">
        <v>0</v>
      </c>
      <c r="AC284" s="4">
        <v>1</v>
      </c>
      <c r="AD284" s="4">
        <v>1</v>
      </c>
      <c r="AE284" s="4"/>
      <c r="AF284" s="4"/>
      <c r="AG284" s="4"/>
      <c r="AH284" s="4"/>
    </row>
    <row r="285" spans="1:34" x14ac:dyDescent="0.3">
      <c r="A285" s="1">
        <v>44994</v>
      </c>
      <c r="B285" s="7">
        <v>0.17213117</v>
      </c>
      <c r="C285" s="7">
        <v>6.4133186999999994E-2</v>
      </c>
      <c r="D285" s="7">
        <v>0.171590468</v>
      </c>
      <c r="E285" s="7">
        <v>5.5659050000000002E-2</v>
      </c>
      <c r="F285" s="7">
        <v>4.7691905E-2</v>
      </c>
      <c r="G285" s="7">
        <v>5.6511801E-2</v>
      </c>
      <c r="H285" s="7">
        <v>9.5181696999999996E-2</v>
      </c>
      <c r="I285" s="7">
        <v>7.7510843999999995E-2</v>
      </c>
      <c r="J285" s="7">
        <v>6.9390453000000005E-2</v>
      </c>
      <c r="K285" s="7">
        <v>6.1661571999999998E-2</v>
      </c>
      <c r="L285" s="7">
        <v>0.111231286</v>
      </c>
      <c r="M285" s="7">
        <v>6.1000541999999998E-2</v>
      </c>
      <c r="N285" s="7">
        <v>0.10200514199999999</v>
      </c>
      <c r="O285" s="7">
        <v>8.0985250999999994E-2</v>
      </c>
      <c r="P285" s="7">
        <v>0.120703344</v>
      </c>
      <c r="Q285" s="7">
        <v>5.5949543999999997E-2</v>
      </c>
      <c r="R285" s="7">
        <v>0.105111723</v>
      </c>
      <c r="S285" s="7">
        <v>5.5640727000000001E-2</v>
      </c>
      <c r="T285" s="7">
        <v>0.116252064</v>
      </c>
      <c r="U285" s="7">
        <v>4.6030006999999998E-2</v>
      </c>
      <c r="AB285" s="4">
        <v>0</v>
      </c>
      <c r="AC285" s="4">
        <v>1</v>
      </c>
      <c r="AD285" s="4">
        <v>1</v>
      </c>
      <c r="AE285" s="4"/>
      <c r="AF285" s="4"/>
      <c r="AG285" s="4"/>
      <c r="AH285" s="4"/>
    </row>
    <row r="286" spans="1:34" x14ac:dyDescent="0.3">
      <c r="A286" s="1">
        <v>44995</v>
      </c>
      <c r="B286" s="7">
        <v>0.188898965</v>
      </c>
      <c r="C286" s="7">
        <v>6.7044199999999998E-2</v>
      </c>
      <c r="D286" s="7">
        <v>0.17776655799999999</v>
      </c>
      <c r="E286" s="7">
        <v>0.10539905500000001</v>
      </c>
      <c r="F286" s="7">
        <v>0.17213117</v>
      </c>
      <c r="G286" s="7">
        <v>6.4133186999999994E-2</v>
      </c>
      <c r="H286" s="7">
        <v>0.171590468</v>
      </c>
      <c r="I286" s="7">
        <v>5.5659050000000002E-2</v>
      </c>
      <c r="J286" s="7">
        <v>4.7691905E-2</v>
      </c>
      <c r="K286" s="7">
        <v>5.6511801E-2</v>
      </c>
      <c r="L286" s="7">
        <v>9.5181696999999996E-2</v>
      </c>
      <c r="M286" s="7">
        <v>7.7510843999999995E-2</v>
      </c>
      <c r="N286" s="7">
        <v>6.9390453000000005E-2</v>
      </c>
      <c r="O286" s="7">
        <v>6.1661571999999998E-2</v>
      </c>
      <c r="P286" s="7">
        <v>0.111231286</v>
      </c>
      <c r="Q286" s="7">
        <v>6.1000541999999998E-2</v>
      </c>
      <c r="R286" s="7">
        <v>0.10200514199999999</v>
      </c>
      <c r="S286" s="7">
        <v>8.0985250999999994E-2</v>
      </c>
      <c r="T286" s="7">
        <v>0.120703344</v>
      </c>
      <c r="U286" s="7">
        <v>5.5949543999999997E-2</v>
      </c>
      <c r="AB286" s="4">
        <v>0</v>
      </c>
      <c r="AC286" s="4">
        <v>0</v>
      </c>
      <c r="AD286" s="4">
        <v>0</v>
      </c>
      <c r="AE286" s="4"/>
      <c r="AF286" s="4"/>
      <c r="AG286" s="4"/>
      <c r="AH286" s="4"/>
    </row>
    <row r="287" spans="1:34" x14ac:dyDescent="0.3">
      <c r="A287" s="1">
        <v>44998</v>
      </c>
      <c r="B287" s="7">
        <v>0.17720796</v>
      </c>
      <c r="C287" s="7">
        <v>9.7320377999999999E-2</v>
      </c>
      <c r="D287" s="7">
        <v>0.36896240800000002</v>
      </c>
      <c r="E287" s="7">
        <v>0.180082029</v>
      </c>
      <c r="F287" s="7">
        <v>0.188898965</v>
      </c>
      <c r="G287" s="7">
        <v>6.7044199999999998E-2</v>
      </c>
      <c r="H287" s="7">
        <v>0.17776655799999999</v>
      </c>
      <c r="I287" s="7">
        <v>0.10539905500000001</v>
      </c>
      <c r="J287" s="7">
        <v>0.17213117</v>
      </c>
      <c r="K287" s="7">
        <v>6.4133186999999994E-2</v>
      </c>
      <c r="L287" s="7">
        <v>0.171590468</v>
      </c>
      <c r="M287" s="7">
        <v>5.5659050000000002E-2</v>
      </c>
      <c r="N287" s="7">
        <v>4.7691905E-2</v>
      </c>
      <c r="O287" s="7">
        <v>5.6511801E-2</v>
      </c>
      <c r="P287" s="7">
        <v>9.5181696999999996E-2</v>
      </c>
      <c r="Q287" s="7">
        <v>7.7510843999999995E-2</v>
      </c>
      <c r="R287" s="7">
        <v>6.9390453000000005E-2</v>
      </c>
      <c r="S287" s="7">
        <v>6.1661571999999998E-2</v>
      </c>
      <c r="T287" s="7">
        <v>0.111231286</v>
      </c>
      <c r="U287" s="7">
        <v>6.1000541999999998E-2</v>
      </c>
      <c r="AB287" s="4">
        <v>0</v>
      </c>
      <c r="AC287" s="4">
        <v>0</v>
      </c>
      <c r="AD287" s="4">
        <v>0</v>
      </c>
      <c r="AE287" s="4"/>
      <c r="AF287" s="4"/>
      <c r="AG287" s="4"/>
      <c r="AH287" s="4"/>
    </row>
    <row r="288" spans="1:34" x14ac:dyDescent="0.3">
      <c r="A288" s="1">
        <v>44999</v>
      </c>
      <c r="B288" s="7">
        <v>0.34356709099999999</v>
      </c>
      <c r="C288" s="7">
        <v>0.123316854</v>
      </c>
      <c r="D288" s="7">
        <v>0.357268857</v>
      </c>
      <c r="E288" s="7">
        <v>0.22922791000000001</v>
      </c>
      <c r="F288" s="7">
        <v>0.17720796</v>
      </c>
      <c r="G288" s="7">
        <v>9.7320377999999999E-2</v>
      </c>
      <c r="H288" s="7">
        <v>0.36896240800000002</v>
      </c>
      <c r="I288" s="7">
        <v>0.180082029</v>
      </c>
      <c r="J288" s="7">
        <v>0.188898965</v>
      </c>
      <c r="K288" s="7">
        <v>6.7044199999999998E-2</v>
      </c>
      <c r="L288" s="7">
        <v>0.17776655799999999</v>
      </c>
      <c r="M288" s="7">
        <v>0.10539905500000001</v>
      </c>
      <c r="N288" s="7">
        <v>0.17213117</v>
      </c>
      <c r="O288" s="7">
        <v>6.4133186999999994E-2</v>
      </c>
      <c r="P288" s="7">
        <v>0.171590468</v>
      </c>
      <c r="Q288" s="7">
        <v>5.5659050000000002E-2</v>
      </c>
      <c r="R288" s="7">
        <v>4.7691905E-2</v>
      </c>
      <c r="S288" s="7">
        <v>5.6511801E-2</v>
      </c>
      <c r="T288" s="7">
        <v>9.5181696999999996E-2</v>
      </c>
      <c r="U288" s="7">
        <v>7.7510843999999995E-2</v>
      </c>
      <c r="AB288" s="4">
        <v>0</v>
      </c>
      <c r="AC288" s="4">
        <v>0</v>
      </c>
      <c r="AD288" s="4">
        <v>0</v>
      </c>
      <c r="AE288" s="4"/>
      <c r="AF288" s="4"/>
      <c r="AG288" s="4"/>
      <c r="AH288" s="4"/>
    </row>
    <row r="289" spans="1:34" x14ac:dyDescent="0.3">
      <c r="A289" s="1">
        <v>45000</v>
      </c>
      <c r="B289" s="7">
        <v>4.1235427999999998E-2</v>
      </c>
      <c r="C289" s="7">
        <v>4.2171071999999997E-2</v>
      </c>
      <c r="D289" s="7">
        <v>3.4206523000000003E-2</v>
      </c>
      <c r="E289" s="7">
        <v>4.6779348999999998E-2</v>
      </c>
      <c r="F289" s="7">
        <v>0.34356709099999999</v>
      </c>
      <c r="G289" s="7">
        <v>0.123316854</v>
      </c>
      <c r="H289" s="7">
        <v>0.357268857</v>
      </c>
      <c r="I289" s="7">
        <v>0.22922791000000001</v>
      </c>
      <c r="J289" s="7">
        <v>0.17720796</v>
      </c>
      <c r="K289" s="7">
        <v>9.7320377999999999E-2</v>
      </c>
      <c r="L289" s="7">
        <v>0.36896240800000002</v>
      </c>
      <c r="M289" s="7">
        <v>0.180082029</v>
      </c>
      <c r="N289" s="7">
        <v>0.188898965</v>
      </c>
      <c r="O289" s="7">
        <v>6.7044199999999998E-2</v>
      </c>
      <c r="P289" s="7">
        <v>0.17776655799999999</v>
      </c>
      <c r="Q289" s="7">
        <v>0.10539905500000001</v>
      </c>
      <c r="R289" s="7">
        <v>0.17213117</v>
      </c>
      <c r="S289" s="7">
        <v>6.4133186999999994E-2</v>
      </c>
      <c r="T289" s="7">
        <v>0.171590468</v>
      </c>
      <c r="U289" s="7">
        <v>5.5659050000000002E-2</v>
      </c>
      <c r="AB289" s="4">
        <v>1</v>
      </c>
      <c r="AC289" s="4">
        <v>0</v>
      </c>
      <c r="AD289" s="4">
        <v>1</v>
      </c>
      <c r="AE289" s="4"/>
      <c r="AF289" s="4"/>
      <c r="AG289" s="4"/>
      <c r="AH289" s="4"/>
    </row>
    <row r="290" spans="1:34" x14ac:dyDescent="0.3">
      <c r="A290" s="1">
        <v>45001</v>
      </c>
      <c r="B290" s="7">
        <v>8.0403319000000001E-2</v>
      </c>
      <c r="C290" s="7">
        <v>3.4862228000000002E-2</v>
      </c>
      <c r="D290" s="7">
        <v>0.121124959</v>
      </c>
      <c r="E290" s="7">
        <v>6.3943363000000003E-2</v>
      </c>
      <c r="F290" s="7">
        <v>4.1235427999999998E-2</v>
      </c>
      <c r="G290" s="7">
        <v>4.2171071999999997E-2</v>
      </c>
      <c r="H290" s="7">
        <v>3.4206523000000003E-2</v>
      </c>
      <c r="I290" s="7">
        <v>4.6779348999999998E-2</v>
      </c>
      <c r="J290" s="7">
        <v>0.34356709099999999</v>
      </c>
      <c r="K290" s="7">
        <v>0.123316854</v>
      </c>
      <c r="L290" s="7">
        <v>0.357268857</v>
      </c>
      <c r="M290" s="7">
        <v>0.22922791000000001</v>
      </c>
      <c r="N290" s="7">
        <v>0.17720796</v>
      </c>
      <c r="O290" s="7">
        <v>9.7320377999999999E-2</v>
      </c>
      <c r="P290" s="7">
        <v>0.36896240800000002</v>
      </c>
      <c r="Q290" s="7">
        <v>0.180082029</v>
      </c>
      <c r="R290" s="7">
        <v>0.188898965</v>
      </c>
      <c r="S290" s="7">
        <v>6.7044199999999998E-2</v>
      </c>
      <c r="T290" s="7">
        <v>0.17776655799999999</v>
      </c>
      <c r="U290" s="7">
        <v>0.10539905500000001</v>
      </c>
      <c r="AB290" s="4">
        <v>1</v>
      </c>
      <c r="AC290" s="4">
        <v>0</v>
      </c>
      <c r="AD290" s="4">
        <v>1</v>
      </c>
      <c r="AE290" s="4"/>
      <c r="AF290" s="4"/>
      <c r="AG290" s="4"/>
      <c r="AH290" s="4"/>
    </row>
    <row r="291" spans="1:34" x14ac:dyDescent="0.3">
      <c r="A291" s="1">
        <v>45002</v>
      </c>
      <c r="B291" s="7">
        <v>3.4820377E-2</v>
      </c>
      <c r="C291" s="7">
        <v>3.3383018E-2</v>
      </c>
      <c r="D291" s="7">
        <v>0.103542364</v>
      </c>
      <c r="E291" s="7">
        <v>4.046189E-2</v>
      </c>
      <c r="F291" s="7">
        <v>8.0403319000000001E-2</v>
      </c>
      <c r="G291" s="7">
        <v>3.4862228000000002E-2</v>
      </c>
      <c r="H291" s="7">
        <v>0.121124959</v>
      </c>
      <c r="I291" s="7">
        <v>6.3943363000000003E-2</v>
      </c>
      <c r="J291" s="7">
        <v>4.1235427999999998E-2</v>
      </c>
      <c r="K291" s="7">
        <v>4.2171071999999997E-2</v>
      </c>
      <c r="L291" s="7">
        <v>3.4206523000000003E-2</v>
      </c>
      <c r="M291" s="7">
        <v>4.6779348999999998E-2</v>
      </c>
      <c r="N291" s="7">
        <v>0.34356709099999999</v>
      </c>
      <c r="O291" s="7">
        <v>0.123316854</v>
      </c>
      <c r="P291" s="7">
        <v>0.357268857</v>
      </c>
      <c r="Q291" s="7">
        <v>0.22922791000000001</v>
      </c>
      <c r="R291" s="7">
        <v>0.17720796</v>
      </c>
      <c r="S291" s="7">
        <v>9.7320377999999999E-2</v>
      </c>
      <c r="T291" s="7">
        <v>0.36896240800000002</v>
      </c>
      <c r="U291" s="7">
        <v>0.180082029</v>
      </c>
      <c r="AB291" s="4">
        <v>1</v>
      </c>
      <c r="AC291" s="4">
        <v>0</v>
      </c>
      <c r="AD291" s="4">
        <v>1</v>
      </c>
      <c r="AE291" s="4"/>
      <c r="AF291" s="4"/>
      <c r="AG291" s="4"/>
      <c r="AH291" s="4"/>
    </row>
    <row r="292" spans="1:34" x14ac:dyDescent="0.3">
      <c r="A292" s="1">
        <v>45005</v>
      </c>
      <c r="B292" s="7">
        <v>4.9997610999999997E-2</v>
      </c>
      <c r="C292" s="7">
        <v>3.3149929000000002E-2</v>
      </c>
      <c r="D292" s="7">
        <v>7.6982033000000005E-2</v>
      </c>
      <c r="E292" s="7">
        <v>4.3536983000000001E-2</v>
      </c>
      <c r="F292" s="7">
        <v>3.4820377E-2</v>
      </c>
      <c r="G292" s="7">
        <v>3.3383018E-2</v>
      </c>
      <c r="H292" s="7">
        <v>0.103542364</v>
      </c>
      <c r="I292" s="7">
        <v>4.046189E-2</v>
      </c>
      <c r="J292" s="7">
        <v>8.0403319000000001E-2</v>
      </c>
      <c r="K292" s="7">
        <v>3.4862228000000002E-2</v>
      </c>
      <c r="L292" s="7">
        <v>0.121124959</v>
      </c>
      <c r="M292" s="7">
        <v>6.3943363000000003E-2</v>
      </c>
      <c r="N292" s="7">
        <v>4.1235427999999998E-2</v>
      </c>
      <c r="O292" s="7">
        <v>4.2171071999999997E-2</v>
      </c>
      <c r="P292" s="7">
        <v>3.4206523000000003E-2</v>
      </c>
      <c r="Q292" s="7">
        <v>4.6779348999999998E-2</v>
      </c>
      <c r="R292" s="7">
        <v>0.34356709099999999</v>
      </c>
      <c r="S292" s="7">
        <v>0.123316854</v>
      </c>
      <c r="T292" s="7">
        <v>0.357268857</v>
      </c>
      <c r="U292" s="7">
        <v>0.22922791000000001</v>
      </c>
      <c r="AB292" s="4">
        <v>1</v>
      </c>
      <c r="AC292" s="4">
        <v>0</v>
      </c>
      <c r="AD292" s="4">
        <v>1</v>
      </c>
      <c r="AE292" s="4"/>
      <c r="AF292" s="4"/>
      <c r="AG292" s="4"/>
      <c r="AH292" s="4"/>
    </row>
    <row r="293" spans="1:34" x14ac:dyDescent="0.3">
      <c r="A293" s="1">
        <v>45006</v>
      </c>
      <c r="B293" s="7">
        <v>2.0912552000000001E-2</v>
      </c>
      <c r="C293" s="7">
        <v>2.8771165000000001E-2</v>
      </c>
      <c r="D293" s="7">
        <v>6.9041775E-2</v>
      </c>
      <c r="E293" s="7">
        <v>4.3749859000000002E-2</v>
      </c>
      <c r="F293" s="7">
        <v>4.9997610999999997E-2</v>
      </c>
      <c r="G293" s="7">
        <v>3.3149929000000002E-2</v>
      </c>
      <c r="H293" s="7">
        <v>7.6982033000000005E-2</v>
      </c>
      <c r="I293" s="7">
        <v>4.3536983000000001E-2</v>
      </c>
      <c r="J293" s="7">
        <v>3.4820377E-2</v>
      </c>
      <c r="K293" s="7">
        <v>3.3383018E-2</v>
      </c>
      <c r="L293" s="7">
        <v>0.103542364</v>
      </c>
      <c r="M293" s="7">
        <v>4.046189E-2</v>
      </c>
      <c r="N293" s="7">
        <v>8.0403319000000001E-2</v>
      </c>
      <c r="O293" s="7">
        <v>3.4862228000000002E-2</v>
      </c>
      <c r="P293" s="7">
        <v>0.121124959</v>
      </c>
      <c r="Q293" s="7">
        <v>6.3943363000000003E-2</v>
      </c>
      <c r="R293" s="7">
        <v>4.1235427999999998E-2</v>
      </c>
      <c r="S293" s="7">
        <v>4.2171071999999997E-2</v>
      </c>
      <c r="T293" s="7">
        <v>3.4206523000000003E-2</v>
      </c>
      <c r="U293" s="7">
        <v>4.6779348999999998E-2</v>
      </c>
      <c r="AB293" s="4">
        <v>0</v>
      </c>
      <c r="AC293" s="4">
        <v>0</v>
      </c>
      <c r="AD293" s="4">
        <v>0</v>
      </c>
      <c r="AE293" s="4"/>
      <c r="AF293" s="4"/>
      <c r="AG293" s="4"/>
      <c r="AH293" s="4"/>
    </row>
    <row r="294" spans="1:34" x14ac:dyDescent="0.3">
      <c r="A294" s="1">
        <v>45007</v>
      </c>
      <c r="B294" s="7">
        <v>1.8000421999999999E-2</v>
      </c>
      <c r="C294" s="7">
        <v>3.6607720000000003E-2</v>
      </c>
      <c r="D294" s="7">
        <v>6.5140511999999998E-2</v>
      </c>
      <c r="E294" s="7">
        <v>5.3432819999999999E-2</v>
      </c>
      <c r="F294" s="7">
        <v>2.0912552000000001E-2</v>
      </c>
      <c r="G294" s="7">
        <v>2.8771165000000001E-2</v>
      </c>
      <c r="H294" s="7">
        <v>6.9041775E-2</v>
      </c>
      <c r="I294" s="7">
        <v>4.3749859000000002E-2</v>
      </c>
      <c r="J294" s="7">
        <v>4.9997610999999997E-2</v>
      </c>
      <c r="K294" s="7">
        <v>3.3149929000000002E-2</v>
      </c>
      <c r="L294" s="7">
        <v>7.6982033000000005E-2</v>
      </c>
      <c r="M294" s="7">
        <v>4.3536983000000001E-2</v>
      </c>
      <c r="N294" s="7">
        <v>3.4820377E-2</v>
      </c>
      <c r="O294" s="7">
        <v>3.3383018E-2</v>
      </c>
      <c r="P294" s="7">
        <v>0.103542364</v>
      </c>
      <c r="Q294" s="7">
        <v>4.046189E-2</v>
      </c>
      <c r="R294" s="7">
        <v>8.0403319000000001E-2</v>
      </c>
      <c r="S294" s="7">
        <v>3.4862228000000002E-2</v>
      </c>
      <c r="T294" s="7">
        <v>0.121124959</v>
      </c>
      <c r="U294" s="7">
        <v>6.3943363000000003E-2</v>
      </c>
      <c r="AB294" s="4">
        <v>0</v>
      </c>
      <c r="AC294" s="4">
        <v>0</v>
      </c>
      <c r="AD294" s="4">
        <v>0</v>
      </c>
      <c r="AE294" s="4"/>
      <c r="AF294" s="4"/>
      <c r="AG294" s="4"/>
      <c r="AH294" s="4"/>
    </row>
    <row r="295" spans="1:34" x14ac:dyDescent="0.3">
      <c r="A295" s="1">
        <v>45008</v>
      </c>
      <c r="B295" s="7">
        <v>6.8292318000000005E-2</v>
      </c>
      <c r="C295" s="7">
        <v>4.2176549000000001E-2</v>
      </c>
      <c r="D295" s="7">
        <v>0.11947521699999999</v>
      </c>
      <c r="E295" s="7">
        <v>4.6700419E-2</v>
      </c>
      <c r="F295" s="7">
        <v>1.8000421999999999E-2</v>
      </c>
      <c r="G295" s="7">
        <v>3.6607720000000003E-2</v>
      </c>
      <c r="H295" s="7">
        <v>6.5140511999999998E-2</v>
      </c>
      <c r="I295" s="7">
        <v>5.3432819999999999E-2</v>
      </c>
      <c r="J295" s="7">
        <v>2.0912552000000001E-2</v>
      </c>
      <c r="K295" s="7">
        <v>2.8771165000000001E-2</v>
      </c>
      <c r="L295" s="7">
        <v>6.9041775E-2</v>
      </c>
      <c r="M295" s="7">
        <v>4.3749859000000002E-2</v>
      </c>
      <c r="N295" s="7">
        <v>4.9997610999999997E-2</v>
      </c>
      <c r="O295" s="7">
        <v>3.3149929000000002E-2</v>
      </c>
      <c r="P295" s="7">
        <v>7.6982033000000005E-2</v>
      </c>
      <c r="Q295" s="7">
        <v>4.3536983000000001E-2</v>
      </c>
      <c r="R295" s="7">
        <v>3.4820377E-2</v>
      </c>
      <c r="S295" s="7">
        <v>3.3383018E-2</v>
      </c>
      <c r="T295" s="7">
        <v>0.103542364</v>
      </c>
      <c r="U295" s="7">
        <v>4.046189E-2</v>
      </c>
      <c r="AB295" s="4">
        <v>0</v>
      </c>
      <c r="AC295" s="4">
        <v>0</v>
      </c>
      <c r="AD295" s="4">
        <v>0</v>
      </c>
      <c r="AE295" s="4"/>
      <c r="AF295" s="4"/>
      <c r="AG295" s="4"/>
      <c r="AH295" s="4"/>
    </row>
    <row r="296" spans="1:34" x14ac:dyDescent="0.3">
      <c r="A296" s="1">
        <v>45009</v>
      </c>
      <c r="B296" s="7">
        <v>6.8059779000000001E-2</v>
      </c>
      <c r="C296" s="7">
        <v>3.0529067E-2</v>
      </c>
      <c r="D296" s="7">
        <v>9.6522079999999996E-2</v>
      </c>
      <c r="E296" s="7">
        <v>4.9736306000000001E-2</v>
      </c>
      <c r="F296" s="7">
        <v>6.8292318000000005E-2</v>
      </c>
      <c r="G296" s="7">
        <v>4.2176549000000001E-2</v>
      </c>
      <c r="H296" s="7">
        <v>0.11947521699999999</v>
      </c>
      <c r="I296" s="7">
        <v>4.6700419E-2</v>
      </c>
      <c r="J296" s="7">
        <v>1.8000421999999999E-2</v>
      </c>
      <c r="K296" s="7">
        <v>3.6607720000000003E-2</v>
      </c>
      <c r="L296" s="7">
        <v>6.5140511999999998E-2</v>
      </c>
      <c r="M296" s="7">
        <v>5.3432819999999999E-2</v>
      </c>
      <c r="N296" s="7">
        <v>2.0912552000000001E-2</v>
      </c>
      <c r="O296" s="7">
        <v>2.8771165000000001E-2</v>
      </c>
      <c r="P296" s="7">
        <v>6.9041775E-2</v>
      </c>
      <c r="Q296" s="7">
        <v>4.3749859000000002E-2</v>
      </c>
      <c r="R296" s="7">
        <v>4.9997610999999997E-2</v>
      </c>
      <c r="S296" s="7">
        <v>3.3149929000000002E-2</v>
      </c>
      <c r="T296" s="7">
        <v>7.6982033000000005E-2</v>
      </c>
      <c r="U296" s="7">
        <v>4.3536983000000001E-2</v>
      </c>
      <c r="AB296" s="4">
        <v>0</v>
      </c>
      <c r="AC296" s="4">
        <v>0</v>
      </c>
      <c r="AD296" s="4">
        <v>0</v>
      </c>
      <c r="AE296" s="4"/>
      <c r="AF296" s="4"/>
      <c r="AG296" s="4"/>
      <c r="AH296" s="4"/>
    </row>
    <row r="297" spans="1:34" x14ac:dyDescent="0.3">
      <c r="A297" s="1">
        <v>45012</v>
      </c>
      <c r="B297" s="7">
        <v>6.7957654000000006E-2</v>
      </c>
      <c r="C297" s="7">
        <v>2.7488032999999999E-2</v>
      </c>
      <c r="D297" s="7">
        <v>6.9512244000000001E-2</v>
      </c>
      <c r="E297" s="7">
        <v>3.2597081E-2</v>
      </c>
      <c r="F297" s="7">
        <v>6.8059779000000001E-2</v>
      </c>
      <c r="G297" s="7">
        <v>3.0529067E-2</v>
      </c>
      <c r="H297" s="7">
        <v>9.6522079999999996E-2</v>
      </c>
      <c r="I297" s="7">
        <v>4.9736306000000001E-2</v>
      </c>
      <c r="J297" s="7">
        <v>6.8292318000000005E-2</v>
      </c>
      <c r="K297" s="7">
        <v>4.2176549000000001E-2</v>
      </c>
      <c r="L297" s="7">
        <v>0.11947521699999999</v>
      </c>
      <c r="M297" s="7">
        <v>4.6700419E-2</v>
      </c>
      <c r="N297" s="7">
        <v>1.8000421999999999E-2</v>
      </c>
      <c r="O297" s="7">
        <v>3.6607720000000003E-2</v>
      </c>
      <c r="P297" s="7">
        <v>6.5140511999999998E-2</v>
      </c>
      <c r="Q297" s="7">
        <v>5.3432819999999999E-2</v>
      </c>
      <c r="R297" s="7">
        <v>2.0912552000000001E-2</v>
      </c>
      <c r="S297" s="7">
        <v>2.8771165000000001E-2</v>
      </c>
      <c r="T297" s="7">
        <v>6.9041775E-2</v>
      </c>
      <c r="U297" s="7">
        <v>4.3749859000000002E-2</v>
      </c>
      <c r="AB297" s="4">
        <v>0</v>
      </c>
      <c r="AC297" s="4">
        <v>0</v>
      </c>
      <c r="AD297" s="4">
        <v>0</v>
      </c>
      <c r="AE297" s="4"/>
      <c r="AF297" s="4"/>
      <c r="AG297" s="4"/>
      <c r="AH297" s="4"/>
    </row>
    <row r="298" spans="1:34" x14ac:dyDescent="0.3">
      <c r="A298" s="1">
        <v>45013</v>
      </c>
      <c r="B298" s="7">
        <v>5.5177289999999997E-2</v>
      </c>
      <c r="C298" s="7">
        <v>2.6565760000000001E-2</v>
      </c>
      <c r="D298" s="7">
        <v>4.8521679999999998E-2</v>
      </c>
      <c r="E298" s="7">
        <v>4.2520135000000001E-2</v>
      </c>
      <c r="F298" s="7">
        <v>6.7957654000000006E-2</v>
      </c>
      <c r="G298" s="7">
        <v>2.7488032999999999E-2</v>
      </c>
      <c r="H298" s="7">
        <v>6.9512244000000001E-2</v>
      </c>
      <c r="I298" s="7">
        <v>3.2597081E-2</v>
      </c>
      <c r="J298" s="7">
        <v>6.8059779000000001E-2</v>
      </c>
      <c r="K298" s="7">
        <v>3.0529067E-2</v>
      </c>
      <c r="L298" s="7">
        <v>9.6522079999999996E-2</v>
      </c>
      <c r="M298" s="7">
        <v>4.9736306000000001E-2</v>
      </c>
      <c r="N298" s="7">
        <v>6.8292318000000005E-2</v>
      </c>
      <c r="O298" s="7">
        <v>4.2176549000000001E-2</v>
      </c>
      <c r="P298" s="7">
        <v>0.11947521699999999</v>
      </c>
      <c r="Q298" s="7">
        <v>4.6700419E-2</v>
      </c>
      <c r="R298" s="7">
        <v>1.8000421999999999E-2</v>
      </c>
      <c r="S298" s="7">
        <v>3.6607720000000003E-2</v>
      </c>
      <c r="T298" s="7">
        <v>6.5140511999999998E-2</v>
      </c>
      <c r="U298" s="7">
        <v>5.3432819999999999E-2</v>
      </c>
      <c r="AB298" s="4">
        <v>0</v>
      </c>
      <c r="AC298" s="4">
        <v>0</v>
      </c>
      <c r="AD298" s="4">
        <v>0</v>
      </c>
      <c r="AE298" s="4"/>
      <c r="AF298" s="4"/>
      <c r="AG298" s="4"/>
      <c r="AH298" s="4"/>
    </row>
    <row r="299" spans="1:34" x14ac:dyDescent="0.3">
      <c r="A299" s="1">
        <v>45014</v>
      </c>
      <c r="B299" s="7">
        <v>2.1569079000000001E-2</v>
      </c>
      <c r="C299" s="7">
        <v>3.212926E-2</v>
      </c>
      <c r="D299" s="7">
        <v>4.8719989999999998E-2</v>
      </c>
      <c r="E299" s="7">
        <v>4.5315691999999998E-2</v>
      </c>
      <c r="F299" s="7">
        <v>5.5177289999999997E-2</v>
      </c>
      <c r="G299" s="7">
        <v>2.6565760000000001E-2</v>
      </c>
      <c r="H299" s="7">
        <v>4.8521679999999998E-2</v>
      </c>
      <c r="I299" s="7">
        <v>4.2520135000000001E-2</v>
      </c>
      <c r="J299" s="7">
        <v>6.7957654000000006E-2</v>
      </c>
      <c r="K299" s="7">
        <v>2.7488032999999999E-2</v>
      </c>
      <c r="L299" s="7">
        <v>6.9512244000000001E-2</v>
      </c>
      <c r="M299" s="7">
        <v>3.2597081E-2</v>
      </c>
      <c r="N299" s="7">
        <v>6.8059779000000001E-2</v>
      </c>
      <c r="O299" s="7">
        <v>3.0529067E-2</v>
      </c>
      <c r="P299" s="7">
        <v>9.6522079999999996E-2</v>
      </c>
      <c r="Q299" s="7">
        <v>4.9736306000000001E-2</v>
      </c>
      <c r="R299" s="7">
        <v>6.8292318000000005E-2</v>
      </c>
      <c r="S299" s="7">
        <v>4.2176549000000001E-2</v>
      </c>
      <c r="T299" s="7">
        <v>0.11947521699999999</v>
      </c>
      <c r="U299" s="7">
        <v>4.6700419E-2</v>
      </c>
      <c r="AB299" s="4">
        <v>0</v>
      </c>
      <c r="AC299" s="4">
        <v>0</v>
      </c>
      <c r="AD299" s="4">
        <v>0</v>
      </c>
      <c r="AE299" s="4"/>
      <c r="AF299" s="4"/>
      <c r="AG299" s="4"/>
      <c r="AH299" s="4"/>
    </row>
    <row r="300" spans="1:34" x14ac:dyDescent="0.3">
      <c r="A300" s="1">
        <v>45015</v>
      </c>
      <c r="B300" s="7">
        <v>7.1968165000000001E-2</v>
      </c>
      <c r="C300" s="7">
        <v>2.488959E-2</v>
      </c>
      <c r="D300" s="7">
        <v>0.110867365</v>
      </c>
      <c r="E300" s="7">
        <v>3.7372558E-2</v>
      </c>
      <c r="F300" s="7">
        <v>2.1569079000000001E-2</v>
      </c>
      <c r="G300" s="7">
        <v>3.212926E-2</v>
      </c>
      <c r="H300" s="7">
        <v>4.8719989999999998E-2</v>
      </c>
      <c r="I300" s="7">
        <v>4.5315691999999998E-2</v>
      </c>
      <c r="J300" s="7">
        <v>5.5177289999999997E-2</v>
      </c>
      <c r="K300" s="7">
        <v>2.6565760000000001E-2</v>
      </c>
      <c r="L300" s="7">
        <v>4.8521679999999998E-2</v>
      </c>
      <c r="M300" s="7">
        <v>4.2520135000000001E-2</v>
      </c>
      <c r="N300" s="7">
        <v>6.7957654000000006E-2</v>
      </c>
      <c r="O300" s="7">
        <v>2.7488032999999999E-2</v>
      </c>
      <c r="P300" s="7">
        <v>6.9512244000000001E-2</v>
      </c>
      <c r="Q300" s="7">
        <v>3.2597081E-2</v>
      </c>
      <c r="R300" s="7">
        <v>6.8059779000000001E-2</v>
      </c>
      <c r="S300" s="7">
        <v>3.0529067E-2</v>
      </c>
      <c r="T300" s="7">
        <v>9.6522079999999996E-2</v>
      </c>
      <c r="U300" s="7">
        <v>4.9736306000000001E-2</v>
      </c>
      <c r="AB300" s="4">
        <v>0</v>
      </c>
      <c r="AC300" s="4">
        <v>0</v>
      </c>
      <c r="AD300" s="4">
        <v>0</v>
      </c>
      <c r="AE300" s="4"/>
      <c r="AF300" s="4"/>
      <c r="AG300" s="4"/>
      <c r="AH300" s="4"/>
    </row>
    <row r="301" spans="1:34" x14ac:dyDescent="0.3">
      <c r="A301" s="1">
        <v>45016</v>
      </c>
      <c r="B301" s="7">
        <v>8.7982273999999999E-2</v>
      </c>
      <c r="C301" s="7">
        <v>3.3227708000000002E-2</v>
      </c>
      <c r="D301" s="7">
        <v>8.9931387000000002E-2</v>
      </c>
      <c r="E301" s="7">
        <v>4.2283488000000001E-2</v>
      </c>
      <c r="F301" s="7">
        <v>7.1968165000000001E-2</v>
      </c>
      <c r="G301" s="7">
        <v>2.488959E-2</v>
      </c>
      <c r="H301" s="7">
        <v>0.110867365</v>
      </c>
      <c r="I301" s="7">
        <v>3.7372558E-2</v>
      </c>
      <c r="J301" s="7">
        <v>2.1569079000000001E-2</v>
      </c>
      <c r="K301" s="7">
        <v>3.212926E-2</v>
      </c>
      <c r="L301" s="7">
        <v>4.8719989999999998E-2</v>
      </c>
      <c r="M301" s="7">
        <v>4.5315691999999998E-2</v>
      </c>
      <c r="N301" s="7">
        <v>5.5177289999999997E-2</v>
      </c>
      <c r="O301" s="7">
        <v>2.6565760000000001E-2</v>
      </c>
      <c r="P301" s="7">
        <v>4.8521679999999998E-2</v>
      </c>
      <c r="Q301" s="7">
        <v>4.2520135000000001E-2</v>
      </c>
      <c r="R301" s="7">
        <v>6.7957654000000006E-2</v>
      </c>
      <c r="S301" s="7">
        <v>2.7488032999999999E-2</v>
      </c>
      <c r="T301" s="7">
        <v>6.9512244000000001E-2</v>
      </c>
      <c r="U301" s="7">
        <v>3.2597081E-2</v>
      </c>
      <c r="AB301" s="4">
        <v>0</v>
      </c>
      <c r="AC301" s="4">
        <v>0</v>
      </c>
      <c r="AD301" s="4">
        <v>0</v>
      </c>
      <c r="AE301" s="4"/>
      <c r="AF301" s="4"/>
      <c r="AG301" s="4"/>
      <c r="AH301" s="4"/>
    </row>
    <row r="302" spans="1:34" x14ac:dyDescent="0.3">
      <c r="A302" s="1">
        <v>45022</v>
      </c>
      <c r="B302" s="7">
        <v>5.5265881000000003E-2</v>
      </c>
      <c r="C302" s="7">
        <v>5.1756781000000002E-2</v>
      </c>
      <c r="D302" s="7">
        <v>7.3793128E-2</v>
      </c>
      <c r="E302" s="7">
        <v>6.6560462000000001E-2</v>
      </c>
      <c r="F302" s="7">
        <v>8.7982273999999999E-2</v>
      </c>
      <c r="G302" s="7">
        <v>3.3227708000000002E-2</v>
      </c>
      <c r="H302" s="7">
        <v>8.9931387000000002E-2</v>
      </c>
      <c r="I302" s="7">
        <v>4.2283488000000001E-2</v>
      </c>
      <c r="J302" s="7">
        <v>7.1968165000000001E-2</v>
      </c>
      <c r="K302" s="7">
        <v>2.488959E-2</v>
      </c>
      <c r="L302" s="7">
        <v>0.110867365</v>
      </c>
      <c r="M302" s="7">
        <v>3.7372558E-2</v>
      </c>
      <c r="N302" s="7">
        <v>2.1569079000000001E-2</v>
      </c>
      <c r="O302" s="7">
        <v>3.212926E-2</v>
      </c>
      <c r="P302" s="7">
        <v>4.8719989999999998E-2</v>
      </c>
      <c r="Q302" s="7">
        <v>4.5315691999999998E-2</v>
      </c>
      <c r="R302" s="7">
        <v>5.5177289999999997E-2</v>
      </c>
      <c r="S302" s="7">
        <v>2.6565760000000001E-2</v>
      </c>
      <c r="T302" s="7">
        <v>4.8521679999999998E-2</v>
      </c>
      <c r="U302" s="7">
        <v>4.2520135000000001E-2</v>
      </c>
      <c r="AB302" s="4">
        <v>0</v>
      </c>
      <c r="AC302" s="4">
        <v>0</v>
      </c>
      <c r="AD302" s="4">
        <v>0</v>
      </c>
      <c r="AE302" s="4"/>
      <c r="AF302" s="4"/>
      <c r="AG302" s="4"/>
      <c r="AH302" s="4"/>
    </row>
    <row r="303" spans="1:34" x14ac:dyDescent="0.3">
      <c r="A303" s="1">
        <v>45023</v>
      </c>
      <c r="B303" s="7">
        <v>8.5596474000000006E-2</v>
      </c>
      <c r="C303" s="7">
        <v>3.2803705000000002E-2</v>
      </c>
      <c r="D303" s="7">
        <v>0.115860161</v>
      </c>
      <c r="E303" s="7">
        <v>4.4251503999999997E-2</v>
      </c>
      <c r="F303" s="7">
        <v>5.5265881000000003E-2</v>
      </c>
      <c r="G303" s="7">
        <v>5.1756781000000002E-2</v>
      </c>
      <c r="H303" s="7">
        <v>7.3793128E-2</v>
      </c>
      <c r="I303" s="7">
        <v>6.6560462000000001E-2</v>
      </c>
      <c r="J303" s="7">
        <v>8.7982273999999999E-2</v>
      </c>
      <c r="K303" s="7">
        <v>3.3227708000000002E-2</v>
      </c>
      <c r="L303" s="7">
        <v>8.9931387000000002E-2</v>
      </c>
      <c r="M303" s="7">
        <v>4.2283488000000001E-2</v>
      </c>
      <c r="N303" s="7">
        <v>7.1968165000000001E-2</v>
      </c>
      <c r="O303" s="7">
        <v>2.488959E-2</v>
      </c>
      <c r="P303" s="7">
        <v>0.110867365</v>
      </c>
      <c r="Q303" s="7">
        <v>3.7372558E-2</v>
      </c>
      <c r="R303" s="7">
        <v>2.1569079000000001E-2</v>
      </c>
      <c r="S303" s="7">
        <v>3.212926E-2</v>
      </c>
      <c r="T303" s="7">
        <v>4.8719989999999998E-2</v>
      </c>
      <c r="U303" s="7">
        <v>4.5315691999999998E-2</v>
      </c>
      <c r="AB303" s="4">
        <v>0</v>
      </c>
      <c r="AC303" s="4">
        <v>0</v>
      </c>
      <c r="AD303" s="4">
        <v>0</v>
      </c>
      <c r="AE303" s="4"/>
      <c r="AF303" s="4"/>
      <c r="AG303" s="4"/>
      <c r="AH303" s="4"/>
    </row>
    <row r="304" spans="1:34" x14ac:dyDescent="0.3">
      <c r="A304" s="1">
        <v>45026</v>
      </c>
      <c r="B304" s="7">
        <v>8.7319727E-2</v>
      </c>
      <c r="C304" s="7">
        <v>4.2203919999999999E-2</v>
      </c>
      <c r="D304" s="7">
        <v>0.10848152</v>
      </c>
      <c r="E304" s="7">
        <v>6.7421736999999995E-2</v>
      </c>
      <c r="F304" s="7">
        <v>8.5596474000000006E-2</v>
      </c>
      <c r="G304" s="7">
        <v>3.2803705000000002E-2</v>
      </c>
      <c r="H304" s="7">
        <v>0.115860161</v>
      </c>
      <c r="I304" s="7">
        <v>4.4251503999999997E-2</v>
      </c>
      <c r="J304" s="7">
        <v>5.5265881000000003E-2</v>
      </c>
      <c r="K304" s="7">
        <v>5.1756781000000002E-2</v>
      </c>
      <c r="L304" s="7">
        <v>7.3793128E-2</v>
      </c>
      <c r="M304" s="7">
        <v>6.6560462000000001E-2</v>
      </c>
      <c r="N304" s="7">
        <v>8.7982273999999999E-2</v>
      </c>
      <c r="O304" s="7">
        <v>3.3227708000000002E-2</v>
      </c>
      <c r="P304" s="7">
        <v>8.9931387000000002E-2</v>
      </c>
      <c r="Q304" s="7">
        <v>4.2283488000000001E-2</v>
      </c>
      <c r="R304" s="7">
        <v>7.1968165000000001E-2</v>
      </c>
      <c r="S304" s="7">
        <v>2.488959E-2</v>
      </c>
      <c r="T304" s="7">
        <v>0.110867365</v>
      </c>
      <c r="U304" s="7">
        <v>3.7372558E-2</v>
      </c>
      <c r="AB304" s="4">
        <v>0</v>
      </c>
      <c r="AC304" s="4">
        <v>0</v>
      </c>
      <c r="AD304" s="4">
        <v>0</v>
      </c>
      <c r="AE304" s="4"/>
      <c r="AF304" s="4"/>
      <c r="AG304" s="4"/>
      <c r="AH304" s="4"/>
    </row>
    <row r="305" spans="1:34" x14ac:dyDescent="0.3">
      <c r="A305" s="1">
        <v>45027</v>
      </c>
      <c r="B305" s="7">
        <v>5.6363573E-2</v>
      </c>
      <c r="C305" s="7">
        <v>4.3368366999999998E-2</v>
      </c>
      <c r="D305" s="7">
        <v>9.7228062000000004E-2</v>
      </c>
      <c r="E305" s="7">
        <v>6.8925342000000001E-2</v>
      </c>
      <c r="F305" s="7">
        <v>8.7319727E-2</v>
      </c>
      <c r="G305" s="7">
        <v>4.2203919999999999E-2</v>
      </c>
      <c r="H305" s="7">
        <v>0.10848152</v>
      </c>
      <c r="I305" s="7">
        <v>6.7421736999999995E-2</v>
      </c>
      <c r="J305" s="7">
        <v>8.5596474000000006E-2</v>
      </c>
      <c r="K305" s="7">
        <v>3.2803705000000002E-2</v>
      </c>
      <c r="L305" s="7">
        <v>0.115860161</v>
      </c>
      <c r="M305" s="7">
        <v>4.4251503999999997E-2</v>
      </c>
      <c r="N305" s="7">
        <v>5.5265881000000003E-2</v>
      </c>
      <c r="O305" s="7">
        <v>5.1756781000000002E-2</v>
      </c>
      <c r="P305" s="7">
        <v>7.3793128E-2</v>
      </c>
      <c r="Q305" s="7">
        <v>6.6560462000000001E-2</v>
      </c>
      <c r="R305" s="7">
        <v>8.7982273999999999E-2</v>
      </c>
      <c r="S305" s="7">
        <v>3.3227708000000002E-2</v>
      </c>
      <c r="T305" s="7">
        <v>8.9931387000000002E-2</v>
      </c>
      <c r="U305" s="7">
        <v>4.2283488000000001E-2</v>
      </c>
      <c r="AB305" s="4">
        <v>0</v>
      </c>
      <c r="AC305" s="4">
        <v>0</v>
      </c>
      <c r="AD305" s="4">
        <v>0</v>
      </c>
      <c r="AE305" s="4"/>
      <c r="AF305" s="4"/>
      <c r="AG305" s="4"/>
      <c r="AH305" s="4"/>
    </row>
    <row r="306" spans="1:34" x14ac:dyDescent="0.3">
      <c r="A306" s="1">
        <v>45028</v>
      </c>
      <c r="B306" s="7">
        <v>4.9357570000000003E-2</v>
      </c>
      <c r="C306" s="7">
        <v>5.9149845999999999E-2</v>
      </c>
      <c r="D306" s="7">
        <v>9.1846858000000003E-2</v>
      </c>
      <c r="E306" s="7">
        <v>9.4793742E-2</v>
      </c>
      <c r="F306" s="7">
        <v>5.6363573E-2</v>
      </c>
      <c r="G306" s="7">
        <v>4.3368366999999998E-2</v>
      </c>
      <c r="H306" s="7">
        <v>9.7228062000000004E-2</v>
      </c>
      <c r="I306" s="7">
        <v>6.8925342000000001E-2</v>
      </c>
      <c r="J306" s="7">
        <v>8.7319727E-2</v>
      </c>
      <c r="K306" s="7">
        <v>4.2203919999999999E-2</v>
      </c>
      <c r="L306" s="7">
        <v>0.10848152</v>
      </c>
      <c r="M306" s="7">
        <v>6.7421736999999995E-2</v>
      </c>
      <c r="N306" s="7">
        <v>8.5596474000000006E-2</v>
      </c>
      <c r="O306" s="7">
        <v>3.2803705000000002E-2</v>
      </c>
      <c r="P306" s="7">
        <v>0.115860161</v>
      </c>
      <c r="Q306" s="7">
        <v>4.4251503999999997E-2</v>
      </c>
      <c r="R306" s="7">
        <v>5.5265881000000003E-2</v>
      </c>
      <c r="S306" s="7">
        <v>5.1756781000000002E-2</v>
      </c>
      <c r="T306" s="7">
        <v>7.3793128E-2</v>
      </c>
      <c r="U306" s="7">
        <v>6.6560462000000001E-2</v>
      </c>
      <c r="AB306" s="4">
        <v>0</v>
      </c>
      <c r="AC306" s="4">
        <v>0</v>
      </c>
      <c r="AD306" s="4">
        <v>0</v>
      </c>
      <c r="AE306" s="4"/>
      <c r="AF306" s="4"/>
      <c r="AG306" s="4"/>
      <c r="AH306" s="4"/>
    </row>
    <row r="307" spans="1:34" x14ac:dyDescent="0.3">
      <c r="A307" s="1">
        <v>45029</v>
      </c>
      <c r="B307" s="7">
        <v>0.15525741800000001</v>
      </c>
      <c r="C307" s="7">
        <v>3.6807185999999999E-2</v>
      </c>
      <c r="D307" s="7">
        <v>0.112295379</v>
      </c>
      <c r="E307" s="7">
        <v>6.8824760999999998E-2</v>
      </c>
      <c r="F307" s="7">
        <v>4.9357570000000003E-2</v>
      </c>
      <c r="G307" s="7">
        <v>5.9149845999999999E-2</v>
      </c>
      <c r="H307" s="7">
        <v>9.1846858000000003E-2</v>
      </c>
      <c r="I307" s="7">
        <v>9.4793742E-2</v>
      </c>
      <c r="J307" s="7">
        <v>5.6363573E-2</v>
      </c>
      <c r="K307" s="7">
        <v>4.3368366999999998E-2</v>
      </c>
      <c r="L307" s="7">
        <v>9.7228062000000004E-2</v>
      </c>
      <c r="M307" s="7">
        <v>6.8925342000000001E-2</v>
      </c>
      <c r="N307" s="7">
        <v>8.7319727E-2</v>
      </c>
      <c r="O307" s="7">
        <v>4.2203919999999999E-2</v>
      </c>
      <c r="P307" s="7">
        <v>0.10848152</v>
      </c>
      <c r="Q307" s="7">
        <v>6.7421736999999995E-2</v>
      </c>
      <c r="R307" s="7">
        <v>8.5596474000000006E-2</v>
      </c>
      <c r="S307" s="7">
        <v>3.2803705000000002E-2</v>
      </c>
      <c r="T307" s="7">
        <v>0.115860161</v>
      </c>
      <c r="U307" s="7">
        <v>4.4251503999999997E-2</v>
      </c>
      <c r="AB307" s="4">
        <v>0</v>
      </c>
      <c r="AC307" s="4">
        <v>0</v>
      </c>
      <c r="AD307" s="4">
        <v>0</v>
      </c>
      <c r="AE307" s="4"/>
      <c r="AF307" s="4"/>
      <c r="AG307" s="4"/>
      <c r="AH307" s="4"/>
    </row>
    <row r="308" spans="1:34" x14ac:dyDescent="0.3">
      <c r="A308" s="1">
        <v>45030</v>
      </c>
      <c r="B308" s="7">
        <v>0.10502276100000001</v>
      </c>
      <c r="C308" s="7">
        <v>5.3445040999999999E-2</v>
      </c>
      <c r="D308" s="7">
        <v>0.151999202</v>
      </c>
      <c r="E308" s="7">
        <v>8.3853764999999997E-2</v>
      </c>
      <c r="F308" s="7">
        <v>0.15525741800000001</v>
      </c>
      <c r="G308" s="7">
        <v>3.6807185999999999E-2</v>
      </c>
      <c r="H308" s="7">
        <v>0.112295379</v>
      </c>
      <c r="I308" s="7">
        <v>6.8824760999999998E-2</v>
      </c>
      <c r="J308" s="7">
        <v>4.9357570000000003E-2</v>
      </c>
      <c r="K308" s="7">
        <v>5.9149845999999999E-2</v>
      </c>
      <c r="L308" s="7">
        <v>9.1846858000000003E-2</v>
      </c>
      <c r="M308" s="7">
        <v>9.4793742E-2</v>
      </c>
      <c r="N308" s="7">
        <v>5.6363573E-2</v>
      </c>
      <c r="O308" s="7">
        <v>4.3368366999999998E-2</v>
      </c>
      <c r="P308" s="7">
        <v>9.7228062000000004E-2</v>
      </c>
      <c r="Q308" s="7">
        <v>6.8925342000000001E-2</v>
      </c>
      <c r="R308" s="7">
        <v>8.7319727E-2</v>
      </c>
      <c r="S308" s="7">
        <v>4.2203919999999999E-2</v>
      </c>
      <c r="T308" s="7">
        <v>0.10848152</v>
      </c>
      <c r="U308" s="7">
        <v>6.7421736999999995E-2</v>
      </c>
      <c r="V308" s="7">
        <v>0.36658649683551076</v>
      </c>
      <c r="W308" s="7">
        <v>0.14091967277985898</v>
      </c>
      <c r="X308" s="7">
        <v>0.10239150488229223</v>
      </c>
      <c r="AB308" s="4">
        <v>0</v>
      </c>
      <c r="AC308" s="4">
        <v>1</v>
      </c>
      <c r="AD308" s="4">
        <v>1</v>
      </c>
      <c r="AE308" s="4"/>
      <c r="AF308" s="4"/>
      <c r="AG308" s="4"/>
      <c r="AH308" s="4"/>
    </row>
    <row r="309" spans="1:34" x14ac:dyDescent="0.3">
      <c r="A309" s="1">
        <v>45033</v>
      </c>
      <c r="B309" s="7">
        <v>0.126671111</v>
      </c>
      <c r="C309" s="7">
        <v>7.5412054000000006E-2</v>
      </c>
      <c r="D309" s="7">
        <v>0.19055434600000001</v>
      </c>
      <c r="E309" s="7">
        <v>9.9333033000000001E-2</v>
      </c>
      <c r="F309" s="7">
        <v>0.10502276100000001</v>
      </c>
      <c r="G309" s="7">
        <v>5.3445040999999999E-2</v>
      </c>
      <c r="H309" s="7">
        <v>0.151999202</v>
      </c>
      <c r="I309" s="7">
        <v>8.3853764999999997E-2</v>
      </c>
      <c r="J309" s="7">
        <v>0.15525741800000001</v>
      </c>
      <c r="K309" s="7">
        <v>3.6807185999999999E-2</v>
      </c>
      <c r="L309" s="7">
        <v>0.112295379</v>
      </c>
      <c r="M309" s="7">
        <v>6.8824760999999998E-2</v>
      </c>
      <c r="N309" s="7">
        <v>4.9357570000000003E-2</v>
      </c>
      <c r="O309" s="7">
        <v>5.9149845999999999E-2</v>
      </c>
      <c r="P309" s="7">
        <v>9.1846858000000003E-2</v>
      </c>
      <c r="Q309" s="7">
        <v>9.4793742E-2</v>
      </c>
      <c r="R309" s="7">
        <v>5.6363573E-2</v>
      </c>
      <c r="S309" s="7">
        <v>4.3368366999999998E-2</v>
      </c>
      <c r="T309" s="7">
        <v>9.7228062000000004E-2</v>
      </c>
      <c r="U309" s="7">
        <v>6.8925342000000001E-2</v>
      </c>
      <c r="V309" s="7">
        <v>0.36658649683551076</v>
      </c>
      <c r="W309" s="7">
        <v>0.14072122270345883</v>
      </c>
      <c r="X309" s="7">
        <v>0.10261470529431904</v>
      </c>
      <c r="AB309" s="4">
        <v>0</v>
      </c>
      <c r="AC309" s="4">
        <v>1</v>
      </c>
      <c r="AD309" s="4">
        <v>1</v>
      </c>
      <c r="AE309" s="4"/>
      <c r="AF309" s="4"/>
      <c r="AG309" s="4"/>
      <c r="AH309" s="4"/>
    </row>
    <row r="310" spans="1:34" x14ac:dyDescent="0.3">
      <c r="A310" s="1">
        <v>45034</v>
      </c>
      <c r="B310" s="7">
        <v>0.22473105900000001</v>
      </c>
      <c r="C310" s="7">
        <v>0.13528148200000001</v>
      </c>
      <c r="D310" s="7">
        <v>0.12443684000000001</v>
      </c>
      <c r="E310" s="7">
        <v>0.142797068</v>
      </c>
      <c r="F310" s="7">
        <v>0.126671111</v>
      </c>
      <c r="G310" s="7">
        <v>7.5412054000000006E-2</v>
      </c>
      <c r="H310" s="7">
        <v>0.19055434600000001</v>
      </c>
      <c r="I310" s="7">
        <v>9.9333033000000001E-2</v>
      </c>
      <c r="J310" s="7">
        <v>0.10502276100000001</v>
      </c>
      <c r="K310" s="7">
        <v>5.3445040999999999E-2</v>
      </c>
      <c r="L310" s="7">
        <v>0.151999202</v>
      </c>
      <c r="M310" s="7">
        <v>8.3853764999999997E-2</v>
      </c>
      <c r="N310" s="7">
        <v>0.15525741800000001</v>
      </c>
      <c r="O310" s="7">
        <v>3.6807185999999999E-2</v>
      </c>
      <c r="P310" s="7">
        <v>0.112295379</v>
      </c>
      <c r="Q310" s="7">
        <v>6.8824760999999998E-2</v>
      </c>
      <c r="R310" s="7">
        <v>4.9357570000000003E-2</v>
      </c>
      <c r="S310" s="7">
        <v>5.9149845999999999E-2</v>
      </c>
      <c r="T310" s="7">
        <v>9.1846858000000003E-2</v>
      </c>
      <c r="U310" s="7">
        <v>9.4793742E-2</v>
      </c>
      <c r="V310" s="7">
        <v>0.29026878172508053</v>
      </c>
      <c r="W310" s="7">
        <v>0.14103314483604329</v>
      </c>
      <c r="X310" s="7">
        <v>0.10195962183645749</v>
      </c>
      <c r="AB310" s="4">
        <v>0</v>
      </c>
      <c r="AC310" s="4">
        <v>1</v>
      </c>
      <c r="AD310" s="4">
        <v>1</v>
      </c>
      <c r="AE310" s="4"/>
      <c r="AF310" s="4"/>
      <c r="AG310" s="4"/>
      <c r="AH310" s="4"/>
    </row>
    <row r="311" spans="1:34" x14ac:dyDescent="0.3">
      <c r="A311" s="1">
        <v>45035</v>
      </c>
      <c r="B311" s="7">
        <v>3.5669209E-2</v>
      </c>
      <c r="C311" s="7">
        <v>2.9553823999999999E-2</v>
      </c>
      <c r="D311" s="7">
        <v>1.9059887000000001E-2</v>
      </c>
      <c r="E311" s="7">
        <v>3.5201112E-2</v>
      </c>
      <c r="F311" s="7">
        <v>0.22473105900000001</v>
      </c>
      <c r="G311" s="7">
        <v>0.13528148200000001</v>
      </c>
      <c r="H311" s="7">
        <v>0.12443684000000001</v>
      </c>
      <c r="I311" s="7">
        <v>0.142797068</v>
      </c>
      <c r="J311" s="7">
        <v>0.126671111</v>
      </c>
      <c r="K311" s="7">
        <v>7.5412054000000006E-2</v>
      </c>
      <c r="L311" s="7">
        <v>0.19055434600000001</v>
      </c>
      <c r="M311" s="7">
        <v>9.9333033000000001E-2</v>
      </c>
      <c r="N311" s="7">
        <v>0.10502276100000001</v>
      </c>
      <c r="O311" s="7">
        <v>5.3445040999999999E-2</v>
      </c>
      <c r="P311" s="7">
        <v>0.151999202</v>
      </c>
      <c r="Q311" s="7">
        <v>8.3853764999999997E-2</v>
      </c>
      <c r="R311" s="7">
        <v>0.15525741800000001</v>
      </c>
      <c r="S311" s="7">
        <v>3.6807185999999999E-2</v>
      </c>
      <c r="T311" s="7">
        <v>0.112295379</v>
      </c>
      <c r="U311" s="7">
        <v>6.8824760999999998E-2</v>
      </c>
      <c r="V311" s="7">
        <v>0.27227727857566064</v>
      </c>
      <c r="W311" s="7">
        <v>0.14180779212976005</v>
      </c>
      <c r="X311" s="7">
        <v>0.10163656750593671</v>
      </c>
      <c r="AB311" s="4">
        <v>0</v>
      </c>
      <c r="AC311" s="4">
        <v>1</v>
      </c>
      <c r="AD311" s="4">
        <v>1</v>
      </c>
      <c r="AE311" s="4"/>
      <c r="AF311" s="4"/>
      <c r="AG311" s="4"/>
      <c r="AH311" s="4"/>
    </row>
    <row r="312" spans="1:34" x14ac:dyDescent="0.3">
      <c r="A312" s="1">
        <v>45036</v>
      </c>
      <c r="B312" s="7">
        <v>7.1571659999999995E-2</v>
      </c>
      <c r="C312" s="7">
        <v>2.7565527999999999E-2</v>
      </c>
      <c r="D312" s="7">
        <v>7.7613093999999994E-2</v>
      </c>
      <c r="E312" s="7">
        <v>3.7883074000000003E-2</v>
      </c>
      <c r="F312" s="7">
        <v>3.5669209E-2</v>
      </c>
      <c r="G312" s="7">
        <v>2.9553823999999999E-2</v>
      </c>
      <c r="H312" s="7">
        <v>1.9059887000000001E-2</v>
      </c>
      <c r="I312" s="7">
        <v>3.5201112E-2</v>
      </c>
      <c r="J312" s="7">
        <v>0.22473105900000001</v>
      </c>
      <c r="K312" s="7">
        <v>0.13528148200000001</v>
      </c>
      <c r="L312" s="7">
        <v>0.12443684000000001</v>
      </c>
      <c r="M312" s="7">
        <v>0.142797068</v>
      </c>
      <c r="N312" s="7">
        <v>0.126671111</v>
      </c>
      <c r="O312" s="7">
        <v>7.5412054000000006E-2</v>
      </c>
      <c r="P312" s="7">
        <v>0.19055434600000001</v>
      </c>
      <c r="Q312" s="7">
        <v>9.9333033000000001E-2</v>
      </c>
      <c r="R312" s="7">
        <v>0.10502276100000001</v>
      </c>
      <c r="S312" s="7">
        <v>5.3445040999999999E-2</v>
      </c>
      <c r="T312" s="7">
        <v>0.151999202</v>
      </c>
      <c r="U312" s="7">
        <v>8.3853764999999997E-2</v>
      </c>
      <c r="V312" s="7">
        <v>0.26436623727951547</v>
      </c>
      <c r="W312" s="7">
        <v>0.13776449812847716</v>
      </c>
      <c r="X312" s="7">
        <v>9.9124903222392924E-2</v>
      </c>
      <c r="AB312" s="4">
        <v>0</v>
      </c>
      <c r="AC312" s="4">
        <v>1</v>
      </c>
      <c r="AD312" s="4">
        <v>1</v>
      </c>
      <c r="AE312" s="4"/>
      <c r="AF312" s="4"/>
      <c r="AG312" s="4"/>
      <c r="AH312" s="4"/>
    </row>
    <row r="313" spans="1:34" x14ac:dyDescent="0.3">
      <c r="A313" s="1">
        <v>45037</v>
      </c>
      <c r="B313" s="7">
        <v>6.9350831000000002E-2</v>
      </c>
      <c r="C313" s="7">
        <v>3.1164198000000001E-2</v>
      </c>
      <c r="D313" s="7">
        <v>5.267053E-2</v>
      </c>
      <c r="E313" s="7">
        <v>5.8707250000000002E-2</v>
      </c>
      <c r="F313" s="7">
        <v>7.1571659999999995E-2</v>
      </c>
      <c r="G313" s="7">
        <v>2.7565527999999999E-2</v>
      </c>
      <c r="H313" s="7">
        <v>7.7613093999999994E-2</v>
      </c>
      <c r="I313" s="7">
        <v>3.7883074000000003E-2</v>
      </c>
      <c r="J313" s="7">
        <v>3.5669209E-2</v>
      </c>
      <c r="K313" s="7">
        <v>2.9553823999999999E-2</v>
      </c>
      <c r="L313" s="7">
        <v>1.9059887000000001E-2</v>
      </c>
      <c r="M313" s="7">
        <v>3.5201112E-2</v>
      </c>
      <c r="N313" s="7">
        <v>0.22473105900000001</v>
      </c>
      <c r="O313" s="7">
        <v>0.13528148200000001</v>
      </c>
      <c r="P313" s="7">
        <v>0.12443684000000001</v>
      </c>
      <c r="Q313" s="7">
        <v>0.142797068</v>
      </c>
      <c r="R313" s="7">
        <v>0.126671111</v>
      </c>
      <c r="S313" s="7">
        <v>7.5412054000000006E-2</v>
      </c>
      <c r="T313" s="7">
        <v>0.19055434600000001</v>
      </c>
      <c r="U313" s="7">
        <v>9.9333033000000001E-2</v>
      </c>
      <c r="V313" s="7">
        <v>0.24361404964574562</v>
      </c>
      <c r="W313" s="7">
        <v>0.13870858363431948</v>
      </c>
      <c r="X313" s="7">
        <v>9.8985510286723213E-2</v>
      </c>
      <c r="AB313" s="4">
        <v>0</v>
      </c>
      <c r="AC313" s="4">
        <v>0</v>
      </c>
      <c r="AD313" s="4">
        <v>0</v>
      </c>
      <c r="AE313" s="4"/>
      <c r="AF313" s="4"/>
      <c r="AG313" s="4"/>
      <c r="AH313" s="4"/>
    </row>
    <row r="314" spans="1:34" x14ac:dyDescent="0.3">
      <c r="A314" s="1">
        <v>45040</v>
      </c>
      <c r="B314" s="7">
        <v>4.6018903E-2</v>
      </c>
      <c r="C314" s="7">
        <v>3.2281191000000001E-2</v>
      </c>
      <c r="D314" s="7">
        <v>6.5907806999999999E-2</v>
      </c>
      <c r="E314" s="7">
        <v>3.2518876000000002E-2</v>
      </c>
      <c r="F314" s="7">
        <v>6.9350831000000002E-2</v>
      </c>
      <c r="G314" s="7">
        <v>3.1164198000000001E-2</v>
      </c>
      <c r="H314" s="7">
        <v>5.267053E-2</v>
      </c>
      <c r="I314" s="7">
        <v>5.8707250000000002E-2</v>
      </c>
      <c r="J314" s="7">
        <v>7.1571659999999995E-2</v>
      </c>
      <c r="K314" s="7">
        <v>2.7565527999999999E-2</v>
      </c>
      <c r="L314" s="7">
        <v>7.7613093999999994E-2</v>
      </c>
      <c r="M314" s="7">
        <v>3.7883074000000003E-2</v>
      </c>
      <c r="N314" s="7">
        <v>3.5669209E-2</v>
      </c>
      <c r="O314" s="7">
        <v>2.9553823999999999E-2</v>
      </c>
      <c r="P314" s="7">
        <v>1.9059887000000001E-2</v>
      </c>
      <c r="Q314" s="7">
        <v>3.5201112E-2</v>
      </c>
      <c r="R314" s="7">
        <v>0.22473105900000001</v>
      </c>
      <c r="S314" s="7">
        <v>0.13528148200000001</v>
      </c>
      <c r="T314" s="7">
        <v>0.12443684000000001</v>
      </c>
      <c r="U314" s="7">
        <v>0.142797068</v>
      </c>
      <c r="V314" s="7">
        <v>0.24361404964574562</v>
      </c>
      <c r="W314" s="7">
        <v>0.13837320915112361</v>
      </c>
      <c r="X314" s="7">
        <v>9.925595556894852E-2</v>
      </c>
      <c r="AB314" s="4">
        <v>0</v>
      </c>
      <c r="AC314" s="4">
        <v>0</v>
      </c>
      <c r="AD314" s="4">
        <v>0</v>
      </c>
      <c r="AE314" s="4"/>
      <c r="AF314" s="4"/>
      <c r="AG314" s="4"/>
      <c r="AH314" s="4"/>
    </row>
    <row r="315" spans="1:34" x14ac:dyDescent="0.3">
      <c r="A315" s="1">
        <v>45041</v>
      </c>
      <c r="B315" s="7">
        <v>6.2698955000000001E-2</v>
      </c>
      <c r="C315" s="7">
        <v>3.6065484000000002E-2</v>
      </c>
      <c r="D315" s="7">
        <v>2.8798145000000001E-2</v>
      </c>
      <c r="E315" s="7">
        <v>5.8456478999999999E-2</v>
      </c>
      <c r="F315" s="7">
        <v>4.6018903E-2</v>
      </c>
      <c r="G315" s="7">
        <v>3.2281191000000001E-2</v>
      </c>
      <c r="H315" s="7">
        <v>6.5907806999999999E-2</v>
      </c>
      <c r="I315" s="7">
        <v>3.2518876000000002E-2</v>
      </c>
      <c r="J315" s="7">
        <v>6.9350831000000002E-2</v>
      </c>
      <c r="K315" s="7">
        <v>3.1164198000000001E-2</v>
      </c>
      <c r="L315" s="7">
        <v>5.267053E-2</v>
      </c>
      <c r="M315" s="7">
        <v>5.8707250000000002E-2</v>
      </c>
      <c r="N315" s="7">
        <v>7.1571659999999995E-2</v>
      </c>
      <c r="O315" s="7">
        <v>2.7565527999999999E-2</v>
      </c>
      <c r="P315" s="7">
        <v>7.7613093999999994E-2</v>
      </c>
      <c r="Q315" s="7">
        <v>3.7883074000000003E-2</v>
      </c>
      <c r="R315" s="7">
        <v>3.5669209E-2</v>
      </c>
      <c r="S315" s="7">
        <v>2.9553823999999999E-2</v>
      </c>
      <c r="T315" s="7">
        <v>1.9059887000000001E-2</v>
      </c>
      <c r="U315" s="7">
        <v>3.5201112E-2</v>
      </c>
      <c r="V315" s="7">
        <v>0.24361404964574562</v>
      </c>
      <c r="W315" s="7">
        <v>0.14452389117804704</v>
      </c>
      <c r="X315" s="7">
        <v>0.10509004029286893</v>
      </c>
      <c r="AB315" s="4">
        <v>0</v>
      </c>
      <c r="AC315" s="4">
        <v>0</v>
      </c>
      <c r="AD315" s="4">
        <v>0</v>
      </c>
      <c r="AE315" s="4"/>
      <c r="AF315" s="4"/>
      <c r="AG315" s="4"/>
      <c r="AH315" s="4"/>
    </row>
    <row r="316" spans="1:34" x14ac:dyDescent="0.3">
      <c r="A316" s="1">
        <v>45042</v>
      </c>
      <c r="B316" s="7">
        <v>3.0864216999999999E-2</v>
      </c>
      <c r="C316" s="7">
        <v>4.5634803000000002E-2</v>
      </c>
      <c r="D316" s="7">
        <v>5.1151097E-2</v>
      </c>
      <c r="E316" s="7">
        <v>4.9937079000000002E-2</v>
      </c>
      <c r="F316" s="7">
        <v>6.2698955000000001E-2</v>
      </c>
      <c r="G316" s="7">
        <v>3.6065484000000002E-2</v>
      </c>
      <c r="H316" s="7">
        <v>2.8798145000000001E-2</v>
      </c>
      <c r="I316" s="7">
        <v>5.8456478999999999E-2</v>
      </c>
      <c r="J316" s="7">
        <v>4.6018903E-2</v>
      </c>
      <c r="K316" s="7">
        <v>3.2281191000000001E-2</v>
      </c>
      <c r="L316" s="7">
        <v>6.5907806999999999E-2</v>
      </c>
      <c r="M316" s="7">
        <v>3.2518876000000002E-2</v>
      </c>
      <c r="N316" s="7">
        <v>6.9350831000000002E-2</v>
      </c>
      <c r="O316" s="7">
        <v>3.1164198000000001E-2</v>
      </c>
      <c r="P316" s="7">
        <v>5.267053E-2</v>
      </c>
      <c r="Q316" s="7">
        <v>5.8707250000000002E-2</v>
      </c>
      <c r="R316" s="7">
        <v>7.1571659999999995E-2</v>
      </c>
      <c r="S316" s="7">
        <v>2.7565527999999999E-2</v>
      </c>
      <c r="T316" s="7">
        <v>7.7613093999999994E-2</v>
      </c>
      <c r="U316" s="7">
        <v>3.7883074000000003E-2</v>
      </c>
      <c r="V316" s="7">
        <v>0.20934288097012851</v>
      </c>
      <c r="W316" s="7">
        <v>0.14372334346960181</v>
      </c>
      <c r="X316" s="7">
        <v>0.10409063162054247</v>
      </c>
      <c r="AB316" s="4">
        <v>1</v>
      </c>
      <c r="AC316" s="4">
        <v>0</v>
      </c>
      <c r="AD316" s="4">
        <v>1</v>
      </c>
      <c r="AE316" s="4"/>
      <c r="AF316" s="4"/>
      <c r="AG316" s="4"/>
      <c r="AH316" s="4"/>
    </row>
    <row r="317" spans="1:34" x14ac:dyDescent="0.3">
      <c r="A317" s="1">
        <v>45043</v>
      </c>
      <c r="B317" s="7">
        <v>7.2432399999999994E-2</v>
      </c>
      <c r="C317" s="7">
        <v>3.6059477999999999E-2</v>
      </c>
      <c r="D317" s="7">
        <v>9.9451000999999997E-2</v>
      </c>
      <c r="E317" s="7">
        <v>3.4297949000000001E-2</v>
      </c>
      <c r="F317" s="7">
        <v>3.0864216999999999E-2</v>
      </c>
      <c r="G317" s="7">
        <v>4.5634803000000002E-2</v>
      </c>
      <c r="H317" s="7">
        <v>5.1151097E-2</v>
      </c>
      <c r="I317" s="7">
        <v>4.9937079000000002E-2</v>
      </c>
      <c r="J317" s="7">
        <v>6.2698955000000001E-2</v>
      </c>
      <c r="K317" s="7">
        <v>3.6065484000000002E-2</v>
      </c>
      <c r="L317" s="7">
        <v>2.8798145000000001E-2</v>
      </c>
      <c r="M317" s="7">
        <v>5.8456478999999999E-2</v>
      </c>
      <c r="N317" s="7">
        <v>4.6018903E-2</v>
      </c>
      <c r="O317" s="7">
        <v>3.2281191000000001E-2</v>
      </c>
      <c r="P317" s="7">
        <v>6.5907806999999999E-2</v>
      </c>
      <c r="Q317" s="7">
        <v>3.2518876000000002E-2</v>
      </c>
      <c r="R317" s="7">
        <v>6.9350831000000002E-2</v>
      </c>
      <c r="S317" s="7">
        <v>3.1164198000000001E-2</v>
      </c>
      <c r="T317" s="7">
        <v>5.267053E-2</v>
      </c>
      <c r="U317" s="7">
        <v>5.8707250000000002E-2</v>
      </c>
      <c r="V317" s="7">
        <v>0.20934288097012851</v>
      </c>
      <c r="W317" s="7">
        <v>0.14350943613287898</v>
      </c>
      <c r="X317" s="7">
        <v>0.10382546133973793</v>
      </c>
      <c r="AB317" s="4">
        <v>0</v>
      </c>
      <c r="AC317" s="4">
        <v>0</v>
      </c>
      <c r="AD317" s="4">
        <v>0</v>
      </c>
      <c r="AE317" s="4"/>
      <c r="AF317" s="4"/>
      <c r="AG317" s="4"/>
      <c r="AH317" s="4"/>
    </row>
    <row r="318" spans="1:34" x14ac:dyDescent="0.3">
      <c r="A318" s="1">
        <v>45044</v>
      </c>
      <c r="B318" s="7">
        <v>4.7101407999999997E-2</v>
      </c>
      <c r="C318" s="7">
        <v>3.8733931999999999E-2</v>
      </c>
      <c r="D318" s="7">
        <v>9.9830436999999994E-2</v>
      </c>
      <c r="E318" s="7">
        <v>5.7085199000000003E-2</v>
      </c>
      <c r="F318" s="7">
        <v>7.2432399999999994E-2</v>
      </c>
      <c r="G318" s="7">
        <v>3.6059477999999999E-2</v>
      </c>
      <c r="H318" s="7">
        <v>9.9451000999999997E-2</v>
      </c>
      <c r="I318" s="7">
        <v>3.4297949000000001E-2</v>
      </c>
      <c r="J318" s="7">
        <v>3.0864216999999999E-2</v>
      </c>
      <c r="K318" s="7">
        <v>4.5634803000000002E-2</v>
      </c>
      <c r="L318" s="7">
        <v>5.1151097E-2</v>
      </c>
      <c r="M318" s="7">
        <v>4.9937079000000002E-2</v>
      </c>
      <c r="N318" s="7">
        <v>6.2698955000000001E-2</v>
      </c>
      <c r="O318" s="7">
        <v>3.6065484000000002E-2</v>
      </c>
      <c r="P318" s="7">
        <v>2.8798145000000001E-2</v>
      </c>
      <c r="Q318" s="7">
        <v>5.8456478999999999E-2</v>
      </c>
      <c r="R318" s="7">
        <v>4.6018903E-2</v>
      </c>
      <c r="S318" s="7">
        <v>3.2281191000000001E-2</v>
      </c>
      <c r="T318" s="7">
        <v>6.5907806999999999E-2</v>
      </c>
      <c r="U318" s="7">
        <v>3.2518876000000002E-2</v>
      </c>
      <c r="V318" s="7">
        <v>0.24361404964574562</v>
      </c>
      <c r="W318" s="7">
        <v>0.14593767210914954</v>
      </c>
      <c r="X318" s="7">
        <v>0.10556144539761886</v>
      </c>
      <c r="AB318" s="4">
        <v>0</v>
      </c>
      <c r="AC318" s="4">
        <v>0</v>
      </c>
      <c r="AD318" s="4">
        <v>0</v>
      </c>
      <c r="AE318" s="4"/>
      <c r="AF318" s="4"/>
      <c r="AG318" s="4"/>
      <c r="AH318" s="4"/>
    </row>
    <row r="319" spans="1:34" x14ac:dyDescent="0.3">
      <c r="A319" s="1">
        <v>45048</v>
      </c>
      <c r="B319" s="7">
        <v>6.5104967999999999E-2</v>
      </c>
      <c r="C319" s="7">
        <v>9.3190370999999994E-2</v>
      </c>
      <c r="D319" s="7">
        <v>7.6820379999999994E-2</v>
      </c>
      <c r="E319" s="7">
        <v>4.0761818999999998E-2</v>
      </c>
      <c r="F319" s="7">
        <v>4.7101407999999997E-2</v>
      </c>
      <c r="G319" s="7">
        <v>3.8733931999999999E-2</v>
      </c>
      <c r="H319" s="7">
        <v>9.9830436999999994E-2</v>
      </c>
      <c r="I319" s="7">
        <v>5.7085199000000003E-2</v>
      </c>
      <c r="J319" s="7">
        <v>7.2432399999999994E-2</v>
      </c>
      <c r="K319" s="7">
        <v>3.6059477999999999E-2</v>
      </c>
      <c r="L319" s="7">
        <v>9.9451000999999997E-2</v>
      </c>
      <c r="M319" s="7">
        <v>3.4297949000000001E-2</v>
      </c>
      <c r="N319" s="7">
        <v>3.0864216999999999E-2</v>
      </c>
      <c r="O319" s="7">
        <v>4.5634803000000002E-2</v>
      </c>
      <c r="P319" s="7">
        <v>5.1151097E-2</v>
      </c>
      <c r="Q319" s="7">
        <v>4.9937079000000002E-2</v>
      </c>
      <c r="R319" s="7">
        <v>6.2698955000000001E-2</v>
      </c>
      <c r="S319" s="7">
        <v>3.6065484000000002E-2</v>
      </c>
      <c r="T319" s="7">
        <v>2.8798145000000001E-2</v>
      </c>
      <c r="U319" s="7">
        <v>5.8456478999999999E-2</v>
      </c>
      <c r="V319" s="7">
        <v>0.24361404964574562</v>
      </c>
      <c r="W319" s="7">
        <v>0.14384051037201551</v>
      </c>
      <c r="X319" s="7">
        <v>0.10416305959704102</v>
      </c>
      <c r="AB319" s="4">
        <v>0</v>
      </c>
      <c r="AC319" s="4">
        <v>0</v>
      </c>
      <c r="AD319" s="4">
        <v>0</v>
      </c>
      <c r="AE319" s="4"/>
      <c r="AF319" s="4"/>
      <c r="AG319" s="4"/>
      <c r="AH319" s="4"/>
    </row>
    <row r="320" spans="1:34" x14ac:dyDescent="0.3">
      <c r="A320" s="1">
        <v>45049</v>
      </c>
      <c r="B320" s="7">
        <v>3.5205039E-2</v>
      </c>
      <c r="C320" s="7">
        <v>3.5621495000000003E-2</v>
      </c>
      <c r="D320" s="7">
        <v>4.7335950000000002E-2</v>
      </c>
      <c r="E320" s="7">
        <v>5.0215523999999997E-2</v>
      </c>
      <c r="F320" s="7">
        <v>6.5104967999999999E-2</v>
      </c>
      <c r="G320" s="7">
        <v>9.3190370999999994E-2</v>
      </c>
      <c r="H320" s="7">
        <v>7.6820379999999994E-2</v>
      </c>
      <c r="I320" s="7">
        <v>4.0761818999999998E-2</v>
      </c>
      <c r="J320" s="7">
        <v>4.7101407999999997E-2</v>
      </c>
      <c r="K320" s="7">
        <v>3.8733931999999999E-2</v>
      </c>
      <c r="L320" s="7">
        <v>9.9830436999999994E-2</v>
      </c>
      <c r="M320" s="7">
        <v>5.7085199000000003E-2</v>
      </c>
      <c r="N320" s="7">
        <v>7.2432399999999994E-2</v>
      </c>
      <c r="O320" s="7">
        <v>3.6059477999999999E-2</v>
      </c>
      <c r="P320" s="7">
        <v>9.9451000999999997E-2</v>
      </c>
      <c r="Q320" s="7">
        <v>3.4297949000000001E-2</v>
      </c>
      <c r="R320" s="7">
        <v>3.0864216999999999E-2</v>
      </c>
      <c r="S320" s="7">
        <v>4.5634803000000002E-2</v>
      </c>
      <c r="T320" s="7">
        <v>5.1151097E-2</v>
      </c>
      <c r="U320" s="7">
        <v>4.9937079000000002E-2</v>
      </c>
      <c r="V320" s="7">
        <v>0.24361404964574562</v>
      </c>
      <c r="W320" s="7">
        <v>0.13955801469786827</v>
      </c>
      <c r="X320" s="7">
        <v>9.9905705064582739E-2</v>
      </c>
      <c r="AB320" s="4">
        <v>0</v>
      </c>
      <c r="AC320" s="4">
        <v>0</v>
      </c>
      <c r="AD320" s="4">
        <v>0</v>
      </c>
      <c r="AE320" s="4"/>
      <c r="AF320" s="4"/>
      <c r="AG320" s="4"/>
      <c r="AH320" s="4"/>
    </row>
    <row r="321" spans="1:34" x14ac:dyDescent="0.3">
      <c r="A321" s="1">
        <v>45050</v>
      </c>
      <c r="B321" s="7">
        <v>8.0300563000000005E-2</v>
      </c>
      <c r="C321" s="7">
        <v>2.5403636E-2</v>
      </c>
      <c r="D321" s="7">
        <v>0.13550895600000001</v>
      </c>
      <c r="E321" s="7">
        <v>5.5743794999999999E-2</v>
      </c>
      <c r="F321" s="7">
        <v>3.5205039E-2</v>
      </c>
      <c r="G321" s="7">
        <v>3.5621495000000003E-2</v>
      </c>
      <c r="H321" s="7">
        <v>4.7335950000000002E-2</v>
      </c>
      <c r="I321" s="7">
        <v>5.0215523999999997E-2</v>
      </c>
      <c r="J321" s="7">
        <v>6.5104967999999999E-2</v>
      </c>
      <c r="K321" s="7">
        <v>9.3190370999999994E-2</v>
      </c>
      <c r="L321" s="7">
        <v>7.6820379999999994E-2</v>
      </c>
      <c r="M321" s="7">
        <v>4.0761818999999998E-2</v>
      </c>
      <c r="N321" s="7">
        <v>4.7101407999999997E-2</v>
      </c>
      <c r="O321" s="7">
        <v>3.8733931999999999E-2</v>
      </c>
      <c r="P321" s="7">
        <v>9.9830436999999994E-2</v>
      </c>
      <c r="Q321" s="7">
        <v>5.7085199000000003E-2</v>
      </c>
      <c r="R321" s="7">
        <v>7.2432399999999994E-2</v>
      </c>
      <c r="S321" s="7">
        <v>3.6059477999999999E-2</v>
      </c>
      <c r="T321" s="7">
        <v>9.9451000999999997E-2</v>
      </c>
      <c r="U321" s="7">
        <v>3.4297949000000001E-2</v>
      </c>
      <c r="V321" s="7">
        <v>0.24361404964574562</v>
      </c>
      <c r="W321" s="7">
        <v>0.13762840131631413</v>
      </c>
      <c r="X321" s="7">
        <v>9.8815246616468372E-2</v>
      </c>
      <c r="AB321" s="4">
        <v>0</v>
      </c>
      <c r="AC321" s="4">
        <v>0</v>
      </c>
      <c r="AD321" s="4">
        <v>0</v>
      </c>
      <c r="AE321" s="4"/>
      <c r="AF321" s="4"/>
      <c r="AG321" s="4"/>
      <c r="AH321" s="4"/>
    </row>
    <row r="322" spans="1:34" x14ac:dyDescent="0.3">
      <c r="A322" s="1">
        <v>45051</v>
      </c>
      <c r="B322" s="7">
        <v>8.2414102000000003E-2</v>
      </c>
      <c r="C322" s="7">
        <v>2.6690587000000002E-2</v>
      </c>
      <c r="D322" s="7">
        <v>0.11336861500000001</v>
      </c>
      <c r="E322" s="7">
        <v>6.2925809999999999E-2</v>
      </c>
      <c r="F322" s="7">
        <v>8.0300563000000005E-2</v>
      </c>
      <c r="G322" s="7">
        <v>2.5403636E-2</v>
      </c>
      <c r="H322" s="7">
        <v>0.13550895600000001</v>
      </c>
      <c r="I322" s="7">
        <v>5.5743794999999999E-2</v>
      </c>
      <c r="J322" s="7">
        <v>3.5205039E-2</v>
      </c>
      <c r="K322" s="7">
        <v>3.5621495000000003E-2</v>
      </c>
      <c r="L322" s="7">
        <v>4.7335950000000002E-2</v>
      </c>
      <c r="M322" s="7">
        <v>5.0215523999999997E-2</v>
      </c>
      <c r="N322" s="7">
        <v>6.5104967999999999E-2</v>
      </c>
      <c r="O322" s="7">
        <v>9.3190370999999994E-2</v>
      </c>
      <c r="P322" s="7">
        <v>7.6820379999999994E-2</v>
      </c>
      <c r="Q322" s="7">
        <v>4.0761818999999998E-2</v>
      </c>
      <c r="R322" s="7">
        <v>4.7101407999999997E-2</v>
      </c>
      <c r="S322" s="7">
        <v>3.8733931999999999E-2</v>
      </c>
      <c r="T322" s="7">
        <v>9.9830436999999994E-2</v>
      </c>
      <c r="U322" s="7">
        <v>5.7085199000000003E-2</v>
      </c>
      <c r="V322" s="7">
        <v>0.24361404964574562</v>
      </c>
      <c r="W322" s="7">
        <v>0.13479625506307452</v>
      </c>
      <c r="X322" s="7">
        <v>9.7124797732140153E-2</v>
      </c>
      <c r="AB322" s="4">
        <v>0</v>
      </c>
      <c r="AC322" s="4">
        <v>0</v>
      </c>
      <c r="AD322" s="4">
        <v>0</v>
      </c>
      <c r="AE322" s="4"/>
      <c r="AF322" s="4"/>
      <c r="AG322" s="4"/>
      <c r="AH322" s="4"/>
    </row>
    <row r="323" spans="1:34" x14ac:dyDescent="0.3">
      <c r="A323" s="1">
        <v>45054</v>
      </c>
      <c r="B323" s="7">
        <v>7.8599470000000005E-2</v>
      </c>
      <c r="C323" s="7">
        <v>3.5436691999999999E-2</v>
      </c>
      <c r="D323" s="7">
        <v>9.8195333999999995E-2</v>
      </c>
      <c r="E323" s="7">
        <v>6.6150629000000002E-2</v>
      </c>
      <c r="F323" s="7">
        <v>8.2414102000000003E-2</v>
      </c>
      <c r="G323" s="7">
        <v>2.6690587000000002E-2</v>
      </c>
      <c r="H323" s="7">
        <v>0.11336861500000001</v>
      </c>
      <c r="I323" s="7">
        <v>6.2925809999999999E-2</v>
      </c>
      <c r="J323" s="7">
        <v>8.0300563000000005E-2</v>
      </c>
      <c r="K323" s="7">
        <v>2.5403636E-2</v>
      </c>
      <c r="L323" s="7">
        <v>0.13550895600000001</v>
      </c>
      <c r="M323" s="7">
        <v>5.5743794999999999E-2</v>
      </c>
      <c r="N323" s="7">
        <v>3.5205039E-2</v>
      </c>
      <c r="O323" s="7">
        <v>3.5621495000000003E-2</v>
      </c>
      <c r="P323" s="7">
        <v>4.7335950000000002E-2</v>
      </c>
      <c r="Q323" s="7">
        <v>5.0215523999999997E-2</v>
      </c>
      <c r="R323" s="7">
        <v>6.5104967999999999E-2</v>
      </c>
      <c r="S323" s="7">
        <v>9.3190370999999994E-2</v>
      </c>
      <c r="T323" s="7">
        <v>7.6820379999999994E-2</v>
      </c>
      <c r="U323" s="7">
        <v>4.0761818999999998E-2</v>
      </c>
      <c r="V323" s="7">
        <v>0.26436623727951547</v>
      </c>
      <c r="W323" s="7">
        <v>0.13495863128003113</v>
      </c>
      <c r="X323" s="7">
        <v>9.7492956258774063E-2</v>
      </c>
      <c r="AB323" s="4">
        <v>0</v>
      </c>
      <c r="AC323" s="4">
        <v>0</v>
      </c>
      <c r="AD323" s="4">
        <v>0</v>
      </c>
      <c r="AE323" s="4"/>
      <c r="AF323" s="4"/>
      <c r="AG323" s="4"/>
      <c r="AH323" s="4"/>
    </row>
    <row r="324" spans="1:34" x14ac:dyDescent="0.3">
      <c r="A324" s="1">
        <v>45055</v>
      </c>
      <c r="B324" s="7">
        <v>4.3631733999999998E-2</v>
      </c>
      <c r="C324" s="7">
        <v>3.6060835999999999E-2</v>
      </c>
      <c r="D324" s="7">
        <v>8.4535352999999994E-2</v>
      </c>
      <c r="E324" s="7">
        <v>7.9218974999999997E-2</v>
      </c>
      <c r="F324" s="7">
        <v>7.8599470000000005E-2</v>
      </c>
      <c r="G324" s="7">
        <v>3.5436691999999999E-2</v>
      </c>
      <c r="H324" s="7">
        <v>9.8195333999999995E-2</v>
      </c>
      <c r="I324" s="7">
        <v>6.6150629000000002E-2</v>
      </c>
      <c r="J324" s="7">
        <v>8.2414102000000003E-2</v>
      </c>
      <c r="K324" s="7">
        <v>2.6690587000000002E-2</v>
      </c>
      <c r="L324" s="7">
        <v>0.11336861500000001</v>
      </c>
      <c r="M324" s="7">
        <v>6.2925809999999999E-2</v>
      </c>
      <c r="N324" s="7">
        <v>8.0300563000000005E-2</v>
      </c>
      <c r="O324" s="7">
        <v>2.5403636E-2</v>
      </c>
      <c r="P324" s="7">
        <v>0.13550895600000001</v>
      </c>
      <c r="Q324" s="7">
        <v>5.5743794999999999E-2</v>
      </c>
      <c r="R324" s="7">
        <v>3.5205039E-2</v>
      </c>
      <c r="S324" s="7">
        <v>3.5621495000000003E-2</v>
      </c>
      <c r="T324" s="7">
        <v>4.7335950000000002E-2</v>
      </c>
      <c r="U324" s="7">
        <v>5.0215523999999997E-2</v>
      </c>
      <c r="V324" s="7">
        <v>0.27227727857566064</v>
      </c>
      <c r="W324" s="7">
        <v>0.13357803899446419</v>
      </c>
      <c r="X324" s="7">
        <v>9.7102902313767406E-2</v>
      </c>
      <c r="AB324" s="4">
        <v>0</v>
      </c>
      <c r="AC324" s="4">
        <v>0</v>
      </c>
      <c r="AD324" s="4">
        <v>0</v>
      </c>
      <c r="AE324" s="4"/>
      <c r="AF324" s="4"/>
      <c r="AG324" s="4"/>
      <c r="AH324" s="4"/>
    </row>
    <row r="325" spans="1:34" x14ac:dyDescent="0.3">
      <c r="A325" s="1">
        <v>45056</v>
      </c>
      <c r="B325" s="7">
        <v>5.0446945999999999E-2</v>
      </c>
      <c r="C325" s="7">
        <v>7.9688822000000006E-2</v>
      </c>
      <c r="D325" s="7">
        <v>5.8895093000000003E-2</v>
      </c>
      <c r="E325" s="7">
        <v>6.0441691999999998E-2</v>
      </c>
      <c r="F325" s="7">
        <v>4.3631733999999998E-2</v>
      </c>
      <c r="G325" s="7">
        <v>3.6060835999999999E-2</v>
      </c>
      <c r="H325" s="7">
        <v>8.4535352999999994E-2</v>
      </c>
      <c r="I325" s="7">
        <v>7.9218974999999997E-2</v>
      </c>
      <c r="J325" s="7">
        <v>7.8599470000000005E-2</v>
      </c>
      <c r="K325" s="7">
        <v>3.5436691999999999E-2</v>
      </c>
      <c r="L325" s="7">
        <v>9.8195333999999995E-2</v>
      </c>
      <c r="M325" s="7">
        <v>6.6150629000000002E-2</v>
      </c>
      <c r="N325" s="7">
        <v>8.2414102000000003E-2</v>
      </c>
      <c r="O325" s="7">
        <v>2.6690587000000002E-2</v>
      </c>
      <c r="P325" s="7">
        <v>0.11336861500000001</v>
      </c>
      <c r="Q325" s="7">
        <v>6.2925809999999999E-2</v>
      </c>
      <c r="R325" s="7">
        <v>8.0300563000000005E-2</v>
      </c>
      <c r="S325" s="7">
        <v>2.5403636E-2</v>
      </c>
      <c r="T325" s="7">
        <v>0.13550895600000001</v>
      </c>
      <c r="U325" s="7">
        <v>5.5743794999999999E-2</v>
      </c>
      <c r="V325" s="7">
        <v>0.27227727857566064</v>
      </c>
      <c r="W325" s="7">
        <v>0.13430246971986379</v>
      </c>
      <c r="X325" s="7">
        <v>9.7108404532849746E-2</v>
      </c>
      <c r="AB325" s="4">
        <v>1</v>
      </c>
      <c r="AC325" s="4">
        <v>0</v>
      </c>
      <c r="AD325" s="4">
        <v>1</v>
      </c>
      <c r="AE325" s="4"/>
      <c r="AF325" s="4"/>
      <c r="AG325" s="4"/>
      <c r="AH325" s="4"/>
    </row>
    <row r="326" spans="1:34" x14ac:dyDescent="0.3">
      <c r="A326" s="1">
        <v>45057</v>
      </c>
      <c r="B326" s="7">
        <v>0.14111771100000001</v>
      </c>
      <c r="C326" s="7">
        <v>3.8767309E-2</v>
      </c>
      <c r="D326" s="7">
        <v>0.106222582</v>
      </c>
      <c r="E326" s="7">
        <v>7.2558835000000002E-2</v>
      </c>
      <c r="F326" s="7">
        <v>5.0446945999999999E-2</v>
      </c>
      <c r="G326" s="7">
        <v>7.9688822000000006E-2</v>
      </c>
      <c r="H326" s="7">
        <v>5.8895093000000003E-2</v>
      </c>
      <c r="I326" s="7">
        <v>6.0441691999999998E-2</v>
      </c>
      <c r="J326" s="7">
        <v>4.3631733999999998E-2</v>
      </c>
      <c r="K326" s="7">
        <v>3.6060835999999999E-2</v>
      </c>
      <c r="L326" s="7">
        <v>8.4535352999999994E-2</v>
      </c>
      <c r="M326" s="7">
        <v>7.9218974999999997E-2</v>
      </c>
      <c r="N326" s="7">
        <v>7.8599470000000005E-2</v>
      </c>
      <c r="O326" s="7">
        <v>3.5436691999999999E-2</v>
      </c>
      <c r="P326" s="7">
        <v>9.8195333999999995E-2</v>
      </c>
      <c r="Q326" s="7">
        <v>6.6150629000000002E-2</v>
      </c>
      <c r="R326" s="7">
        <v>8.2414102000000003E-2</v>
      </c>
      <c r="S326" s="7">
        <v>2.6690587000000002E-2</v>
      </c>
      <c r="T326" s="7">
        <v>0.11336861500000001</v>
      </c>
      <c r="U326" s="7">
        <v>6.2925809999999999E-2</v>
      </c>
      <c r="V326" s="7">
        <v>0.26436623727951547</v>
      </c>
      <c r="W326" s="7">
        <v>0.13117840067196399</v>
      </c>
      <c r="X326" s="7">
        <v>9.5480666590428975E-2</v>
      </c>
      <c r="AB326" s="4">
        <v>1</v>
      </c>
      <c r="AC326" s="4">
        <v>0</v>
      </c>
      <c r="AD326" s="4">
        <v>1</v>
      </c>
      <c r="AE326" s="4"/>
      <c r="AF326" s="4"/>
      <c r="AG326" s="4"/>
      <c r="AH326" s="4"/>
    </row>
    <row r="327" spans="1:34" x14ac:dyDescent="0.3">
      <c r="A327" s="1">
        <v>45058</v>
      </c>
      <c r="B327" s="7">
        <v>0.109144459</v>
      </c>
      <c r="C327" s="7">
        <v>4.0105122999999999E-2</v>
      </c>
      <c r="D327" s="7">
        <v>0.13966377899999999</v>
      </c>
      <c r="E327" s="7">
        <v>6.3154859999999993E-2</v>
      </c>
      <c r="F327" s="7">
        <v>0.14111771100000001</v>
      </c>
      <c r="G327" s="7">
        <v>3.8767309E-2</v>
      </c>
      <c r="H327" s="7">
        <v>0.106222582</v>
      </c>
      <c r="I327" s="7">
        <v>7.2558835000000002E-2</v>
      </c>
      <c r="J327" s="7">
        <v>5.0446945999999999E-2</v>
      </c>
      <c r="K327" s="7">
        <v>7.9688822000000006E-2</v>
      </c>
      <c r="L327" s="7">
        <v>5.8895093000000003E-2</v>
      </c>
      <c r="M327" s="7">
        <v>6.0441691999999998E-2</v>
      </c>
      <c r="N327" s="7">
        <v>4.3631733999999998E-2</v>
      </c>
      <c r="O327" s="7">
        <v>3.6060835999999999E-2</v>
      </c>
      <c r="P327" s="7">
        <v>8.4535352999999994E-2</v>
      </c>
      <c r="Q327" s="7">
        <v>7.9218974999999997E-2</v>
      </c>
      <c r="R327" s="7">
        <v>7.8599470000000005E-2</v>
      </c>
      <c r="S327" s="7">
        <v>3.5436691999999999E-2</v>
      </c>
      <c r="T327" s="7">
        <v>9.8195333999999995E-2</v>
      </c>
      <c r="U327" s="7">
        <v>6.6150629000000002E-2</v>
      </c>
      <c r="V327" s="7">
        <v>0.26436623727951547</v>
      </c>
      <c r="W327" s="7">
        <v>0.13116255074519548</v>
      </c>
      <c r="X327" s="7">
        <v>9.5535074519538382E-2</v>
      </c>
      <c r="AB327" s="4">
        <v>1</v>
      </c>
      <c r="AC327" s="4">
        <v>0</v>
      </c>
      <c r="AD327" s="4">
        <v>1</v>
      </c>
      <c r="AE327" s="4"/>
      <c r="AF327" s="4"/>
      <c r="AG327" s="4"/>
      <c r="AH327" s="4"/>
    </row>
    <row r="328" spans="1:34" x14ac:dyDescent="0.3">
      <c r="A328" s="1">
        <v>45061</v>
      </c>
      <c r="B328" s="7">
        <v>0.144866835</v>
      </c>
      <c r="C328" s="7">
        <v>5.4439828000000003E-2</v>
      </c>
      <c r="D328" s="7">
        <v>0.176334243</v>
      </c>
      <c r="E328" s="7">
        <v>0.134449715</v>
      </c>
      <c r="F328" s="7">
        <v>0.109144459</v>
      </c>
      <c r="G328" s="7">
        <v>4.0105122999999999E-2</v>
      </c>
      <c r="H328" s="7">
        <v>0.13966377899999999</v>
      </c>
      <c r="I328" s="7">
        <v>6.3154859999999993E-2</v>
      </c>
      <c r="J328" s="7">
        <v>0.14111771100000001</v>
      </c>
      <c r="K328" s="7">
        <v>3.8767309E-2</v>
      </c>
      <c r="L328" s="7">
        <v>0.106222582</v>
      </c>
      <c r="M328" s="7">
        <v>7.2558835000000002E-2</v>
      </c>
      <c r="N328" s="7">
        <v>5.0446945999999999E-2</v>
      </c>
      <c r="O328" s="7">
        <v>7.9688822000000006E-2</v>
      </c>
      <c r="P328" s="7">
        <v>5.8895093000000003E-2</v>
      </c>
      <c r="Q328" s="7">
        <v>6.0441691999999998E-2</v>
      </c>
      <c r="R328" s="7">
        <v>4.3631733999999998E-2</v>
      </c>
      <c r="S328" s="7">
        <v>3.6060835999999999E-2</v>
      </c>
      <c r="T328" s="7">
        <v>8.4535352999999994E-2</v>
      </c>
      <c r="U328" s="7">
        <v>7.9218974999999997E-2</v>
      </c>
      <c r="V328" s="7">
        <v>0.26436623727951547</v>
      </c>
      <c r="W328" s="7">
        <v>0.13116966616244546</v>
      </c>
      <c r="X328" s="7">
        <v>9.5503949133192309E-2</v>
      </c>
      <c r="AB328" s="4">
        <v>1</v>
      </c>
      <c r="AC328" s="4">
        <v>0</v>
      </c>
      <c r="AD328" s="4">
        <v>1</v>
      </c>
      <c r="AE328" s="4"/>
      <c r="AF328" s="4"/>
      <c r="AG328" s="4"/>
      <c r="AH328" s="4"/>
    </row>
    <row r="329" spans="1:34" x14ac:dyDescent="0.3">
      <c r="A329" s="1">
        <v>45062</v>
      </c>
      <c r="B329" s="7">
        <v>0.14472876100000001</v>
      </c>
      <c r="C329" s="7">
        <v>0.12800708999999999</v>
      </c>
      <c r="D329" s="7">
        <v>0.25004496199999998</v>
      </c>
      <c r="E329" s="7">
        <v>0.18503517999999999</v>
      </c>
      <c r="F329" s="7">
        <v>0.144866835</v>
      </c>
      <c r="G329" s="7">
        <v>5.4439828000000003E-2</v>
      </c>
      <c r="H329" s="7">
        <v>0.176334243</v>
      </c>
      <c r="I329" s="7">
        <v>0.134449715</v>
      </c>
      <c r="J329" s="7">
        <v>0.109144459</v>
      </c>
      <c r="K329" s="7">
        <v>4.0105122999999999E-2</v>
      </c>
      <c r="L329" s="7">
        <v>0.13966377899999999</v>
      </c>
      <c r="M329" s="7">
        <v>6.3154859999999993E-2</v>
      </c>
      <c r="N329" s="7">
        <v>0.14111771100000001</v>
      </c>
      <c r="O329" s="7">
        <v>3.8767309E-2</v>
      </c>
      <c r="P329" s="7">
        <v>0.106222582</v>
      </c>
      <c r="Q329" s="7">
        <v>7.2558835000000002E-2</v>
      </c>
      <c r="R329" s="7">
        <v>5.0446945999999999E-2</v>
      </c>
      <c r="S329" s="7">
        <v>7.9688822000000006E-2</v>
      </c>
      <c r="T329" s="7">
        <v>5.8895093000000003E-2</v>
      </c>
      <c r="U329" s="7">
        <v>6.0441691999999998E-2</v>
      </c>
      <c r="V329" s="7">
        <v>0.27227727857566064</v>
      </c>
      <c r="W329" s="7">
        <v>0.13500865140873244</v>
      </c>
      <c r="X329" s="7">
        <v>9.7836277789819251E-2</v>
      </c>
      <c r="AB329" s="4">
        <v>1</v>
      </c>
      <c r="AC329" s="4">
        <v>0</v>
      </c>
      <c r="AD329" s="4">
        <v>1</v>
      </c>
      <c r="AE329" s="4"/>
      <c r="AF329" s="4"/>
      <c r="AG329" s="4"/>
      <c r="AH329" s="4"/>
    </row>
    <row r="330" spans="1:34" x14ac:dyDescent="0.3">
      <c r="A330" s="1">
        <v>45063</v>
      </c>
      <c r="B330" s="7">
        <v>1.1612292999999999E-2</v>
      </c>
      <c r="C330" s="7">
        <v>2.4593215000000002E-2</v>
      </c>
      <c r="D330" s="7">
        <v>4.1427771000000002E-2</v>
      </c>
      <c r="E330" s="7">
        <v>3.3119000000000003E-2</v>
      </c>
      <c r="F330" s="7">
        <v>0.14472876100000001</v>
      </c>
      <c r="G330" s="7">
        <v>0.12800708999999999</v>
      </c>
      <c r="H330" s="7">
        <v>0.25004496199999998</v>
      </c>
      <c r="I330" s="7">
        <v>0.18503517999999999</v>
      </c>
      <c r="J330" s="7">
        <v>0.144866835</v>
      </c>
      <c r="K330" s="7">
        <v>5.4439828000000003E-2</v>
      </c>
      <c r="L330" s="7">
        <v>0.176334243</v>
      </c>
      <c r="M330" s="7">
        <v>0.134449715</v>
      </c>
      <c r="N330" s="7">
        <v>0.109144459</v>
      </c>
      <c r="O330" s="7">
        <v>4.0105122999999999E-2</v>
      </c>
      <c r="P330" s="7">
        <v>0.13966377899999999</v>
      </c>
      <c r="Q330" s="7">
        <v>6.3154859999999993E-2</v>
      </c>
      <c r="R330" s="7">
        <v>0.14111771100000001</v>
      </c>
      <c r="S330" s="7">
        <v>3.8767309E-2</v>
      </c>
      <c r="T330" s="7">
        <v>0.106222582</v>
      </c>
      <c r="U330" s="7">
        <v>7.2558835000000002E-2</v>
      </c>
      <c r="V330" s="7">
        <v>0.27227727857566064</v>
      </c>
      <c r="W330" s="7">
        <v>0.13957567152957578</v>
      </c>
      <c r="X330" s="7">
        <v>9.9321569851880231E-2</v>
      </c>
      <c r="AB330" s="4">
        <v>0</v>
      </c>
      <c r="AC330" s="4">
        <v>0</v>
      </c>
      <c r="AD330" s="4">
        <v>0</v>
      </c>
      <c r="AE330" s="4"/>
      <c r="AF330" s="4"/>
      <c r="AG330" s="4"/>
      <c r="AH330" s="4"/>
    </row>
    <row r="331" spans="1:34" x14ac:dyDescent="0.3">
      <c r="A331" s="1">
        <v>45064</v>
      </c>
      <c r="B331" s="7">
        <v>6.4596454999999997E-2</v>
      </c>
      <c r="C331" s="7">
        <v>3.5307465000000003E-2</v>
      </c>
      <c r="D331" s="7">
        <v>8.4434137000000006E-2</v>
      </c>
      <c r="E331" s="7">
        <v>4.8145555E-2</v>
      </c>
      <c r="F331" s="7">
        <v>1.1612292999999999E-2</v>
      </c>
      <c r="G331" s="7">
        <v>2.4593215000000002E-2</v>
      </c>
      <c r="H331" s="7">
        <v>4.1427771000000002E-2</v>
      </c>
      <c r="I331" s="7">
        <v>3.3119000000000003E-2</v>
      </c>
      <c r="J331" s="7">
        <v>0.14472876100000001</v>
      </c>
      <c r="K331" s="7">
        <v>0.12800708999999999</v>
      </c>
      <c r="L331" s="7">
        <v>0.25004496199999998</v>
      </c>
      <c r="M331" s="7">
        <v>0.18503517999999999</v>
      </c>
      <c r="N331" s="7">
        <v>0.144866835</v>
      </c>
      <c r="O331" s="7">
        <v>5.4439828000000003E-2</v>
      </c>
      <c r="P331" s="7">
        <v>0.176334243</v>
      </c>
      <c r="Q331" s="7">
        <v>0.134449715</v>
      </c>
      <c r="R331" s="7">
        <v>0.109144459</v>
      </c>
      <c r="S331" s="7">
        <v>4.0105122999999999E-2</v>
      </c>
      <c r="T331" s="7">
        <v>0.13966377899999999</v>
      </c>
      <c r="U331" s="7">
        <v>6.3154859999999993E-2</v>
      </c>
      <c r="V331" s="7">
        <v>0.29026878172508053</v>
      </c>
      <c r="W331" s="7">
        <v>0.13739514784745924</v>
      </c>
      <c r="X331" s="7">
        <v>9.7000288345504324E-2</v>
      </c>
      <c r="AB331" s="4">
        <v>0</v>
      </c>
      <c r="AC331" s="4">
        <v>0</v>
      </c>
      <c r="AD331" s="4">
        <v>0</v>
      </c>
      <c r="AE331" s="4"/>
      <c r="AF331" s="4"/>
      <c r="AG331" s="4"/>
      <c r="AH331" s="4"/>
    </row>
    <row r="332" spans="1:34" x14ac:dyDescent="0.3">
      <c r="A332" s="1">
        <v>45065</v>
      </c>
      <c r="B332" s="7">
        <v>6.1621096E-2</v>
      </c>
      <c r="C332" s="7">
        <v>2.1204693E-2</v>
      </c>
      <c r="D332" s="7">
        <v>6.9053360999999994E-2</v>
      </c>
      <c r="E332" s="7">
        <v>2.8164291000000001E-2</v>
      </c>
      <c r="F332" s="7">
        <v>6.4596454999999997E-2</v>
      </c>
      <c r="G332" s="7">
        <v>3.5307465000000003E-2</v>
      </c>
      <c r="H332" s="7">
        <v>8.4434137000000006E-2</v>
      </c>
      <c r="I332" s="7">
        <v>4.8145555E-2</v>
      </c>
      <c r="J332" s="7">
        <v>1.1612292999999999E-2</v>
      </c>
      <c r="K332" s="7">
        <v>2.4593215000000002E-2</v>
      </c>
      <c r="L332" s="7">
        <v>4.1427771000000002E-2</v>
      </c>
      <c r="M332" s="7">
        <v>3.3119000000000003E-2</v>
      </c>
      <c r="N332" s="7">
        <v>0.14472876100000001</v>
      </c>
      <c r="O332" s="7">
        <v>0.12800708999999999</v>
      </c>
      <c r="P332" s="7">
        <v>0.25004496199999998</v>
      </c>
      <c r="Q332" s="7">
        <v>0.18503517999999999</v>
      </c>
      <c r="R332" s="7">
        <v>0.144866835</v>
      </c>
      <c r="S332" s="7">
        <v>5.4439828000000003E-2</v>
      </c>
      <c r="T332" s="7">
        <v>0.176334243</v>
      </c>
      <c r="U332" s="7">
        <v>0.134449715</v>
      </c>
      <c r="V332" s="7">
        <v>0.29026878172508053</v>
      </c>
      <c r="W332" s="7">
        <v>0.13662578369763598</v>
      </c>
      <c r="X332" s="7">
        <v>9.6484722214413066E-2</v>
      </c>
      <c r="AB332" s="4">
        <v>1</v>
      </c>
      <c r="AC332" s="4">
        <v>0</v>
      </c>
      <c r="AD332" s="4">
        <v>1</v>
      </c>
      <c r="AE332" s="4"/>
      <c r="AF332" s="4"/>
      <c r="AG332" s="4"/>
      <c r="AH332" s="4"/>
    </row>
    <row r="333" spans="1:34" x14ac:dyDescent="0.3">
      <c r="A333" s="1">
        <v>45068</v>
      </c>
      <c r="B333" s="7">
        <v>4.3920566000000001E-2</v>
      </c>
      <c r="C333" s="7">
        <v>1.7849950999999999E-2</v>
      </c>
      <c r="D333" s="7">
        <v>6.1891824999999998E-2</v>
      </c>
      <c r="E333" s="7">
        <v>4.8687572999999998E-2</v>
      </c>
      <c r="F333" s="7">
        <v>6.1621096E-2</v>
      </c>
      <c r="G333" s="7">
        <v>2.1204693E-2</v>
      </c>
      <c r="H333" s="7">
        <v>6.9053360999999994E-2</v>
      </c>
      <c r="I333" s="7">
        <v>2.8164291000000001E-2</v>
      </c>
      <c r="J333" s="7">
        <v>6.4596454999999997E-2</v>
      </c>
      <c r="K333" s="7">
        <v>3.5307465000000003E-2</v>
      </c>
      <c r="L333" s="7">
        <v>8.4434137000000006E-2</v>
      </c>
      <c r="M333" s="7">
        <v>4.8145555E-2</v>
      </c>
      <c r="N333" s="7">
        <v>1.1612292999999999E-2</v>
      </c>
      <c r="O333" s="7">
        <v>2.4593215000000002E-2</v>
      </c>
      <c r="P333" s="7">
        <v>4.1427771000000002E-2</v>
      </c>
      <c r="Q333" s="7">
        <v>3.3119000000000003E-2</v>
      </c>
      <c r="R333" s="7">
        <v>0.14472876100000001</v>
      </c>
      <c r="S333" s="7">
        <v>0.12800708999999999</v>
      </c>
      <c r="T333" s="7">
        <v>0.25004496199999998</v>
      </c>
      <c r="U333" s="7">
        <v>0.18503517999999999</v>
      </c>
      <c r="V333" s="7">
        <v>0.29026878172508053</v>
      </c>
      <c r="W333" s="7">
        <v>0.13604258912141326</v>
      </c>
      <c r="X333" s="7">
        <v>9.6469518084148873E-2</v>
      </c>
      <c r="AB333" s="4">
        <v>1</v>
      </c>
      <c r="AC333" s="4">
        <v>0</v>
      </c>
      <c r="AD333" s="4">
        <v>1</v>
      </c>
      <c r="AE333" s="4"/>
      <c r="AF333" s="4"/>
      <c r="AG333" s="4"/>
      <c r="AH333" s="4"/>
    </row>
    <row r="334" spans="1:34" x14ac:dyDescent="0.3">
      <c r="A334" s="1">
        <v>45069</v>
      </c>
      <c r="B334" s="7">
        <v>3.4909099999999998E-2</v>
      </c>
      <c r="C334" s="7">
        <v>2.4076054E-2</v>
      </c>
      <c r="D334" s="7">
        <v>4.5355909999999999E-2</v>
      </c>
      <c r="E334" s="7">
        <v>4.1073750999999999E-2</v>
      </c>
      <c r="F334" s="7">
        <v>4.3920566000000001E-2</v>
      </c>
      <c r="G334" s="7">
        <v>1.7849950999999999E-2</v>
      </c>
      <c r="H334" s="7">
        <v>6.1891824999999998E-2</v>
      </c>
      <c r="I334" s="7">
        <v>4.8687572999999998E-2</v>
      </c>
      <c r="J334" s="7">
        <v>6.1621096E-2</v>
      </c>
      <c r="K334" s="7">
        <v>2.1204693E-2</v>
      </c>
      <c r="L334" s="7">
        <v>6.9053360999999994E-2</v>
      </c>
      <c r="M334" s="7">
        <v>2.8164291000000001E-2</v>
      </c>
      <c r="N334" s="7">
        <v>6.4596454999999997E-2</v>
      </c>
      <c r="O334" s="7">
        <v>3.5307465000000003E-2</v>
      </c>
      <c r="P334" s="7">
        <v>8.4434137000000006E-2</v>
      </c>
      <c r="Q334" s="7">
        <v>4.8145555E-2</v>
      </c>
      <c r="R334" s="7">
        <v>1.1612292999999999E-2</v>
      </c>
      <c r="S334" s="7">
        <v>2.4593215000000002E-2</v>
      </c>
      <c r="T334" s="7">
        <v>4.1427771000000002E-2</v>
      </c>
      <c r="U334" s="7">
        <v>3.3119000000000003E-2</v>
      </c>
      <c r="V334" s="7">
        <v>0.27227727857566064</v>
      </c>
      <c r="W334" s="7">
        <v>0.13594010997116604</v>
      </c>
      <c r="X334" s="7">
        <v>9.6103626241675469E-2</v>
      </c>
      <c r="AB334" s="4">
        <v>1</v>
      </c>
      <c r="AC334" s="4">
        <v>0</v>
      </c>
      <c r="AD334" s="4">
        <v>1</v>
      </c>
      <c r="AE334" s="4"/>
      <c r="AF334" s="4"/>
      <c r="AG334" s="4"/>
      <c r="AH334" s="4"/>
    </row>
    <row r="335" spans="1:34" x14ac:dyDescent="0.3">
      <c r="A335" s="1">
        <v>45070</v>
      </c>
      <c r="B335" s="7">
        <v>1.6829746999999999E-2</v>
      </c>
      <c r="C335" s="7">
        <v>2.4694773E-2</v>
      </c>
      <c r="D335" s="7">
        <v>4.2207886E-2</v>
      </c>
      <c r="E335" s="7">
        <v>4.2562955999999999E-2</v>
      </c>
      <c r="F335" s="7">
        <v>3.4909099999999998E-2</v>
      </c>
      <c r="G335" s="7">
        <v>2.4076054E-2</v>
      </c>
      <c r="H335" s="7">
        <v>4.5355909999999999E-2</v>
      </c>
      <c r="I335" s="7">
        <v>4.1073750999999999E-2</v>
      </c>
      <c r="J335" s="7">
        <v>4.3920566000000001E-2</v>
      </c>
      <c r="K335" s="7">
        <v>1.7849950999999999E-2</v>
      </c>
      <c r="L335" s="7">
        <v>6.1891824999999998E-2</v>
      </c>
      <c r="M335" s="7">
        <v>4.8687572999999998E-2</v>
      </c>
      <c r="N335" s="7">
        <v>6.1621096E-2</v>
      </c>
      <c r="O335" s="7">
        <v>2.1204693E-2</v>
      </c>
      <c r="P335" s="7">
        <v>6.9053360999999994E-2</v>
      </c>
      <c r="Q335" s="7">
        <v>2.8164291000000001E-2</v>
      </c>
      <c r="R335" s="7">
        <v>6.4596454999999997E-2</v>
      </c>
      <c r="S335" s="7">
        <v>3.5307465000000003E-2</v>
      </c>
      <c r="T335" s="7">
        <v>8.4434137000000006E-2</v>
      </c>
      <c r="U335" s="7">
        <v>4.8145555E-2</v>
      </c>
      <c r="V335" s="7">
        <v>0.26436623727951547</v>
      </c>
      <c r="W335" s="7">
        <v>0.13605603792056886</v>
      </c>
      <c r="X335" s="7">
        <v>9.5848039331332596E-2</v>
      </c>
      <c r="AB335" s="4">
        <v>1</v>
      </c>
      <c r="AC335" s="4">
        <v>0</v>
      </c>
      <c r="AD335" s="4">
        <v>1</v>
      </c>
      <c r="AE335" s="4"/>
      <c r="AF335" s="4"/>
      <c r="AG335" s="4"/>
      <c r="AH335" s="4"/>
    </row>
    <row r="336" spans="1:34" x14ac:dyDescent="0.3">
      <c r="A336" s="1">
        <v>45071</v>
      </c>
      <c r="B336" s="7">
        <v>4.4554077999999997E-2</v>
      </c>
      <c r="C336" s="7">
        <v>2.8776614999999998E-2</v>
      </c>
      <c r="D336" s="7">
        <v>9.8526245999999998E-2</v>
      </c>
      <c r="E336" s="7">
        <v>4.2257281000000001E-2</v>
      </c>
      <c r="F336" s="7">
        <v>1.6829746999999999E-2</v>
      </c>
      <c r="G336" s="7">
        <v>2.4694773E-2</v>
      </c>
      <c r="H336" s="7">
        <v>4.2207886E-2</v>
      </c>
      <c r="I336" s="7">
        <v>4.2562955999999999E-2</v>
      </c>
      <c r="J336" s="7">
        <v>3.4909099999999998E-2</v>
      </c>
      <c r="K336" s="7">
        <v>2.4076054E-2</v>
      </c>
      <c r="L336" s="7">
        <v>4.5355909999999999E-2</v>
      </c>
      <c r="M336" s="7">
        <v>4.1073750999999999E-2</v>
      </c>
      <c r="N336" s="7">
        <v>4.3920566000000001E-2</v>
      </c>
      <c r="O336" s="7">
        <v>1.7849950999999999E-2</v>
      </c>
      <c r="P336" s="7">
        <v>6.1891824999999998E-2</v>
      </c>
      <c r="Q336" s="7">
        <v>4.8687572999999998E-2</v>
      </c>
      <c r="R336" s="7">
        <v>6.1621096E-2</v>
      </c>
      <c r="S336" s="7">
        <v>2.1204693E-2</v>
      </c>
      <c r="T336" s="7">
        <v>6.9053360999999994E-2</v>
      </c>
      <c r="U336" s="7">
        <v>2.8164291000000001E-2</v>
      </c>
      <c r="V336" s="7">
        <v>0.28639908800420549</v>
      </c>
      <c r="W336" s="7">
        <v>0.13510747486423902</v>
      </c>
      <c r="X336" s="7">
        <v>9.5608264591463002E-2</v>
      </c>
      <c r="AB336" s="4">
        <v>0</v>
      </c>
      <c r="AC336" s="4">
        <v>0</v>
      </c>
      <c r="AD336" s="4">
        <v>0</v>
      </c>
      <c r="AE336" s="4"/>
      <c r="AF336" s="4"/>
      <c r="AG336" s="4"/>
      <c r="AH336" s="4"/>
    </row>
    <row r="337" spans="1:34" x14ac:dyDescent="0.3">
      <c r="A337" s="1">
        <v>45072</v>
      </c>
      <c r="B337" s="7">
        <v>5.0635541999999999E-2</v>
      </c>
      <c r="C337" s="7">
        <v>4.0503854999999998E-2</v>
      </c>
      <c r="D337" s="7">
        <v>9.6201241000000007E-2</v>
      </c>
      <c r="E337" s="7">
        <v>5.2059172000000001E-2</v>
      </c>
      <c r="F337" s="7">
        <v>4.4554077999999997E-2</v>
      </c>
      <c r="G337" s="7">
        <v>2.8776614999999998E-2</v>
      </c>
      <c r="H337" s="7">
        <v>9.8526245999999998E-2</v>
      </c>
      <c r="I337" s="7">
        <v>4.2257281000000001E-2</v>
      </c>
      <c r="J337" s="7">
        <v>1.6829746999999999E-2</v>
      </c>
      <c r="K337" s="7">
        <v>2.4694773E-2</v>
      </c>
      <c r="L337" s="7">
        <v>4.2207886E-2</v>
      </c>
      <c r="M337" s="7">
        <v>4.2562955999999999E-2</v>
      </c>
      <c r="N337" s="7">
        <v>3.4909099999999998E-2</v>
      </c>
      <c r="O337" s="7">
        <v>2.4076054E-2</v>
      </c>
      <c r="P337" s="7">
        <v>4.5355909999999999E-2</v>
      </c>
      <c r="Q337" s="7">
        <v>4.1073750999999999E-2</v>
      </c>
      <c r="R337" s="7">
        <v>4.3920566000000001E-2</v>
      </c>
      <c r="S337" s="7">
        <v>1.7849950999999999E-2</v>
      </c>
      <c r="T337" s="7">
        <v>6.1891824999999998E-2</v>
      </c>
      <c r="U337" s="7">
        <v>4.8687572999999998E-2</v>
      </c>
      <c r="V337" s="7">
        <v>0.28639908800420549</v>
      </c>
      <c r="W337" s="7">
        <v>0.1352838533666478</v>
      </c>
      <c r="X337" s="7">
        <v>9.5660891601922746E-2</v>
      </c>
      <c r="AB337" s="4">
        <v>0</v>
      </c>
      <c r="AC337" s="4">
        <v>0</v>
      </c>
      <c r="AD337" s="4">
        <v>0</v>
      </c>
      <c r="AE337" s="4"/>
      <c r="AF337" s="4"/>
      <c r="AG337" s="4"/>
      <c r="AH337" s="4"/>
    </row>
    <row r="338" spans="1:34" x14ac:dyDescent="0.3">
      <c r="A338" s="1">
        <v>45075</v>
      </c>
      <c r="B338" s="7">
        <v>5.9071167000000001E-2</v>
      </c>
      <c r="C338" s="7">
        <v>3.2942792999999998E-2</v>
      </c>
      <c r="D338" s="7">
        <v>7.4567760999999996E-2</v>
      </c>
      <c r="E338" s="7">
        <v>3.9942197999999998E-2</v>
      </c>
      <c r="F338" s="7">
        <v>5.0635541999999999E-2</v>
      </c>
      <c r="G338" s="7">
        <v>4.0503854999999998E-2</v>
      </c>
      <c r="H338" s="7">
        <v>9.6201241000000007E-2</v>
      </c>
      <c r="I338" s="7">
        <v>5.2059172000000001E-2</v>
      </c>
      <c r="J338" s="7">
        <v>4.4554077999999997E-2</v>
      </c>
      <c r="K338" s="7">
        <v>2.8776614999999998E-2</v>
      </c>
      <c r="L338" s="7">
        <v>9.8526245999999998E-2</v>
      </c>
      <c r="M338" s="7">
        <v>4.2257281000000001E-2</v>
      </c>
      <c r="N338" s="7">
        <v>1.6829746999999999E-2</v>
      </c>
      <c r="O338" s="7">
        <v>2.4694773E-2</v>
      </c>
      <c r="P338" s="7">
        <v>4.2207886E-2</v>
      </c>
      <c r="Q338" s="7">
        <v>4.2562955999999999E-2</v>
      </c>
      <c r="R338" s="7">
        <v>3.4909099999999998E-2</v>
      </c>
      <c r="S338" s="7">
        <v>2.4076054E-2</v>
      </c>
      <c r="T338" s="7">
        <v>4.5355909999999999E-2</v>
      </c>
      <c r="U338" s="7">
        <v>4.1073750999999999E-2</v>
      </c>
      <c r="V338" s="7">
        <v>0.31969554617577967</v>
      </c>
      <c r="W338" s="7">
        <v>0.13411241319169351</v>
      </c>
      <c r="X338" s="7">
        <v>9.5520690015874543E-2</v>
      </c>
      <c r="AB338" s="4">
        <v>0</v>
      </c>
      <c r="AC338" s="4">
        <v>0</v>
      </c>
      <c r="AD338" s="4">
        <v>0</v>
      </c>
      <c r="AE338" s="4"/>
      <c r="AF338" s="4"/>
      <c r="AG338" s="4"/>
      <c r="AH338" s="4"/>
    </row>
    <row r="339" spans="1:34" x14ac:dyDescent="0.3">
      <c r="A339" s="1">
        <v>45076</v>
      </c>
      <c r="B339" s="7">
        <v>4.0826385E-2</v>
      </c>
      <c r="C339" s="7">
        <v>2.2856642999999999E-2</v>
      </c>
      <c r="D339" s="7">
        <v>5.3220444999999998E-2</v>
      </c>
      <c r="E339" s="7">
        <v>4.1455367999999999E-2</v>
      </c>
      <c r="F339" s="7">
        <v>5.9071167000000001E-2</v>
      </c>
      <c r="G339" s="7">
        <v>3.2942792999999998E-2</v>
      </c>
      <c r="H339" s="7">
        <v>7.4567760999999996E-2</v>
      </c>
      <c r="I339" s="7">
        <v>3.9942197999999998E-2</v>
      </c>
      <c r="J339" s="7">
        <v>5.0635541999999999E-2</v>
      </c>
      <c r="K339" s="7">
        <v>4.0503854999999998E-2</v>
      </c>
      <c r="L339" s="7">
        <v>9.6201241000000007E-2</v>
      </c>
      <c r="M339" s="7">
        <v>5.2059172000000001E-2</v>
      </c>
      <c r="N339" s="7">
        <v>4.4554077999999997E-2</v>
      </c>
      <c r="O339" s="7">
        <v>2.8776614999999998E-2</v>
      </c>
      <c r="P339" s="7">
        <v>9.8526245999999998E-2</v>
      </c>
      <c r="Q339" s="7">
        <v>4.2257281000000001E-2</v>
      </c>
      <c r="R339" s="7">
        <v>1.6829746999999999E-2</v>
      </c>
      <c r="S339" s="7">
        <v>2.4694773E-2</v>
      </c>
      <c r="T339" s="7">
        <v>4.2207886E-2</v>
      </c>
      <c r="U339" s="7">
        <v>4.2562955999999999E-2</v>
      </c>
      <c r="V339" s="7">
        <v>0.28639908800420549</v>
      </c>
      <c r="W339" s="7">
        <v>0.13411002665162075</v>
      </c>
      <c r="X339" s="7">
        <v>9.5043923622525242E-2</v>
      </c>
      <c r="AB339" s="4">
        <v>0</v>
      </c>
      <c r="AC339" s="4">
        <v>0</v>
      </c>
      <c r="AD339" s="4">
        <v>0</v>
      </c>
      <c r="AE339" s="4"/>
      <c r="AF339" s="4"/>
      <c r="AG339" s="4"/>
      <c r="AH339" s="4"/>
    </row>
    <row r="340" spans="1:34" x14ac:dyDescent="0.3">
      <c r="A340" s="1">
        <v>45077</v>
      </c>
      <c r="B340" s="7">
        <v>4.8096697000000001E-2</v>
      </c>
      <c r="C340" s="7">
        <v>3.6818469E-2</v>
      </c>
      <c r="D340" s="7">
        <v>3.8059084E-2</v>
      </c>
      <c r="E340" s="7">
        <v>4.6931564000000002E-2</v>
      </c>
      <c r="F340" s="7">
        <v>4.0826385E-2</v>
      </c>
      <c r="G340" s="7">
        <v>2.2856642999999999E-2</v>
      </c>
      <c r="H340" s="7">
        <v>5.3220444999999998E-2</v>
      </c>
      <c r="I340" s="7">
        <v>4.1455367999999999E-2</v>
      </c>
      <c r="J340" s="7">
        <v>5.9071167000000001E-2</v>
      </c>
      <c r="K340" s="7">
        <v>3.2942792999999998E-2</v>
      </c>
      <c r="L340" s="7">
        <v>7.4567760999999996E-2</v>
      </c>
      <c r="M340" s="7">
        <v>3.9942197999999998E-2</v>
      </c>
      <c r="N340" s="7">
        <v>5.0635541999999999E-2</v>
      </c>
      <c r="O340" s="7">
        <v>4.0503854999999998E-2</v>
      </c>
      <c r="P340" s="7">
        <v>9.6201241000000007E-2</v>
      </c>
      <c r="Q340" s="7">
        <v>5.2059172000000001E-2</v>
      </c>
      <c r="R340" s="7">
        <v>4.4554077999999997E-2</v>
      </c>
      <c r="S340" s="7">
        <v>2.8776614999999998E-2</v>
      </c>
      <c r="T340" s="7">
        <v>9.8526245999999998E-2</v>
      </c>
      <c r="U340" s="7">
        <v>4.2257281000000001E-2</v>
      </c>
      <c r="V340" s="7">
        <v>0.28639908800420549</v>
      </c>
      <c r="W340" s="7">
        <v>0.13437876889056394</v>
      </c>
      <c r="X340" s="7">
        <v>9.4982950435810218E-2</v>
      </c>
      <c r="AB340" s="4">
        <v>1</v>
      </c>
      <c r="AC340" s="4">
        <v>0</v>
      </c>
      <c r="AD340" s="4">
        <v>1</v>
      </c>
      <c r="AE340" s="4"/>
      <c r="AF340" s="4"/>
      <c r="AG340" s="4"/>
      <c r="AH340" s="4"/>
    </row>
    <row r="341" spans="1:34" x14ac:dyDescent="0.3">
      <c r="A341" s="1">
        <v>45078</v>
      </c>
      <c r="B341" s="7">
        <v>8.6858828999999999E-2</v>
      </c>
      <c r="C341" s="7">
        <v>2.0532406999999999E-2</v>
      </c>
      <c r="D341" s="7">
        <v>9.0141498E-2</v>
      </c>
      <c r="E341" s="7">
        <v>2.8016082000000001E-2</v>
      </c>
      <c r="F341" s="7">
        <v>4.8096697000000001E-2</v>
      </c>
      <c r="G341" s="7">
        <v>3.6818469E-2</v>
      </c>
      <c r="H341" s="7">
        <v>3.8059084E-2</v>
      </c>
      <c r="I341" s="7">
        <v>4.6931564000000002E-2</v>
      </c>
      <c r="J341" s="7">
        <v>4.0826385E-2</v>
      </c>
      <c r="K341" s="7">
        <v>2.2856642999999999E-2</v>
      </c>
      <c r="L341" s="7">
        <v>5.3220444999999998E-2</v>
      </c>
      <c r="M341" s="7">
        <v>4.1455367999999999E-2</v>
      </c>
      <c r="N341" s="7">
        <v>5.9071167000000001E-2</v>
      </c>
      <c r="O341" s="7">
        <v>3.2942792999999998E-2</v>
      </c>
      <c r="P341" s="7">
        <v>7.4567760999999996E-2</v>
      </c>
      <c r="Q341" s="7">
        <v>3.9942197999999998E-2</v>
      </c>
      <c r="R341" s="7">
        <v>5.0635541999999999E-2</v>
      </c>
      <c r="S341" s="7">
        <v>4.0503854999999998E-2</v>
      </c>
      <c r="T341" s="7">
        <v>9.6201241000000007E-2</v>
      </c>
      <c r="U341" s="7">
        <v>5.2059172000000001E-2</v>
      </c>
      <c r="V341" s="7">
        <v>0.28639908800420549</v>
      </c>
      <c r="W341" s="7">
        <v>0.13491478525389611</v>
      </c>
      <c r="X341" s="7">
        <v>9.4961825662343929E-2</v>
      </c>
      <c r="AB341" s="4">
        <v>0</v>
      </c>
      <c r="AC341" s="4">
        <v>0</v>
      </c>
      <c r="AD341" s="4">
        <v>0</v>
      </c>
      <c r="AE341" s="4"/>
      <c r="AF341" s="4"/>
      <c r="AG341" s="4"/>
      <c r="AH341" s="4"/>
    </row>
    <row r="342" spans="1:34" x14ac:dyDescent="0.3">
      <c r="A342" s="1">
        <v>45079</v>
      </c>
      <c r="B342" s="7">
        <v>7.1791137000000005E-2</v>
      </c>
      <c r="C342" s="7">
        <v>3.7303741000000001E-2</v>
      </c>
      <c r="D342" s="7">
        <v>0.110632254</v>
      </c>
      <c r="E342" s="7">
        <v>6.5220523000000002E-2</v>
      </c>
      <c r="F342" s="7">
        <v>8.6858828999999999E-2</v>
      </c>
      <c r="G342" s="7">
        <v>2.0532406999999999E-2</v>
      </c>
      <c r="H342" s="7">
        <v>9.0141498E-2</v>
      </c>
      <c r="I342" s="7">
        <v>2.8016082000000001E-2</v>
      </c>
      <c r="J342" s="7">
        <v>4.8096697000000001E-2</v>
      </c>
      <c r="K342" s="7">
        <v>3.6818469E-2</v>
      </c>
      <c r="L342" s="7">
        <v>3.8059084E-2</v>
      </c>
      <c r="M342" s="7">
        <v>4.6931564000000002E-2</v>
      </c>
      <c r="N342" s="7">
        <v>4.0826385E-2</v>
      </c>
      <c r="O342" s="7">
        <v>2.2856642999999999E-2</v>
      </c>
      <c r="P342" s="7">
        <v>5.3220444999999998E-2</v>
      </c>
      <c r="Q342" s="7">
        <v>4.1455367999999999E-2</v>
      </c>
      <c r="R342" s="7">
        <v>5.9071167000000001E-2</v>
      </c>
      <c r="S342" s="7">
        <v>3.2942792999999998E-2</v>
      </c>
      <c r="T342" s="7">
        <v>7.4567760999999996E-2</v>
      </c>
      <c r="U342" s="7">
        <v>3.9942197999999998E-2</v>
      </c>
      <c r="V342" s="7">
        <v>0.28639908800420549</v>
      </c>
      <c r="W342" s="7">
        <v>0.13705667664105031</v>
      </c>
      <c r="X342" s="7">
        <v>9.5967152696407876E-2</v>
      </c>
      <c r="AB342" s="4">
        <v>0</v>
      </c>
      <c r="AC342" s="4">
        <v>0</v>
      </c>
      <c r="AD342" s="4">
        <v>0</v>
      </c>
      <c r="AE342" s="4"/>
      <c r="AF342" s="4"/>
      <c r="AG342" s="4"/>
      <c r="AH342" s="4"/>
    </row>
    <row r="343" spans="1:34" x14ac:dyDescent="0.3">
      <c r="A343" s="1">
        <v>45082</v>
      </c>
      <c r="B343" s="7">
        <v>8.4936576E-2</v>
      </c>
      <c r="C343" s="7">
        <v>3.2102184999999998E-2</v>
      </c>
      <c r="D343" s="7">
        <v>7.3856369000000005E-2</v>
      </c>
      <c r="E343" s="7">
        <v>7.7471914000000003E-2</v>
      </c>
      <c r="F343" s="7">
        <v>7.1791137000000005E-2</v>
      </c>
      <c r="G343" s="7">
        <v>3.7303741000000001E-2</v>
      </c>
      <c r="H343" s="7">
        <v>0.110632254</v>
      </c>
      <c r="I343" s="7">
        <v>6.5220523000000002E-2</v>
      </c>
      <c r="J343" s="7">
        <v>8.6858828999999999E-2</v>
      </c>
      <c r="K343" s="7">
        <v>2.0532406999999999E-2</v>
      </c>
      <c r="L343" s="7">
        <v>9.0141498E-2</v>
      </c>
      <c r="M343" s="7">
        <v>2.8016082000000001E-2</v>
      </c>
      <c r="N343" s="7">
        <v>4.8096697000000001E-2</v>
      </c>
      <c r="O343" s="7">
        <v>3.6818469E-2</v>
      </c>
      <c r="P343" s="7">
        <v>3.8059084E-2</v>
      </c>
      <c r="Q343" s="7">
        <v>4.6931564000000002E-2</v>
      </c>
      <c r="R343" s="7">
        <v>4.0826385E-2</v>
      </c>
      <c r="S343" s="7">
        <v>2.2856642999999999E-2</v>
      </c>
      <c r="T343" s="7">
        <v>5.3220444999999998E-2</v>
      </c>
      <c r="U343" s="7">
        <v>4.1455367999999999E-2</v>
      </c>
      <c r="V343" s="7">
        <v>0.26436623727951547</v>
      </c>
      <c r="W343" s="7">
        <v>0.13646939553659801</v>
      </c>
      <c r="X343" s="7">
        <v>9.5017407974246057E-2</v>
      </c>
      <c r="AB343" s="4">
        <v>0</v>
      </c>
      <c r="AC343" s="4">
        <v>0</v>
      </c>
      <c r="AD343" s="4">
        <v>0</v>
      </c>
      <c r="AE343" s="4"/>
      <c r="AF343" s="4"/>
      <c r="AG343" s="4"/>
      <c r="AH343" s="4"/>
    </row>
    <row r="344" spans="1:34" x14ac:dyDescent="0.3">
      <c r="A344" s="1">
        <v>45083</v>
      </c>
      <c r="B344" s="7">
        <v>4.8094666000000001E-2</v>
      </c>
      <c r="C344" s="7">
        <v>3.3620022999999999E-2</v>
      </c>
      <c r="D344" s="7">
        <v>6.1553173000000003E-2</v>
      </c>
      <c r="E344" s="7">
        <v>3.6659678000000001E-2</v>
      </c>
      <c r="F344" s="7">
        <v>8.4936576E-2</v>
      </c>
      <c r="G344" s="7">
        <v>3.2102184999999998E-2</v>
      </c>
      <c r="H344" s="7">
        <v>7.3856369000000005E-2</v>
      </c>
      <c r="I344" s="7">
        <v>7.7471914000000003E-2</v>
      </c>
      <c r="J344" s="7">
        <v>7.1791137000000005E-2</v>
      </c>
      <c r="K344" s="7">
        <v>3.7303741000000001E-2</v>
      </c>
      <c r="L344" s="7">
        <v>0.110632254</v>
      </c>
      <c r="M344" s="7">
        <v>6.5220523000000002E-2</v>
      </c>
      <c r="N344" s="7">
        <v>8.6858828999999999E-2</v>
      </c>
      <c r="O344" s="7">
        <v>2.0532406999999999E-2</v>
      </c>
      <c r="P344" s="7">
        <v>9.0141498E-2</v>
      </c>
      <c r="Q344" s="7">
        <v>2.8016082000000001E-2</v>
      </c>
      <c r="R344" s="7">
        <v>4.8096697000000001E-2</v>
      </c>
      <c r="S344" s="7">
        <v>3.6818469E-2</v>
      </c>
      <c r="T344" s="7">
        <v>3.8059084E-2</v>
      </c>
      <c r="U344" s="7">
        <v>4.6931564000000002E-2</v>
      </c>
      <c r="V344" s="7">
        <v>0.28639908800420549</v>
      </c>
      <c r="W344" s="7">
        <v>0.13630514619126899</v>
      </c>
      <c r="X344" s="7">
        <v>9.5550426906127042E-2</v>
      </c>
      <c r="AB344" s="4">
        <v>1</v>
      </c>
      <c r="AC344" s="4">
        <v>0</v>
      </c>
      <c r="AD344" s="4">
        <v>1</v>
      </c>
      <c r="AE344" s="4"/>
      <c r="AF344" s="4"/>
      <c r="AG344" s="4"/>
      <c r="AH344" s="4"/>
    </row>
    <row r="345" spans="1:34" x14ac:dyDescent="0.3">
      <c r="A345" s="1">
        <v>45084</v>
      </c>
      <c r="B345" s="7">
        <v>2.6219723E-2</v>
      </c>
      <c r="C345" s="7">
        <v>4.4873494E-2</v>
      </c>
      <c r="D345" s="7">
        <v>6.9114131999999995E-2</v>
      </c>
      <c r="E345" s="7">
        <v>5.8879531999999998E-2</v>
      </c>
      <c r="F345" s="7">
        <v>4.8094666000000001E-2</v>
      </c>
      <c r="G345" s="7">
        <v>3.3620022999999999E-2</v>
      </c>
      <c r="H345" s="7">
        <v>6.1553173000000003E-2</v>
      </c>
      <c r="I345" s="7">
        <v>3.6659678000000001E-2</v>
      </c>
      <c r="J345" s="7">
        <v>8.4936576E-2</v>
      </c>
      <c r="K345" s="7">
        <v>3.2102184999999998E-2</v>
      </c>
      <c r="L345" s="7">
        <v>7.3856369000000005E-2</v>
      </c>
      <c r="M345" s="7">
        <v>7.7471914000000003E-2</v>
      </c>
      <c r="N345" s="7">
        <v>7.1791137000000005E-2</v>
      </c>
      <c r="O345" s="7">
        <v>3.7303741000000001E-2</v>
      </c>
      <c r="P345" s="7">
        <v>0.110632254</v>
      </c>
      <c r="Q345" s="7">
        <v>6.5220523000000002E-2</v>
      </c>
      <c r="R345" s="7">
        <v>8.6858828999999999E-2</v>
      </c>
      <c r="S345" s="7">
        <v>2.0532406999999999E-2</v>
      </c>
      <c r="T345" s="7">
        <v>9.0141498E-2</v>
      </c>
      <c r="U345" s="7">
        <v>2.8016082000000001E-2</v>
      </c>
      <c r="V345" s="7">
        <v>0.31969554617577967</v>
      </c>
      <c r="W345" s="7">
        <v>0.13760021135437547</v>
      </c>
      <c r="X345" s="7">
        <v>9.7126702606541673E-2</v>
      </c>
      <c r="AB345" s="4">
        <v>1</v>
      </c>
      <c r="AC345" s="4">
        <v>0</v>
      </c>
      <c r="AD345" s="4">
        <v>1</v>
      </c>
      <c r="AE345" s="4"/>
      <c r="AF345" s="4"/>
      <c r="AG345" s="4"/>
      <c r="AH345" s="4"/>
    </row>
    <row r="346" spans="1:34" x14ac:dyDescent="0.3">
      <c r="A346" s="1">
        <v>45085</v>
      </c>
      <c r="B346" s="7">
        <v>0.111164605</v>
      </c>
      <c r="C346" s="7">
        <v>2.9362273000000001E-2</v>
      </c>
      <c r="D346" s="7">
        <v>7.9020371000000006E-2</v>
      </c>
      <c r="E346" s="7">
        <v>4.6803169999999998E-2</v>
      </c>
      <c r="F346" s="7">
        <v>2.6219723E-2</v>
      </c>
      <c r="G346" s="7">
        <v>4.4873494E-2</v>
      </c>
      <c r="H346" s="7">
        <v>6.9114131999999995E-2</v>
      </c>
      <c r="I346" s="7">
        <v>5.8879531999999998E-2</v>
      </c>
      <c r="J346" s="7">
        <v>4.8094666000000001E-2</v>
      </c>
      <c r="K346" s="7">
        <v>3.3620022999999999E-2</v>
      </c>
      <c r="L346" s="7">
        <v>6.1553173000000003E-2</v>
      </c>
      <c r="M346" s="7">
        <v>3.6659678000000001E-2</v>
      </c>
      <c r="N346" s="7">
        <v>8.4936576E-2</v>
      </c>
      <c r="O346" s="7">
        <v>3.2102184999999998E-2</v>
      </c>
      <c r="P346" s="7">
        <v>7.3856369000000005E-2</v>
      </c>
      <c r="Q346" s="7">
        <v>7.7471914000000003E-2</v>
      </c>
      <c r="R346" s="7">
        <v>7.1791137000000005E-2</v>
      </c>
      <c r="S346" s="7">
        <v>3.7303741000000001E-2</v>
      </c>
      <c r="T346" s="7">
        <v>0.110632254</v>
      </c>
      <c r="U346" s="7">
        <v>6.5220523000000002E-2</v>
      </c>
      <c r="V346" s="7">
        <v>0.31969554617577967</v>
      </c>
      <c r="W346" s="7">
        <v>0.13468913003902472</v>
      </c>
      <c r="X346" s="7">
        <v>9.3778590850700005E-2</v>
      </c>
      <c r="AB346" s="4">
        <v>1</v>
      </c>
      <c r="AC346" s="4">
        <v>0</v>
      </c>
      <c r="AD346" s="4">
        <v>1</v>
      </c>
      <c r="AE346" s="4"/>
      <c r="AF346" s="4"/>
      <c r="AG346" s="4"/>
      <c r="AH346" s="4"/>
    </row>
    <row r="347" spans="1:34" x14ac:dyDescent="0.3">
      <c r="A347" s="1">
        <v>45086</v>
      </c>
      <c r="B347" s="7">
        <v>7.9380141000000001E-2</v>
      </c>
      <c r="C347" s="7">
        <v>4.3384234000000001E-2</v>
      </c>
      <c r="D347" s="7">
        <v>0.12408643</v>
      </c>
      <c r="E347" s="7">
        <v>8.8821104999999997E-2</v>
      </c>
      <c r="F347" s="7">
        <v>0.111164605</v>
      </c>
      <c r="G347" s="7">
        <v>2.9362273000000001E-2</v>
      </c>
      <c r="H347" s="7">
        <v>7.9020371000000006E-2</v>
      </c>
      <c r="I347" s="7">
        <v>4.6803169999999998E-2</v>
      </c>
      <c r="J347" s="7">
        <v>2.6219723E-2</v>
      </c>
      <c r="K347" s="7">
        <v>4.4873494E-2</v>
      </c>
      <c r="L347" s="7">
        <v>6.9114131999999995E-2</v>
      </c>
      <c r="M347" s="7">
        <v>5.8879531999999998E-2</v>
      </c>
      <c r="N347" s="7">
        <v>4.8094666000000001E-2</v>
      </c>
      <c r="O347" s="7">
        <v>3.3620022999999999E-2</v>
      </c>
      <c r="P347" s="7">
        <v>6.1553173000000003E-2</v>
      </c>
      <c r="Q347" s="7">
        <v>3.6659678000000001E-2</v>
      </c>
      <c r="R347" s="7">
        <v>8.4936576E-2</v>
      </c>
      <c r="S347" s="7">
        <v>3.2102184999999998E-2</v>
      </c>
      <c r="T347" s="7">
        <v>7.3856369000000005E-2</v>
      </c>
      <c r="U347" s="7">
        <v>7.7471914000000003E-2</v>
      </c>
      <c r="V347" s="7">
        <v>0.3666224117898243</v>
      </c>
      <c r="W347" s="7">
        <v>0.1360986380582018</v>
      </c>
      <c r="X347" s="7">
        <v>9.510221433800943E-2</v>
      </c>
      <c r="AB347" s="4">
        <v>1</v>
      </c>
      <c r="AC347" s="4">
        <v>0</v>
      </c>
      <c r="AD347" s="4">
        <v>1</v>
      </c>
      <c r="AE347" s="4"/>
      <c r="AF347" s="4"/>
      <c r="AG347" s="4"/>
      <c r="AH347" s="4"/>
    </row>
    <row r="348" spans="1:34" x14ac:dyDescent="0.3">
      <c r="A348" s="1">
        <v>45089</v>
      </c>
      <c r="B348" s="7">
        <v>8.7302243000000002E-2</v>
      </c>
      <c r="C348" s="7">
        <v>3.5615952999999999E-2</v>
      </c>
      <c r="D348" s="7">
        <v>0.11688949899999999</v>
      </c>
      <c r="E348" s="7">
        <v>8.2060459000000002E-2</v>
      </c>
      <c r="F348" s="7">
        <v>7.9380141000000001E-2</v>
      </c>
      <c r="G348" s="7">
        <v>4.3384234000000001E-2</v>
      </c>
      <c r="H348" s="7">
        <v>0.12408643</v>
      </c>
      <c r="I348" s="7">
        <v>8.8821104999999997E-2</v>
      </c>
      <c r="J348" s="7">
        <v>0.111164605</v>
      </c>
      <c r="K348" s="7">
        <v>2.9362273000000001E-2</v>
      </c>
      <c r="L348" s="7">
        <v>7.9020371000000006E-2</v>
      </c>
      <c r="M348" s="7">
        <v>4.6803169999999998E-2</v>
      </c>
      <c r="N348" s="7">
        <v>2.6219723E-2</v>
      </c>
      <c r="O348" s="7">
        <v>4.4873494E-2</v>
      </c>
      <c r="P348" s="7">
        <v>6.9114131999999995E-2</v>
      </c>
      <c r="Q348" s="7">
        <v>5.8879531999999998E-2</v>
      </c>
      <c r="R348" s="7">
        <v>4.8094666000000001E-2</v>
      </c>
      <c r="S348" s="7">
        <v>3.3620022999999999E-2</v>
      </c>
      <c r="T348" s="7">
        <v>6.1553173000000003E-2</v>
      </c>
      <c r="U348" s="7">
        <v>3.6659678000000001E-2</v>
      </c>
      <c r="V348" s="7">
        <v>0.41351336244955539</v>
      </c>
      <c r="W348" s="7">
        <v>0.13134660154790276</v>
      </c>
      <c r="X348" s="7">
        <v>9.0967561410404796E-2</v>
      </c>
      <c r="AB348" s="4">
        <v>1</v>
      </c>
      <c r="AC348" s="4">
        <v>0</v>
      </c>
      <c r="AD348" s="4">
        <v>1</v>
      </c>
      <c r="AE348" s="4"/>
      <c r="AF348" s="4"/>
      <c r="AG348" s="4"/>
      <c r="AH348" s="4"/>
    </row>
    <row r="349" spans="1:34" x14ac:dyDescent="0.3">
      <c r="A349" s="1">
        <v>45090</v>
      </c>
      <c r="B349" s="7">
        <v>5.7211446999999999E-2</v>
      </c>
      <c r="C349" s="7">
        <v>5.4751478999999999E-2</v>
      </c>
      <c r="D349" s="7">
        <v>0.13011676</v>
      </c>
      <c r="E349" s="7">
        <v>9.0141128000000001E-2</v>
      </c>
      <c r="F349" s="7">
        <v>8.7302243000000002E-2</v>
      </c>
      <c r="G349" s="7">
        <v>3.5615952999999999E-2</v>
      </c>
      <c r="H349" s="7">
        <v>0.11688949899999999</v>
      </c>
      <c r="I349" s="7">
        <v>8.2060459000000002E-2</v>
      </c>
      <c r="J349" s="7">
        <v>7.9380141000000001E-2</v>
      </c>
      <c r="K349" s="7">
        <v>4.3384234000000001E-2</v>
      </c>
      <c r="L349" s="7">
        <v>0.12408643</v>
      </c>
      <c r="M349" s="7">
        <v>8.8821104999999997E-2</v>
      </c>
      <c r="N349" s="7">
        <v>0.111164605</v>
      </c>
      <c r="O349" s="7">
        <v>2.9362273000000001E-2</v>
      </c>
      <c r="P349" s="7">
        <v>7.9020371000000006E-2</v>
      </c>
      <c r="Q349" s="7">
        <v>4.6803169999999998E-2</v>
      </c>
      <c r="R349" s="7">
        <v>2.6219723E-2</v>
      </c>
      <c r="S349" s="7">
        <v>4.4873494E-2</v>
      </c>
      <c r="T349" s="7">
        <v>6.9114131999999995E-2</v>
      </c>
      <c r="U349" s="7">
        <v>5.8879531999999998E-2</v>
      </c>
      <c r="V349" s="7">
        <v>0.41351336244955539</v>
      </c>
      <c r="W349" s="7">
        <v>0.13564903246742757</v>
      </c>
      <c r="X349" s="7">
        <v>9.3302275118472028E-2</v>
      </c>
      <c r="AB349" s="4">
        <v>0</v>
      </c>
      <c r="AC349" s="4">
        <v>0</v>
      </c>
      <c r="AD349" s="4">
        <v>0</v>
      </c>
      <c r="AE349" s="4"/>
      <c r="AF349" s="4"/>
      <c r="AG349" s="4"/>
      <c r="AH349" s="4"/>
    </row>
    <row r="350" spans="1:34" x14ac:dyDescent="0.3">
      <c r="A350" s="1">
        <v>45091</v>
      </c>
      <c r="B350" s="7">
        <v>6.5714624999999999E-2</v>
      </c>
      <c r="C350" s="7">
        <v>5.5475120000000003E-2</v>
      </c>
      <c r="D350" s="7">
        <v>7.8635572000000001E-2</v>
      </c>
      <c r="E350" s="7">
        <v>7.8170878999999999E-2</v>
      </c>
      <c r="F350" s="7">
        <v>5.7211446999999999E-2</v>
      </c>
      <c r="G350" s="7">
        <v>5.4751478999999999E-2</v>
      </c>
      <c r="H350" s="7">
        <v>0.13011676</v>
      </c>
      <c r="I350" s="7">
        <v>9.0141128000000001E-2</v>
      </c>
      <c r="J350" s="7">
        <v>8.7302243000000002E-2</v>
      </c>
      <c r="K350" s="7">
        <v>3.5615952999999999E-2</v>
      </c>
      <c r="L350" s="7">
        <v>0.11688949899999999</v>
      </c>
      <c r="M350" s="7">
        <v>8.2060459000000002E-2</v>
      </c>
      <c r="N350" s="7">
        <v>7.9380141000000001E-2</v>
      </c>
      <c r="O350" s="7">
        <v>4.3384234000000001E-2</v>
      </c>
      <c r="P350" s="7">
        <v>0.12408643</v>
      </c>
      <c r="Q350" s="7">
        <v>8.8821104999999997E-2</v>
      </c>
      <c r="R350" s="7">
        <v>0.111164605</v>
      </c>
      <c r="S350" s="7">
        <v>2.9362273000000001E-2</v>
      </c>
      <c r="T350" s="7">
        <v>7.9020371000000006E-2</v>
      </c>
      <c r="U350" s="7">
        <v>4.6803169999999998E-2</v>
      </c>
      <c r="V350" s="7">
        <v>0.43318366690467941</v>
      </c>
      <c r="W350" s="7">
        <v>0.13189707838902848</v>
      </c>
      <c r="X350" s="7">
        <v>9.0034928746755172E-2</v>
      </c>
      <c r="AB350" s="4">
        <v>0</v>
      </c>
      <c r="AC350" s="4">
        <v>0</v>
      </c>
      <c r="AD350" s="4">
        <v>0</v>
      </c>
      <c r="AE350" s="4"/>
      <c r="AF350" s="4"/>
      <c r="AG350" s="4"/>
      <c r="AH350" s="4"/>
    </row>
    <row r="351" spans="1:34" x14ac:dyDescent="0.3">
      <c r="A351" s="1">
        <v>45092</v>
      </c>
      <c r="B351" s="7">
        <v>0.129538453</v>
      </c>
      <c r="C351" s="7">
        <v>5.5141721999999997E-2</v>
      </c>
      <c r="D351" s="7">
        <v>0.18609890900000001</v>
      </c>
      <c r="E351" s="7">
        <v>5.8492413E-2</v>
      </c>
      <c r="F351" s="7">
        <v>6.5714624999999999E-2</v>
      </c>
      <c r="G351" s="7">
        <v>5.5475120000000003E-2</v>
      </c>
      <c r="H351" s="7">
        <v>7.8635572000000001E-2</v>
      </c>
      <c r="I351" s="7">
        <v>7.8170878999999999E-2</v>
      </c>
      <c r="J351" s="7">
        <v>5.7211446999999999E-2</v>
      </c>
      <c r="K351" s="7">
        <v>5.4751478999999999E-2</v>
      </c>
      <c r="L351" s="7">
        <v>0.13011676</v>
      </c>
      <c r="M351" s="7">
        <v>9.0141128000000001E-2</v>
      </c>
      <c r="N351" s="7">
        <v>8.7302243000000002E-2</v>
      </c>
      <c r="O351" s="7">
        <v>3.5615952999999999E-2</v>
      </c>
      <c r="P351" s="7">
        <v>0.11688949899999999</v>
      </c>
      <c r="Q351" s="7">
        <v>8.2060459000000002E-2</v>
      </c>
      <c r="R351" s="7">
        <v>7.9380141000000001E-2</v>
      </c>
      <c r="S351" s="7">
        <v>4.3384234000000001E-2</v>
      </c>
      <c r="T351" s="7">
        <v>0.12408643</v>
      </c>
      <c r="U351" s="7">
        <v>8.8821104999999997E-2</v>
      </c>
      <c r="V351" s="7">
        <v>0.43318366690467941</v>
      </c>
      <c r="W351" s="7">
        <v>0.12806536466457674</v>
      </c>
      <c r="X351" s="7">
        <v>8.8386242643489585E-2</v>
      </c>
      <c r="AB351" s="4">
        <v>0</v>
      </c>
      <c r="AC351" s="4">
        <v>1</v>
      </c>
      <c r="AD351" s="4">
        <v>1</v>
      </c>
      <c r="AE351" s="4"/>
      <c r="AF351" s="4"/>
      <c r="AG351" s="4"/>
      <c r="AH351" s="4"/>
    </row>
    <row r="352" spans="1:34" x14ac:dyDescent="0.3">
      <c r="A352" s="1">
        <v>45093</v>
      </c>
      <c r="B352" s="7">
        <v>0.14738839300000001</v>
      </c>
      <c r="C352" s="7">
        <v>8.4959418999999994E-2</v>
      </c>
      <c r="D352" s="7">
        <v>0.17056417400000001</v>
      </c>
      <c r="E352" s="7">
        <v>0.10368691400000001</v>
      </c>
      <c r="F352" s="7">
        <v>0.129538453</v>
      </c>
      <c r="G352" s="7">
        <v>5.5141721999999997E-2</v>
      </c>
      <c r="H352" s="7">
        <v>0.18609890900000001</v>
      </c>
      <c r="I352" s="7">
        <v>5.8492413E-2</v>
      </c>
      <c r="J352" s="7">
        <v>6.5714624999999999E-2</v>
      </c>
      <c r="K352" s="7">
        <v>5.5475120000000003E-2</v>
      </c>
      <c r="L352" s="7">
        <v>7.8635572000000001E-2</v>
      </c>
      <c r="M352" s="7">
        <v>7.8170878999999999E-2</v>
      </c>
      <c r="N352" s="7">
        <v>5.7211446999999999E-2</v>
      </c>
      <c r="O352" s="7">
        <v>5.4751478999999999E-2</v>
      </c>
      <c r="P352" s="7">
        <v>0.13011676</v>
      </c>
      <c r="Q352" s="7">
        <v>9.0141128000000001E-2</v>
      </c>
      <c r="R352" s="7">
        <v>8.7302243000000002E-2</v>
      </c>
      <c r="S352" s="7">
        <v>3.5615952999999999E-2</v>
      </c>
      <c r="T352" s="7">
        <v>0.11688949899999999</v>
      </c>
      <c r="U352" s="7">
        <v>8.2060459000000002E-2</v>
      </c>
      <c r="V352" s="7">
        <v>0.43318366690467941</v>
      </c>
      <c r="W352" s="7">
        <v>0.12832395217241649</v>
      </c>
      <c r="X352" s="7">
        <v>8.8509194083019146E-2</v>
      </c>
      <c r="AB352" s="4">
        <v>0</v>
      </c>
      <c r="AC352" s="4">
        <v>1</v>
      </c>
      <c r="AD352" s="4">
        <v>1</v>
      </c>
      <c r="AE352" s="4"/>
      <c r="AF352" s="4"/>
      <c r="AG352" s="4"/>
      <c r="AH352" s="4"/>
    </row>
    <row r="353" spans="1:34" x14ac:dyDescent="0.3">
      <c r="A353" s="1">
        <v>45096</v>
      </c>
      <c r="B353" s="7">
        <v>0.15603007299999999</v>
      </c>
      <c r="C353" s="7">
        <v>9.0296188999999999E-2</v>
      </c>
      <c r="D353" s="7">
        <v>0.198577012</v>
      </c>
      <c r="E353" s="7">
        <v>8.6050959999999996E-2</v>
      </c>
      <c r="F353" s="7">
        <v>0.14738839300000001</v>
      </c>
      <c r="G353" s="7">
        <v>8.4959418999999994E-2</v>
      </c>
      <c r="H353" s="7">
        <v>0.17056417400000001</v>
      </c>
      <c r="I353" s="7">
        <v>0.10368691400000001</v>
      </c>
      <c r="J353" s="7">
        <v>0.129538453</v>
      </c>
      <c r="K353" s="7">
        <v>5.5141721999999997E-2</v>
      </c>
      <c r="L353" s="7">
        <v>0.18609890900000001</v>
      </c>
      <c r="M353" s="7">
        <v>5.8492413E-2</v>
      </c>
      <c r="N353" s="7">
        <v>6.5714624999999999E-2</v>
      </c>
      <c r="O353" s="7">
        <v>5.5475120000000003E-2</v>
      </c>
      <c r="P353" s="7">
        <v>7.8635572000000001E-2</v>
      </c>
      <c r="Q353" s="7">
        <v>7.8170878999999999E-2</v>
      </c>
      <c r="R353" s="7">
        <v>5.7211446999999999E-2</v>
      </c>
      <c r="S353" s="7">
        <v>5.4751478999999999E-2</v>
      </c>
      <c r="T353" s="7">
        <v>0.13011676</v>
      </c>
      <c r="U353" s="7">
        <v>9.0141128000000001E-2</v>
      </c>
      <c r="V353" s="7">
        <v>0.41351336244955539</v>
      </c>
      <c r="W353" s="7">
        <v>0.12799590031229449</v>
      </c>
      <c r="X353" s="7">
        <v>8.7554130234990271E-2</v>
      </c>
      <c r="AB353" s="4">
        <v>0</v>
      </c>
      <c r="AC353" s="4">
        <v>1</v>
      </c>
      <c r="AD353" s="4">
        <v>1</v>
      </c>
      <c r="AE353" s="4"/>
      <c r="AF353" s="4"/>
      <c r="AG353" s="4"/>
      <c r="AH353" s="4"/>
    </row>
    <row r="354" spans="1:34" x14ac:dyDescent="0.3">
      <c r="A354" s="1">
        <v>45097</v>
      </c>
      <c r="B354" s="7">
        <v>0.196469005</v>
      </c>
      <c r="C354" s="7">
        <v>0.199444185</v>
      </c>
      <c r="D354" s="7">
        <v>0.19759555200000001</v>
      </c>
      <c r="E354" s="7">
        <v>0.14943065999999999</v>
      </c>
      <c r="F354" s="7">
        <v>0.15603007299999999</v>
      </c>
      <c r="G354" s="7">
        <v>9.0296188999999999E-2</v>
      </c>
      <c r="H354" s="7">
        <v>0.198577012</v>
      </c>
      <c r="I354" s="7">
        <v>8.6050959999999996E-2</v>
      </c>
      <c r="J354" s="7">
        <v>0.14738839300000001</v>
      </c>
      <c r="K354" s="7">
        <v>8.4959418999999994E-2</v>
      </c>
      <c r="L354" s="7">
        <v>0.17056417400000001</v>
      </c>
      <c r="M354" s="7">
        <v>0.10368691400000001</v>
      </c>
      <c r="N354" s="7">
        <v>0.129538453</v>
      </c>
      <c r="O354" s="7">
        <v>5.5141721999999997E-2</v>
      </c>
      <c r="P354" s="7">
        <v>0.18609890900000001</v>
      </c>
      <c r="Q354" s="7">
        <v>5.8492413E-2</v>
      </c>
      <c r="R354" s="7">
        <v>6.5714624999999999E-2</v>
      </c>
      <c r="S354" s="7">
        <v>5.5475120000000003E-2</v>
      </c>
      <c r="T354" s="7">
        <v>7.8635572000000001E-2</v>
      </c>
      <c r="U354" s="7">
        <v>7.8170878999999999E-2</v>
      </c>
      <c r="V354" s="7">
        <v>0.3666224117898243</v>
      </c>
      <c r="W354" s="7">
        <v>0.12409393248091007</v>
      </c>
      <c r="X354" s="7">
        <v>8.5527250785378386E-2</v>
      </c>
      <c r="AB354" s="4">
        <v>0</v>
      </c>
      <c r="AC354" s="4">
        <v>0</v>
      </c>
      <c r="AD354" s="4">
        <v>0</v>
      </c>
      <c r="AE354" s="4"/>
      <c r="AF354" s="4"/>
      <c r="AG354" s="4"/>
      <c r="AH354" s="4"/>
    </row>
    <row r="355" spans="1:34" x14ac:dyDescent="0.3">
      <c r="A355" s="1">
        <v>45098</v>
      </c>
      <c r="B355" s="7">
        <v>1.6650392999999999E-2</v>
      </c>
      <c r="C355" s="7">
        <v>2.4905404999999999E-2</v>
      </c>
      <c r="D355" s="7">
        <v>3.9941009999999999E-2</v>
      </c>
      <c r="E355" s="7">
        <v>4.5149581000000001E-2</v>
      </c>
      <c r="F355" s="7">
        <v>0.196469005</v>
      </c>
      <c r="G355" s="7">
        <v>0.199444185</v>
      </c>
      <c r="H355" s="7">
        <v>0.19759555200000001</v>
      </c>
      <c r="I355" s="7">
        <v>0.14943065999999999</v>
      </c>
      <c r="J355" s="7">
        <v>0.15603007299999999</v>
      </c>
      <c r="K355" s="7">
        <v>9.0296188999999999E-2</v>
      </c>
      <c r="L355" s="7">
        <v>0.198577012</v>
      </c>
      <c r="M355" s="7">
        <v>8.6050959999999996E-2</v>
      </c>
      <c r="N355" s="7">
        <v>0.14738839300000001</v>
      </c>
      <c r="O355" s="7">
        <v>8.4959418999999994E-2</v>
      </c>
      <c r="P355" s="7">
        <v>0.17056417400000001</v>
      </c>
      <c r="Q355" s="7">
        <v>0.10368691400000001</v>
      </c>
      <c r="R355" s="7">
        <v>0.129538453</v>
      </c>
      <c r="S355" s="7">
        <v>5.5141721999999997E-2</v>
      </c>
      <c r="T355" s="7">
        <v>0.18609890900000001</v>
      </c>
      <c r="U355" s="7">
        <v>5.8492413E-2</v>
      </c>
      <c r="V355" s="7">
        <v>0.35314578525942963</v>
      </c>
      <c r="W355" s="7">
        <v>0.12340555814277793</v>
      </c>
      <c r="X355" s="7">
        <v>8.4586684223751263E-2</v>
      </c>
      <c r="AB355" s="4">
        <v>0</v>
      </c>
      <c r="AC355" s="4">
        <v>1</v>
      </c>
      <c r="AD355" s="4">
        <v>1</v>
      </c>
      <c r="AE355" s="4"/>
      <c r="AF355" s="4"/>
      <c r="AG355" s="4"/>
      <c r="AH355" s="4"/>
    </row>
    <row r="356" spans="1:34" x14ac:dyDescent="0.3">
      <c r="A356" s="1">
        <v>45103</v>
      </c>
      <c r="B356" s="7">
        <v>6.5973149999999994E-2</v>
      </c>
      <c r="C356" s="7">
        <v>5.4047062E-2</v>
      </c>
      <c r="D356" s="7">
        <v>7.9980028999999994E-2</v>
      </c>
      <c r="E356" s="7">
        <v>6.0245377000000003E-2</v>
      </c>
      <c r="F356" s="7">
        <v>1.6650392999999999E-2</v>
      </c>
      <c r="G356" s="7">
        <v>2.4905404999999999E-2</v>
      </c>
      <c r="H356" s="7">
        <v>3.9941009999999999E-2</v>
      </c>
      <c r="I356" s="7">
        <v>4.5149581000000001E-2</v>
      </c>
      <c r="J356" s="7">
        <v>0.196469005</v>
      </c>
      <c r="K356" s="7">
        <v>0.199444185</v>
      </c>
      <c r="L356" s="7">
        <v>0.19759555200000001</v>
      </c>
      <c r="M356" s="7">
        <v>0.14943065999999999</v>
      </c>
      <c r="N356" s="7">
        <v>0.15603007299999999</v>
      </c>
      <c r="O356" s="7">
        <v>9.0296188999999999E-2</v>
      </c>
      <c r="P356" s="7">
        <v>0.198577012</v>
      </c>
      <c r="Q356" s="7">
        <v>8.6050959999999996E-2</v>
      </c>
      <c r="R356" s="7">
        <v>0.14738839300000001</v>
      </c>
      <c r="S356" s="7">
        <v>8.4959418999999994E-2</v>
      </c>
      <c r="T356" s="7">
        <v>0.17056417400000001</v>
      </c>
      <c r="U356" s="7">
        <v>0.10368691400000001</v>
      </c>
      <c r="V356" s="7">
        <v>0.31969554617577967</v>
      </c>
      <c r="W356" s="7">
        <v>0.12391110709695868</v>
      </c>
      <c r="X356" s="7">
        <v>8.42742141478212E-2</v>
      </c>
      <c r="AB356" s="4">
        <v>0</v>
      </c>
      <c r="AC356" s="4">
        <v>0</v>
      </c>
      <c r="AD356" s="4">
        <v>0</v>
      </c>
      <c r="AE356" s="4"/>
      <c r="AF356" s="4"/>
      <c r="AG356" s="4"/>
      <c r="AH356" s="4"/>
    </row>
    <row r="357" spans="1:34" x14ac:dyDescent="0.3">
      <c r="A357" s="1">
        <v>45104</v>
      </c>
      <c r="B357" s="7">
        <v>5.7093572000000002E-2</v>
      </c>
      <c r="C357" s="7">
        <v>3.5587185E-2</v>
      </c>
      <c r="D357" s="7">
        <v>3.1436510000000001E-2</v>
      </c>
      <c r="E357" s="7">
        <v>5.3204960000000003E-2</v>
      </c>
      <c r="F357" s="7">
        <v>6.5973149999999994E-2</v>
      </c>
      <c r="G357" s="7">
        <v>5.4047062E-2</v>
      </c>
      <c r="H357" s="7">
        <v>7.9980028999999994E-2</v>
      </c>
      <c r="I357" s="7">
        <v>6.0245377000000003E-2</v>
      </c>
      <c r="J357" s="7">
        <v>1.6650392999999999E-2</v>
      </c>
      <c r="K357" s="7">
        <v>2.4905404999999999E-2</v>
      </c>
      <c r="L357" s="7">
        <v>3.9941009999999999E-2</v>
      </c>
      <c r="M357" s="7">
        <v>4.5149581000000001E-2</v>
      </c>
      <c r="N357" s="7">
        <v>0.196469005</v>
      </c>
      <c r="O357" s="7">
        <v>0.199444185</v>
      </c>
      <c r="P357" s="7">
        <v>0.19759555200000001</v>
      </c>
      <c r="Q357" s="7">
        <v>0.14943065999999999</v>
      </c>
      <c r="R357" s="7">
        <v>0.15603007299999999</v>
      </c>
      <c r="S357" s="7">
        <v>9.0296188999999999E-2</v>
      </c>
      <c r="T357" s="7">
        <v>0.198577012</v>
      </c>
      <c r="U357" s="7">
        <v>8.6050959999999996E-2</v>
      </c>
      <c r="V357" s="7">
        <v>0.31969554617577967</v>
      </c>
      <c r="W357" s="7">
        <v>0.12656647307377877</v>
      </c>
      <c r="X357" s="7">
        <v>8.6888846890130558E-2</v>
      </c>
      <c r="AB357" s="4">
        <v>0</v>
      </c>
      <c r="AC357" s="4">
        <v>0</v>
      </c>
      <c r="AD357" s="4">
        <v>0</v>
      </c>
      <c r="AE357" s="4"/>
      <c r="AF357" s="4"/>
      <c r="AG357" s="4"/>
      <c r="AH357" s="4"/>
    </row>
    <row r="358" spans="1:34" x14ac:dyDescent="0.3">
      <c r="A358" s="1">
        <v>45105</v>
      </c>
      <c r="B358" s="7">
        <v>2.1018222999999999E-2</v>
      </c>
      <c r="C358" s="7">
        <v>2.3026457E-2</v>
      </c>
      <c r="D358" s="7">
        <v>4.1187031999999998E-2</v>
      </c>
      <c r="E358" s="7">
        <v>5.0188293000000002E-2</v>
      </c>
      <c r="F358" s="7">
        <v>5.7093572000000002E-2</v>
      </c>
      <c r="G358" s="7">
        <v>3.5587185E-2</v>
      </c>
      <c r="H358" s="7">
        <v>3.1436510000000001E-2</v>
      </c>
      <c r="I358" s="7">
        <v>5.3204960000000003E-2</v>
      </c>
      <c r="J358" s="7">
        <v>6.5973149999999994E-2</v>
      </c>
      <c r="K358" s="7">
        <v>5.4047062E-2</v>
      </c>
      <c r="L358" s="7">
        <v>7.9980028999999994E-2</v>
      </c>
      <c r="M358" s="7">
        <v>6.0245377000000003E-2</v>
      </c>
      <c r="N358" s="7">
        <v>1.6650392999999999E-2</v>
      </c>
      <c r="O358" s="7">
        <v>2.4905404999999999E-2</v>
      </c>
      <c r="P358" s="7">
        <v>3.9941009999999999E-2</v>
      </c>
      <c r="Q358" s="7">
        <v>4.5149581000000001E-2</v>
      </c>
      <c r="R358" s="7">
        <v>0.196469005</v>
      </c>
      <c r="S358" s="7">
        <v>0.199444185</v>
      </c>
      <c r="T358" s="7">
        <v>0.19759555200000001</v>
      </c>
      <c r="U358" s="7">
        <v>0.14943065999999999</v>
      </c>
      <c r="V358" s="7">
        <v>0.35314578525942963</v>
      </c>
      <c r="W358" s="7">
        <v>0.12451998054134397</v>
      </c>
      <c r="X358" s="7">
        <v>8.5727464653388152E-2</v>
      </c>
      <c r="AB358" s="4">
        <v>0</v>
      </c>
      <c r="AC358" s="4">
        <v>0</v>
      </c>
      <c r="AD358" s="4">
        <v>0</v>
      </c>
      <c r="AE358" s="4"/>
      <c r="AF358" s="4"/>
      <c r="AG358" s="4"/>
      <c r="AH358" s="4"/>
    </row>
    <row r="359" spans="1:34" x14ac:dyDescent="0.3">
      <c r="A359" s="1">
        <v>45106</v>
      </c>
      <c r="B359" s="7">
        <v>5.2056878000000001E-2</v>
      </c>
      <c r="C359" s="7">
        <v>3.1383539000000002E-2</v>
      </c>
      <c r="D359" s="7">
        <v>9.8773296999999996E-2</v>
      </c>
      <c r="E359" s="7">
        <v>2.8861695E-2</v>
      </c>
      <c r="F359" s="7">
        <v>2.1018222999999999E-2</v>
      </c>
      <c r="G359" s="7">
        <v>2.3026457E-2</v>
      </c>
      <c r="H359" s="7">
        <v>4.1187031999999998E-2</v>
      </c>
      <c r="I359" s="7">
        <v>5.0188293000000002E-2</v>
      </c>
      <c r="J359" s="7">
        <v>5.7093572000000002E-2</v>
      </c>
      <c r="K359" s="7">
        <v>3.5587185E-2</v>
      </c>
      <c r="L359" s="7">
        <v>3.1436510000000001E-2</v>
      </c>
      <c r="M359" s="7">
        <v>5.3204960000000003E-2</v>
      </c>
      <c r="N359" s="7">
        <v>6.5973149999999994E-2</v>
      </c>
      <c r="O359" s="7">
        <v>5.4047062E-2</v>
      </c>
      <c r="P359" s="7">
        <v>7.9980028999999994E-2</v>
      </c>
      <c r="Q359" s="7">
        <v>6.0245377000000003E-2</v>
      </c>
      <c r="R359" s="7">
        <v>1.6650392999999999E-2</v>
      </c>
      <c r="S359" s="7">
        <v>2.4905404999999999E-2</v>
      </c>
      <c r="T359" s="7">
        <v>3.9941009999999999E-2</v>
      </c>
      <c r="U359" s="7">
        <v>4.5149581000000001E-2</v>
      </c>
      <c r="V359" s="7">
        <v>0.31969554617577967</v>
      </c>
      <c r="W359" s="7">
        <v>0.12428360364846709</v>
      </c>
      <c r="X359" s="7">
        <v>8.5082217363365548E-2</v>
      </c>
      <c r="AB359" s="4">
        <v>0</v>
      </c>
      <c r="AC359" s="4">
        <v>0</v>
      </c>
      <c r="AD359" s="4">
        <v>0</v>
      </c>
      <c r="AE359" s="4"/>
      <c r="AF359" s="4"/>
      <c r="AG359" s="4"/>
      <c r="AH359" s="4"/>
    </row>
    <row r="360" spans="1:34" x14ac:dyDescent="0.3">
      <c r="A360" s="1">
        <v>45107</v>
      </c>
      <c r="B360" s="7">
        <v>4.3509121999999997E-2</v>
      </c>
      <c r="C360" s="7">
        <v>3.8444576000000001E-2</v>
      </c>
      <c r="D360" s="7">
        <v>0.109175286</v>
      </c>
      <c r="E360" s="7">
        <v>3.9787274999999997E-2</v>
      </c>
      <c r="F360" s="7">
        <v>5.2056878000000001E-2</v>
      </c>
      <c r="G360" s="7">
        <v>3.1383539000000002E-2</v>
      </c>
      <c r="H360" s="7">
        <v>9.8773296999999996E-2</v>
      </c>
      <c r="I360" s="7">
        <v>2.8861695E-2</v>
      </c>
      <c r="J360" s="7">
        <v>2.1018222999999999E-2</v>
      </c>
      <c r="K360" s="7">
        <v>2.3026457E-2</v>
      </c>
      <c r="L360" s="7">
        <v>4.1187031999999998E-2</v>
      </c>
      <c r="M360" s="7">
        <v>5.0188293000000002E-2</v>
      </c>
      <c r="N360" s="7">
        <v>5.7093572000000002E-2</v>
      </c>
      <c r="O360" s="7">
        <v>3.5587185E-2</v>
      </c>
      <c r="P360" s="7">
        <v>3.1436510000000001E-2</v>
      </c>
      <c r="Q360" s="7">
        <v>5.3204960000000003E-2</v>
      </c>
      <c r="R360" s="7">
        <v>6.5973149999999994E-2</v>
      </c>
      <c r="S360" s="7">
        <v>5.4047062E-2</v>
      </c>
      <c r="T360" s="7">
        <v>7.9980028999999994E-2</v>
      </c>
      <c r="U360" s="7">
        <v>6.0245377000000003E-2</v>
      </c>
      <c r="V360" s="7">
        <v>0.28235774042893536</v>
      </c>
      <c r="W360" s="7">
        <v>0.12406737164459872</v>
      </c>
      <c r="X360" s="7">
        <v>8.4214755291433449E-2</v>
      </c>
      <c r="AB360" s="4">
        <v>0</v>
      </c>
      <c r="AC360" s="4">
        <v>0</v>
      </c>
      <c r="AD360" s="4">
        <v>0</v>
      </c>
      <c r="AE360" s="4"/>
      <c r="AF360" s="4"/>
      <c r="AG360" s="4"/>
      <c r="AH360" s="4"/>
    </row>
    <row r="361" spans="1:34" x14ac:dyDescent="0.3">
      <c r="A361" s="1">
        <v>45110</v>
      </c>
      <c r="B361" s="7">
        <v>3.7827873999999997E-2</v>
      </c>
      <c r="C361" s="7">
        <v>3.8024777000000003E-2</v>
      </c>
      <c r="D361" s="7">
        <v>8.8297653000000004E-2</v>
      </c>
      <c r="E361" s="7">
        <v>3.6499399000000002E-2</v>
      </c>
      <c r="F361" s="7">
        <v>4.3509121999999997E-2</v>
      </c>
      <c r="G361" s="7">
        <v>3.8444576000000001E-2</v>
      </c>
      <c r="H361" s="7">
        <v>0.109175286</v>
      </c>
      <c r="I361" s="7">
        <v>3.9787274999999997E-2</v>
      </c>
      <c r="J361" s="7">
        <v>5.2056878000000001E-2</v>
      </c>
      <c r="K361" s="7">
        <v>3.1383539000000002E-2</v>
      </c>
      <c r="L361" s="7">
        <v>9.8773296999999996E-2</v>
      </c>
      <c r="M361" s="7">
        <v>2.8861695E-2</v>
      </c>
      <c r="N361" s="7">
        <v>2.1018222999999999E-2</v>
      </c>
      <c r="O361" s="7">
        <v>2.3026457E-2</v>
      </c>
      <c r="P361" s="7">
        <v>4.1187031999999998E-2</v>
      </c>
      <c r="Q361" s="7">
        <v>5.0188293000000002E-2</v>
      </c>
      <c r="R361" s="7">
        <v>5.7093572000000002E-2</v>
      </c>
      <c r="S361" s="7">
        <v>3.5587185E-2</v>
      </c>
      <c r="T361" s="7">
        <v>3.1436510000000001E-2</v>
      </c>
      <c r="U361" s="7">
        <v>5.3204960000000003E-2</v>
      </c>
      <c r="V361" s="7">
        <v>0.28235774042893536</v>
      </c>
      <c r="W361" s="7">
        <v>0.12460994672835803</v>
      </c>
      <c r="X361" s="7">
        <v>8.4990423207326984E-2</v>
      </c>
      <c r="AB361" s="4">
        <v>0</v>
      </c>
      <c r="AC361" s="4">
        <v>1</v>
      </c>
      <c r="AD361" s="4">
        <v>1</v>
      </c>
      <c r="AE361" s="4"/>
      <c r="AF361" s="4"/>
      <c r="AG361" s="4"/>
      <c r="AH361" s="4"/>
    </row>
    <row r="362" spans="1:34" x14ac:dyDescent="0.3">
      <c r="A362" s="1">
        <v>45111</v>
      </c>
      <c r="B362" s="7">
        <v>2.7462957999999999E-2</v>
      </c>
      <c r="C362" s="7">
        <v>2.8423812999999999E-2</v>
      </c>
      <c r="D362" s="7">
        <v>6.1036271000000003E-2</v>
      </c>
      <c r="E362" s="7">
        <v>3.5389213000000003E-2</v>
      </c>
      <c r="F362" s="7">
        <v>3.7827873999999997E-2</v>
      </c>
      <c r="G362" s="7">
        <v>3.8024777000000003E-2</v>
      </c>
      <c r="H362" s="7">
        <v>8.8297653000000004E-2</v>
      </c>
      <c r="I362" s="7">
        <v>3.6499399000000002E-2</v>
      </c>
      <c r="J362" s="7">
        <v>4.3509121999999997E-2</v>
      </c>
      <c r="K362" s="7">
        <v>3.8444576000000001E-2</v>
      </c>
      <c r="L362" s="7">
        <v>0.109175286</v>
      </c>
      <c r="M362" s="7">
        <v>3.9787274999999997E-2</v>
      </c>
      <c r="N362" s="7">
        <v>5.2056878000000001E-2</v>
      </c>
      <c r="O362" s="7">
        <v>3.1383539000000002E-2</v>
      </c>
      <c r="P362" s="7">
        <v>9.8773296999999996E-2</v>
      </c>
      <c r="Q362" s="7">
        <v>2.8861695E-2</v>
      </c>
      <c r="R362" s="7">
        <v>2.1018222999999999E-2</v>
      </c>
      <c r="S362" s="7">
        <v>2.3026457E-2</v>
      </c>
      <c r="T362" s="7">
        <v>4.1187031999999998E-2</v>
      </c>
      <c r="U362" s="7">
        <v>5.0188293000000002E-2</v>
      </c>
      <c r="V362" s="7">
        <v>0.31969554617577967</v>
      </c>
      <c r="W362" s="7">
        <v>0.12455777652551496</v>
      </c>
      <c r="X362" s="7">
        <v>8.5561571785099461E-2</v>
      </c>
      <c r="AB362" s="4">
        <v>0</v>
      </c>
      <c r="AC362" s="4">
        <v>0</v>
      </c>
      <c r="AD362" s="4">
        <v>0</v>
      </c>
      <c r="AE362" s="4"/>
      <c r="AF362" s="4"/>
      <c r="AG362" s="4"/>
      <c r="AH362" s="4"/>
    </row>
    <row r="363" spans="1:34" x14ac:dyDescent="0.3">
      <c r="A363" s="1">
        <v>45112</v>
      </c>
      <c r="B363" s="7">
        <v>3.9753833000000002E-2</v>
      </c>
      <c r="C363" s="7">
        <v>3.5416652E-2</v>
      </c>
      <c r="D363" s="7">
        <v>4.3179922000000003E-2</v>
      </c>
      <c r="E363" s="7">
        <v>5.6011275999999999E-2</v>
      </c>
      <c r="F363" s="7">
        <v>2.7462957999999999E-2</v>
      </c>
      <c r="G363" s="7">
        <v>2.8423812999999999E-2</v>
      </c>
      <c r="H363" s="7">
        <v>6.1036271000000003E-2</v>
      </c>
      <c r="I363" s="7">
        <v>3.5389213000000003E-2</v>
      </c>
      <c r="J363" s="7">
        <v>3.7827873999999997E-2</v>
      </c>
      <c r="K363" s="7">
        <v>3.8024777000000003E-2</v>
      </c>
      <c r="L363" s="7">
        <v>8.8297653000000004E-2</v>
      </c>
      <c r="M363" s="7">
        <v>3.6499399000000002E-2</v>
      </c>
      <c r="N363" s="7">
        <v>4.3509121999999997E-2</v>
      </c>
      <c r="O363" s="7">
        <v>3.8444576000000001E-2</v>
      </c>
      <c r="P363" s="7">
        <v>0.109175286</v>
      </c>
      <c r="Q363" s="7">
        <v>3.9787274999999997E-2</v>
      </c>
      <c r="R363" s="7">
        <v>5.2056878000000001E-2</v>
      </c>
      <c r="S363" s="7">
        <v>3.1383539000000002E-2</v>
      </c>
      <c r="T363" s="7">
        <v>9.8773296999999996E-2</v>
      </c>
      <c r="U363" s="7">
        <v>2.8861695E-2</v>
      </c>
      <c r="V363" s="7">
        <v>0.28235774042893536</v>
      </c>
      <c r="W363" s="7">
        <v>0.12545773961203111</v>
      </c>
      <c r="X363" s="7">
        <v>8.5740546334421922E-2</v>
      </c>
      <c r="AB363" s="4">
        <v>0</v>
      </c>
      <c r="AC363" s="4">
        <v>0</v>
      </c>
      <c r="AD363" s="4">
        <v>0</v>
      </c>
      <c r="AE363" s="4"/>
      <c r="AF363" s="4"/>
      <c r="AG363" s="4"/>
      <c r="AH363" s="4"/>
    </row>
    <row r="364" spans="1:34" x14ac:dyDescent="0.3">
      <c r="A364" s="1">
        <v>45113</v>
      </c>
      <c r="B364" s="7">
        <v>0.113190731</v>
      </c>
      <c r="C364" s="7">
        <v>3.6979946E-2</v>
      </c>
      <c r="D364" s="7">
        <v>7.5303024999999996E-2</v>
      </c>
      <c r="E364" s="7">
        <v>5.0756034999999998E-2</v>
      </c>
      <c r="F364" s="7">
        <v>3.9753833000000002E-2</v>
      </c>
      <c r="G364" s="7">
        <v>3.5416652E-2</v>
      </c>
      <c r="H364" s="7">
        <v>4.3179922000000003E-2</v>
      </c>
      <c r="I364" s="7">
        <v>5.6011275999999999E-2</v>
      </c>
      <c r="J364" s="7">
        <v>2.7462957999999999E-2</v>
      </c>
      <c r="K364" s="7">
        <v>2.8423812999999999E-2</v>
      </c>
      <c r="L364" s="7">
        <v>6.1036271000000003E-2</v>
      </c>
      <c r="M364" s="7">
        <v>3.5389213000000003E-2</v>
      </c>
      <c r="N364" s="7">
        <v>3.7827873999999997E-2</v>
      </c>
      <c r="O364" s="7">
        <v>3.8024777000000003E-2</v>
      </c>
      <c r="P364" s="7">
        <v>8.8297653000000004E-2</v>
      </c>
      <c r="Q364" s="7">
        <v>3.6499399000000002E-2</v>
      </c>
      <c r="R364" s="7">
        <v>4.3509121999999997E-2</v>
      </c>
      <c r="S364" s="7">
        <v>3.8444576000000001E-2</v>
      </c>
      <c r="T364" s="7">
        <v>0.109175286</v>
      </c>
      <c r="U364" s="7">
        <v>3.9787274999999997E-2</v>
      </c>
      <c r="V364" s="7">
        <v>0.22319522073574413</v>
      </c>
      <c r="W364" s="7">
        <v>0.13346162936732742</v>
      </c>
      <c r="X364" s="7">
        <v>9.3894757052802605E-2</v>
      </c>
      <c r="AB364" s="4">
        <v>1</v>
      </c>
      <c r="AC364" s="4">
        <v>0</v>
      </c>
      <c r="AD364" s="4">
        <v>1</v>
      </c>
      <c r="AE364" s="4"/>
      <c r="AF364" s="4"/>
      <c r="AG364" s="4"/>
      <c r="AH364" s="4"/>
    </row>
    <row r="365" spans="1:34" x14ac:dyDescent="0.3">
      <c r="A365" s="1">
        <v>45114</v>
      </c>
      <c r="B365" s="7">
        <v>8.9561356999999994E-2</v>
      </c>
      <c r="C365" s="7">
        <v>3.1694207000000002E-2</v>
      </c>
      <c r="D365" s="7">
        <v>0.113902384</v>
      </c>
      <c r="E365" s="7">
        <v>4.1253554999999997E-2</v>
      </c>
      <c r="F365" s="7">
        <v>0.113190731</v>
      </c>
      <c r="G365" s="7">
        <v>3.6979946E-2</v>
      </c>
      <c r="H365" s="7">
        <v>7.5303024999999996E-2</v>
      </c>
      <c r="I365" s="7">
        <v>5.0756034999999998E-2</v>
      </c>
      <c r="J365" s="7">
        <v>3.9753833000000002E-2</v>
      </c>
      <c r="K365" s="7">
        <v>3.5416652E-2</v>
      </c>
      <c r="L365" s="7">
        <v>4.3179922000000003E-2</v>
      </c>
      <c r="M365" s="7">
        <v>5.6011275999999999E-2</v>
      </c>
      <c r="N365" s="7">
        <v>2.7462957999999999E-2</v>
      </c>
      <c r="O365" s="7">
        <v>2.8423812999999999E-2</v>
      </c>
      <c r="P365" s="7">
        <v>6.1036271000000003E-2</v>
      </c>
      <c r="Q365" s="7">
        <v>3.5389213000000003E-2</v>
      </c>
      <c r="R365" s="7">
        <v>3.7827873999999997E-2</v>
      </c>
      <c r="S365" s="7">
        <v>3.8024777000000003E-2</v>
      </c>
      <c r="T365" s="7">
        <v>8.8297653000000004E-2</v>
      </c>
      <c r="U365" s="7">
        <v>3.6499399000000002E-2</v>
      </c>
      <c r="V365" s="7">
        <v>0.17354519465658427</v>
      </c>
      <c r="W365" s="7">
        <v>0.13438453692317681</v>
      </c>
      <c r="X365" s="7">
        <v>9.3892562008471403E-2</v>
      </c>
      <c r="AB365" s="4">
        <v>1</v>
      </c>
      <c r="AC365" s="4">
        <v>0</v>
      </c>
      <c r="AD365" s="4">
        <v>1</v>
      </c>
      <c r="AE365" s="4"/>
      <c r="AF365" s="4"/>
      <c r="AG365" s="4"/>
      <c r="AH365" s="4"/>
    </row>
    <row r="366" spans="1:34" x14ac:dyDescent="0.3">
      <c r="A366" s="1">
        <v>45117</v>
      </c>
      <c r="B366" s="7">
        <v>9.0124929000000006E-2</v>
      </c>
      <c r="C366" s="7">
        <v>4.2435712E-2</v>
      </c>
      <c r="D366" s="7">
        <v>8.7619614999999998E-2</v>
      </c>
      <c r="E366" s="7">
        <v>4.5605883E-2</v>
      </c>
      <c r="F366" s="7">
        <v>8.9561356999999994E-2</v>
      </c>
      <c r="G366" s="7">
        <v>3.1694207000000002E-2</v>
      </c>
      <c r="H366" s="7">
        <v>0.113902384</v>
      </c>
      <c r="I366" s="7">
        <v>4.1253554999999997E-2</v>
      </c>
      <c r="J366" s="7">
        <v>0.113190731</v>
      </c>
      <c r="K366" s="7">
        <v>3.6979946E-2</v>
      </c>
      <c r="L366" s="7">
        <v>7.5303024999999996E-2</v>
      </c>
      <c r="M366" s="7">
        <v>5.0756034999999998E-2</v>
      </c>
      <c r="N366" s="7">
        <v>3.9753833000000002E-2</v>
      </c>
      <c r="O366" s="7">
        <v>3.5416652E-2</v>
      </c>
      <c r="P366" s="7">
        <v>4.3179922000000003E-2</v>
      </c>
      <c r="Q366" s="7">
        <v>5.6011275999999999E-2</v>
      </c>
      <c r="R366" s="7">
        <v>2.7462957999999999E-2</v>
      </c>
      <c r="S366" s="7">
        <v>2.8423812999999999E-2</v>
      </c>
      <c r="T366" s="7">
        <v>6.1036271000000003E-2</v>
      </c>
      <c r="U366" s="7">
        <v>3.5389213000000003E-2</v>
      </c>
      <c r="V366" s="7">
        <v>0.15237483868634535</v>
      </c>
      <c r="W366" s="7">
        <v>0.13439910290695659</v>
      </c>
      <c r="X366" s="7">
        <v>9.3653091139700481E-2</v>
      </c>
      <c r="AB366" s="4">
        <v>1</v>
      </c>
      <c r="AC366" s="4">
        <v>0</v>
      </c>
      <c r="AD366" s="4">
        <v>1</v>
      </c>
      <c r="AE366" s="4"/>
      <c r="AF366" s="4"/>
      <c r="AG366" s="4"/>
      <c r="AH366" s="4"/>
    </row>
    <row r="367" spans="1:34" x14ac:dyDescent="0.3">
      <c r="A367" s="1">
        <v>45118</v>
      </c>
      <c r="B367" s="7">
        <v>4.2065612000000002E-2</v>
      </c>
      <c r="C367" s="7">
        <v>7.0454639999999999E-2</v>
      </c>
      <c r="D367" s="7">
        <v>0.115755117</v>
      </c>
      <c r="E367" s="7">
        <v>5.5173047000000003E-2</v>
      </c>
      <c r="F367" s="7">
        <v>9.0124929000000006E-2</v>
      </c>
      <c r="G367" s="7">
        <v>4.2435712E-2</v>
      </c>
      <c r="H367" s="7">
        <v>8.7619614999999998E-2</v>
      </c>
      <c r="I367" s="7">
        <v>4.5605883E-2</v>
      </c>
      <c r="J367" s="7">
        <v>8.9561356999999994E-2</v>
      </c>
      <c r="K367" s="7">
        <v>3.1694207000000002E-2</v>
      </c>
      <c r="L367" s="7">
        <v>0.113902384</v>
      </c>
      <c r="M367" s="7">
        <v>4.1253554999999997E-2</v>
      </c>
      <c r="N367" s="7">
        <v>0.113190731</v>
      </c>
      <c r="O367" s="7">
        <v>3.6979946E-2</v>
      </c>
      <c r="P367" s="7">
        <v>7.5303024999999996E-2</v>
      </c>
      <c r="Q367" s="7">
        <v>5.0756034999999998E-2</v>
      </c>
      <c r="R367" s="7">
        <v>3.9753833000000002E-2</v>
      </c>
      <c r="S367" s="7">
        <v>3.5416652E-2</v>
      </c>
      <c r="T367" s="7">
        <v>4.3179922000000003E-2</v>
      </c>
      <c r="U367" s="7">
        <v>5.6011275999999999E-2</v>
      </c>
      <c r="V367" s="7">
        <v>0.17354519465658427</v>
      </c>
      <c r="W367" s="7">
        <v>0.13701181209384403</v>
      </c>
      <c r="X367" s="7">
        <v>9.5013940776386016E-2</v>
      </c>
      <c r="AB367" s="4">
        <v>1</v>
      </c>
      <c r="AC367" s="4">
        <v>0</v>
      </c>
      <c r="AD367" s="4">
        <v>1</v>
      </c>
      <c r="AE367" s="4"/>
      <c r="AF367" s="4"/>
      <c r="AG367" s="4"/>
      <c r="AH367" s="4"/>
    </row>
    <row r="368" spans="1:34" x14ac:dyDescent="0.3">
      <c r="A368" s="1">
        <v>45119</v>
      </c>
      <c r="B368" s="7">
        <v>3.4954999E-2</v>
      </c>
      <c r="C368" s="7">
        <v>4.9153562999999997E-2</v>
      </c>
      <c r="D368" s="7">
        <v>9.0440120999999998E-2</v>
      </c>
      <c r="E368" s="7">
        <v>6.5727749000000002E-2</v>
      </c>
      <c r="F368" s="7">
        <v>4.2065612000000002E-2</v>
      </c>
      <c r="G368" s="7">
        <v>7.0454639999999999E-2</v>
      </c>
      <c r="H368" s="7">
        <v>0.115755117</v>
      </c>
      <c r="I368" s="7">
        <v>5.5173047000000003E-2</v>
      </c>
      <c r="J368" s="7">
        <v>9.0124929000000006E-2</v>
      </c>
      <c r="K368" s="7">
        <v>4.2435712E-2</v>
      </c>
      <c r="L368" s="7">
        <v>8.7619614999999998E-2</v>
      </c>
      <c r="M368" s="7">
        <v>4.5605883E-2</v>
      </c>
      <c r="N368" s="7">
        <v>8.9561356999999994E-2</v>
      </c>
      <c r="O368" s="7">
        <v>3.1694207000000002E-2</v>
      </c>
      <c r="P368" s="7">
        <v>0.113902384</v>
      </c>
      <c r="Q368" s="7">
        <v>4.1253554999999997E-2</v>
      </c>
      <c r="R368" s="7">
        <v>0.113190731</v>
      </c>
      <c r="S368" s="7">
        <v>3.6979946E-2</v>
      </c>
      <c r="T368" s="7">
        <v>7.5303024999999996E-2</v>
      </c>
      <c r="U368" s="7">
        <v>5.0756034999999998E-2</v>
      </c>
      <c r="V368" s="7">
        <v>0.17354519465658427</v>
      </c>
      <c r="W368" s="7">
        <v>0.13610253029459415</v>
      </c>
      <c r="X368" s="7">
        <v>9.4309060275139023E-2</v>
      </c>
      <c r="Y368" s="7">
        <v>0.27227727857566064</v>
      </c>
      <c r="Z368" s="7">
        <v>0.13798400425788618</v>
      </c>
      <c r="AA368" s="7">
        <v>9.8415830943157909E-2</v>
      </c>
      <c r="AB368" s="4">
        <v>0</v>
      </c>
      <c r="AC368" s="4">
        <v>0</v>
      </c>
      <c r="AD368" s="4">
        <v>0</v>
      </c>
      <c r="AE368" s="4"/>
      <c r="AF368" s="4"/>
      <c r="AG368" s="4"/>
      <c r="AH368" s="4"/>
    </row>
    <row r="369" spans="1:34" x14ac:dyDescent="0.3">
      <c r="A369" s="1">
        <v>45120</v>
      </c>
      <c r="B369" s="7">
        <v>0.16413599600000001</v>
      </c>
      <c r="C369" s="7">
        <v>5.7420760000000001E-2</v>
      </c>
      <c r="D369" s="7">
        <v>0.14421985700000001</v>
      </c>
      <c r="E369" s="7">
        <v>6.9009248999999995E-2</v>
      </c>
      <c r="F369" s="7">
        <v>3.4954999E-2</v>
      </c>
      <c r="G369" s="7">
        <v>4.9153562999999997E-2</v>
      </c>
      <c r="H369" s="7">
        <v>9.0440120999999998E-2</v>
      </c>
      <c r="I369" s="7">
        <v>6.5727749000000002E-2</v>
      </c>
      <c r="J369" s="7">
        <v>4.2065612000000002E-2</v>
      </c>
      <c r="K369" s="7">
        <v>7.0454639999999999E-2</v>
      </c>
      <c r="L369" s="7">
        <v>0.115755117</v>
      </c>
      <c r="M369" s="7">
        <v>5.5173047000000003E-2</v>
      </c>
      <c r="N369" s="7">
        <v>9.0124929000000006E-2</v>
      </c>
      <c r="O369" s="7">
        <v>4.2435712E-2</v>
      </c>
      <c r="P369" s="7">
        <v>8.7619614999999998E-2</v>
      </c>
      <c r="Q369" s="7">
        <v>4.5605883E-2</v>
      </c>
      <c r="R369" s="7">
        <v>8.9561356999999994E-2</v>
      </c>
      <c r="S369" s="7">
        <v>3.1694207000000002E-2</v>
      </c>
      <c r="T369" s="7">
        <v>0.113902384</v>
      </c>
      <c r="U369" s="7">
        <v>4.1253554999999997E-2</v>
      </c>
      <c r="V369" s="7">
        <v>0.17354519465658427</v>
      </c>
      <c r="W369" s="7">
        <v>0.1366463415114737</v>
      </c>
      <c r="X369" s="7">
        <v>9.5095634629568979E-2</v>
      </c>
      <c r="Y369" s="7">
        <v>0.29026878172508053</v>
      </c>
      <c r="Z369" s="7">
        <v>0.13814438712764368</v>
      </c>
      <c r="AA369" s="7">
        <v>9.8926909254883025E-2</v>
      </c>
      <c r="AB369" s="4">
        <v>0</v>
      </c>
      <c r="AC369" s="4">
        <v>0</v>
      </c>
      <c r="AD369" s="4">
        <v>0</v>
      </c>
      <c r="AE369" s="4"/>
      <c r="AF369" s="4"/>
      <c r="AG369" s="4"/>
      <c r="AH369" s="4"/>
    </row>
    <row r="370" spans="1:34" x14ac:dyDescent="0.3">
      <c r="A370" s="1">
        <v>45121</v>
      </c>
      <c r="B370" s="7">
        <v>0.100613546</v>
      </c>
      <c r="C370" s="7">
        <v>5.5573141999999999E-2</v>
      </c>
      <c r="D370" s="7">
        <v>0.190114965</v>
      </c>
      <c r="E370" s="7">
        <v>6.0110929E-2</v>
      </c>
      <c r="F370" s="7">
        <v>0.16413599600000001</v>
      </c>
      <c r="G370" s="7">
        <v>5.7420760000000001E-2</v>
      </c>
      <c r="H370" s="7">
        <v>0.14421985700000001</v>
      </c>
      <c r="I370" s="7">
        <v>6.9009248999999995E-2</v>
      </c>
      <c r="J370" s="7">
        <v>3.4954999E-2</v>
      </c>
      <c r="K370" s="7">
        <v>4.9153562999999997E-2</v>
      </c>
      <c r="L370" s="7">
        <v>9.0440120999999998E-2</v>
      </c>
      <c r="M370" s="7">
        <v>6.5727749000000002E-2</v>
      </c>
      <c r="N370" s="7">
        <v>4.2065612000000002E-2</v>
      </c>
      <c r="O370" s="7">
        <v>7.0454639999999999E-2</v>
      </c>
      <c r="P370" s="7">
        <v>0.115755117</v>
      </c>
      <c r="Q370" s="7">
        <v>5.5173047000000003E-2</v>
      </c>
      <c r="R370" s="7">
        <v>9.0124929000000006E-2</v>
      </c>
      <c r="S370" s="7">
        <v>4.2435712E-2</v>
      </c>
      <c r="T370" s="7">
        <v>8.7619614999999998E-2</v>
      </c>
      <c r="U370" s="7">
        <v>4.5605883E-2</v>
      </c>
      <c r="V370" s="7">
        <v>0.26053302648258847</v>
      </c>
      <c r="W370" s="7">
        <v>0.13866800139998336</v>
      </c>
      <c r="X370" s="7">
        <v>9.6755284207183184E-2</v>
      </c>
      <c r="Y370" s="7">
        <v>0.29026878172508053</v>
      </c>
      <c r="Z370" s="7">
        <v>0.13928475710644597</v>
      </c>
      <c r="AA370" s="7">
        <v>9.9412370813125067E-2</v>
      </c>
      <c r="AB370" s="4">
        <v>0</v>
      </c>
      <c r="AC370" s="4">
        <v>0</v>
      </c>
      <c r="AD370" s="4">
        <v>0</v>
      </c>
      <c r="AE370" s="4"/>
      <c r="AF370" s="4"/>
      <c r="AG370" s="4"/>
      <c r="AH370" s="4"/>
    </row>
    <row r="371" spans="1:34" x14ac:dyDescent="0.3">
      <c r="A371" s="1">
        <v>45124</v>
      </c>
      <c r="B371" s="7">
        <v>0.15187836099999999</v>
      </c>
      <c r="C371" s="7">
        <v>8.1967963000000005E-2</v>
      </c>
      <c r="D371" s="7">
        <v>0.22860022499999999</v>
      </c>
      <c r="E371" s="7">
        <v>9.2326670999999999E-2</v>
      </c>
      <c r="F371" s="7">
        <v>0.100613546</v>
      </c>
      <c r="G371" s="7">
        <v>5.5573141999999999E-2</v>
      </c>
      <c r="H371" s="7">
        <v>0.190114965</v>
      </c>
      <c r="I371" s="7">
        <v>6.0110929E-2</v>
      </c>
      <c r="J371" s="7">
        <v>0.16413599600000001</v>
      </c>
      <c r="K371" s="7">
        <v>5.7420760000000001E-2</v>
      </c>
      <c r="L371" s="7">
        <v>0.14421985700000001</v>
      </c>
      <c r="M371" s="7">
        <v>6.9009248999999995E-2</v>
      </c>
      <c r="N371" s="7">
        <v>3.4954999E-2</v>
      </c>
      <c r="O371" s="7">
        <v>4.9153562999999997E-2</v>
      </c>
      <c r="P371" s="7">
        <v>9.0440120999999998E-2</v>
      </c>
      <c r="Q371" s="7">
        <v>6.5727749000000002E-2</v>
      </c>
      <c r="R371" s="7">
        <v>4.2065612000000002E-2</v>
      </c>
      <c r="S371" s="7">
        <v>7.0454639999999999E-2</v>
      </c>
      <c r="T371" s="7">
        <v>0.115755117</v>
      </c>
      <c r="U371" s="7">
        <v>5.5173047000000003E-2</v>
      </c>
      <c r="V371" s="7">
        <v>0.34526627922817099</v>
      </c>
      <c r="W371" s="7">
        <v>0.13737240147343546</v>
      </c>
      <c r="X371" s="7">
        <v>9.628264898800061E-2</v>
      </c>
      <c r="Y371" s="7">
        <v>0.29026878172508053</v>
      </c>
      <c r="Z371" s="7">
        <v>0.13912159169780841</v>
      </c>
      <c r="AA371" s="7">
        <v>9.9131010024559568E-2</v>
      </c>
      <c r="AB371" s="4">
        <v>0</v>
      </c>
      <c r="AC371" s="4">
        <v>1</v>
      </c>
      <c r="AD371" s="4">
        <v>1</v>
      </c>
      <c r="AE371" s="4"/>
      <c r="AF371" s="4"/>
      <c r="AG371" s="4"/>
      <c r="AH371" s="4"/>
    </row>
    <row r="372" spans="1:34" x14ac:dyDescent="0.3">
      <c r="A372" s="1">
        <v>45125</v>
      </c>
      <c r="B372" s="7">
        <v>0.23183130599999999</v>
      </c>
      <c r="C372" s="7">
        <v>0.11042669200000001</v>
      </c>
      <c r="D372" s="7">
        <v>0.18719593300000001</v>
      </c>
      <c r="E372" s="7">
        <v>0.16816002299999999</v>
      </c>
      <c r="F372" s="7">
        <v>0.15187836099999999</v>
      </c>
      <c r="G372" s="7">
        <v>8.1967963000000005E-2</v>
      </c>
      <c r="H372" s="7">
        <v>0.22860022499999999</v>
      </c>
      <c r="I372" s="7">
        <v>9.2326670999999999E-2</v>
      </c>
      <c r="J372" s="7">
        <v>0.100613546</v>
      </c>
      <c r="K372" s="7">
        <v>5.5573141999999999E-2</v>
      </c>
      <c r="L372" s="7">
        <v>0.190114965</v>
      </c>
      <c r="M372" s="7">
        <v>6.0110929E-2</v>
      </c>
      <c r="N372" s="7">
        <v>0.16413599600000001</v>
      </c>
      <c r="O372" s="7">
        <v>5.7420760000000001E-2</v>
      </c>
      <c r="P372" s="7">
        <v>0.14421985700000001</v>
      </c>
      <c r="Q372" s="7">
        <v>6.9009248999999995E-2</v>
      </c>
      <c r="R372" s="7">
        <v>3.4954999E-2</v>
      </c>
      <c r="S372" s="7">
        <v>4.9153562999999997E-2</v>
      </c>
      <c r="T372" s="7">
        <v>9.0440120999999998E-2</v>
      </c>
      <c r="U372" s="7">
        <v>6.5727749000000002E-2</v>
      </c>
      <c r="V372" s="7">
        <v>0.34526627922817099</v>
      </c>
      <c r="W372" s="7">
        <v>0.13800025374654643</v>
      </c>
      <c r="X372" s="7">
        <v>9.679870235744506E-2</v>
      </c>
      <c r="Y372" s="7">
        <v>0.27227727857566064</v>
      </c>
      <c r="Z372" s="7">
        <v>0.13753560058817757</v>
      </c>
      <c r="AA372" s="7">
        <v>9.8159043074365696E-2</v>
      </c>
      <c r="AB372" s="4">
        <v>0</v>
      </c>
      <c r="AC372" s="4">
        <v>0</v>
      </c>
      <c r="AD372" s="4">
        <v>0</v>
      </c>
      <c r="AE372" s="4"/>
      <c r="AF372" s="4"/>
      <c r="AG372" s="4"/>
      <c r="AH372" s="4"/>
    </row>
    <row r="373" spans="1:34" x14ac:dyDescent="0.3">
      <c r="A373" s="1">
        <v>45126</v>
      </c>
      <c r="B373" s="7">
        <v>3.6704287000000002E-2</v>
      </c>
      <c r="C373" s="7">
        <v>2.6296982999999999E-2</v>
      </c>
      <c r="D373" s="7">
        <v>2.2584098E-2</v>
      </c>
      <c r="E373" s="7">
        <v>4.1215702E-2</v>
      </c>
      <c r="F373" s="7">
        <v>0.23183130599999999</v>
      </c>
      <c r="G373" s="7">
        <v>0.11042669200000001</v>
      </c>
      <c r="H373" s="7">
        <v>0.18719593300000001</v>
      </c>
      <c r="I373" s="7">
        <v>0.16816002299999999</v>
      </c>
      <c r="J373" s="7">
        <v>0.15187836099999999</v>
      </c>
      <c r="K373" s="7">
        <v>8.1967963000000005E-2</v>
      </c>
      <c r="L373" s="7">
        <v>0.22860022499999999</v>
      </c>
      <c r="M373" s="7">
        <v>9.2326670999999999E-2</v>
      </c>
      <c r="N373" s="7">
        <v>0.100613546</v>
      </c>
      <c r="O373" s="7">
        <v>5.5573141999999999E-2</v>
      </c>
      <c r="P373" s="7">
        <v>0.190114965</v>
      </c>
      <c r="Q373" s="7">
        <v>6.0110929E-2</v>
      </c>
      <c r="R373" s="7">
        <v>0.16413599600000001</v>
      </c>
      <c r="S373" s="7">
        <v>5.7420760000000001E-2</v>
      </c>
      <c r="T373" s="7">
        <v>0.14421985700000001</v>
      </c>
      <c r="U373" s="7">
        <v>6.9009248999999995E-2</v>
      </c>
      <c r="V373" s="7">
        <v>0.34526627922817099</v>
      </c>
      <c r="W373" s="7">
        <v>0.1379338930016871</v>
      </c>
      <c r="X373" s="7">
        <v>9.6737065676859413E-2</v>
      </c>
      <c r="Y373" s="7">
        <v>0.26436623727951547</v>
      </c>
      <c r="Z373" s="7">
        <v>0.13807777557823681</v>
      </c>
      <c r="AA373" s="7">
        <v>9.8176906801725902E-2</v>
      </c>
      <c r="AB373" s="4">
        <v>0</v>
      </c>
      <c r="AC373" s="4">
        <v>0</v>
      </c>
      <c r="AD373" s="4">
        <v>0</v>
      </c>
      <c r="AE373" s="4"/>
      <c r="AF373" s="4"/>
      <c r="AG373" s="4"/>
      <c r="AH373" s="4"/>
    </row>
    <row r="374" spans="1:34" x14ac:dyDescent="0.3">
      <c r="A374" s="1">
        <v>45127</v>
      </c>
      <c r="B374" s="7">
        <v>6.4768854000000001E-2</v>
      </c>
      <c r="C374" s="7">
        <v>2.3393491999999998E-2</v>
      </c>
      <c r="D374" s="7">
        <v>9.4939746000000005E-2</v>
      </c>
      <c r="E374" s="7">
        <v>2.3865845E-2</v>
      </c>
      <c r="F374" s="7">
        <v>3.6704287000000002E-2</v>
      </c>
      <c r="G374" s="7">
        <v>2.6296982999999999E-2</v>
      </c>
      <c r="H374" s="7">
        <v>2.2584098E-2</v>
      </c>
      <c r="I374" s="7">
        <v>4.1215702E-2</v>
      </c>
      <c r="J374" s="7">
        <v>0.23183130599999999</v>
      </c>
      <c r="K374" s="7">
        <v>0.11042669200000001</v>
      </c>
      <c r="L374" s="7">
        <v>0.18719593300000001</v>
      </c>
      <c r="M374" s="7">
        <v>0.16816002299999999</v>
      </c>
      <c r="N374" s="7">
        <v>0.15187836099999999</v>
      </c>
      <c r="O374" s="7">
        <v>8.1967963000000005E-2</v>
      </c>
      <c r="P374" s="7">
        <v>0.22860022499999999</v>
      </c>
      <c r="Q374" s="7">
        <v>9.2326670999999999E-2</v>
      </c>
      <c r="R374" s="7">
        <v>0.100613546</v>
      </c>
      <c r="S374" s="7">
        <v>5.5573141999999999E-2</v>
      </c>
      <c r="T374" s="7">
        <v>0.190114965</v>
      </c>
      <c r="U374" s="7">
        <v>6.0110929E-2</v>
      </c>
      <c r="V374" s="7">
        <v>0.36341156328966667</v>
      </c>
      <c r="W374" s="7">
        <v>0.13797317867158632</v>
      </c>
      <c r="X374" s="7">
        <v>9.7057228575747542E-2</v>
      </c>
      <c r="Y374" s="7">
        <v>0.27227727857566064</v>
      </c>
      <c r="Z374" s="7">
        <v>0.13790369986302889</v>
      </c>
      <c r="AA374" s="7">
        <v>9.8408782917235746E-2</v>
      </c>
      <c r="AB374" s="4">
        <v>0</v>
      </c>
      <c r="AC374" s="4">
        <v>0</v>
      </c>
      <c r="AD374" s="4">
        <v>0</v>
      </c>
      <c r="AE374" s="4"/>
      <c r="AF374" s="4"/>
      <c r="AG374" s="4"/>
      <c r="AH374" s="4"/>
    </row>
    <row r="375" spans="1:34" x14ac:dyDescent="0.3">
      <c r="A375" s="1">
        <v>45128</v>
      </c>
      <c r="B375" s="7">
        <v>5.7684303999999999E-2</v>
      </c>
      <c r="C375" s="7">
        <v>2.8505777E-2</v>
      </c>
      <c r="D375" s="7">
        <v>8.8648474000000005E-2</v>
      </c>
      <c r="E375" s="7">
        <v>3.5812160000000003E-2</v>
      </c>
      <c r="F375" s="7">
        <v>6.4768854000000001E-2</v>
      </c>
      <c r="G375" s="7">
        <v>2.3393491999999998E-2</v>
      </c>
      <c r="H375" s="7">
        <v>9.4939746000000005E-2</v>
      </c>
      <c r="I375" s="7">
        <v>2.3865845E-2</v>
      </c>
      <c r="J375" s="7">
        <v>3.6704287000000002E-2</v>
      </c>
      <c r="K375" s="7">
        <v>2.6296982999999999E-2</v>
      </c>
      <c r="L375" s="7">
        <v>2.2584098E-2</v>
      </c>
      <c r="M375" s="7">
        <v>4.1215702E-2</v>
      </c>
      <c r="N375" s="7">
        <v>0.23183130599999999</v>
      </c>
      <c r="O375" s="7">
        <v>0.11042669200000001</v>
      </c>
      <c r="P375" s="7">
        <v>0.18719593300000001</v>
      </c>
      <c r="Q375" s="7">
        <v>0.16816002299999999</v>
      </c>
      <c r="R375" s="7">
        <v>0.15187836099999999</v>
      </c>
      <c r="S375" s="7">
        <v>8.1967963000000005E-2</v>
      </c>
      <c r="T375" s="7">
        <v>0.22860022499999999</v>
      </c>
      <c r="U375" s="7">
        <v>9.2326670999999999E-2</v>
      </c>
      <c r="V375" s="7">
        <v>0.36341156328966667</v>
      </c>
      <c r="W375" s="7">
        <v>0.13254305937279479</v>
      </c>
      <c r="X375" s="7">
        <v>9.086694474169088E-2</v>
      </c>
      <c r="Y375" s="7">
        <v>0.27227727857566064</v>
      </c>
      <c r="Z375" s="7">
        <v>0.13869800883350183</v>
      </c>
      <c r="AA375" s="7">
        <v>9.8965959516484139E-2</v>
      </c>
      <c r="AB375" s="4">
        <v>1</v>
      </c>
      <c r="AC375" s="4">
        <v>0</v>
      </c>
      <c r="AD375" s="4">
        <v>1</v>
      </c>
      <c r="AE375" s="4"/>
      <c r="AF375" s="4"/>
      <c r="AG375" s="4"/>
      <c r="AH375" s="4"/>
    </row>
    <row r="376" spans="1:34" x14ac:dyDescent="0.3">
      <c r="A376" s="1">
        <v>45131</v>
      </c>
      <c r="B376" s="7">
        <v>4.6326826000000002E-2</v>
      </c>
      <c r="C376" s="7">
        <v>3.2160371E-2</v>
      </c>
      <c r="D376" s="7">
        <v>7.0173066000000006E-2</v>
      </c>
      <c r="E376" s="7">
        <v>2.3206098000000001E-2</v>
      </c>
      <c r="F376" s="7">
        <v>5.7684303999999999E-2</v>
      </c>
      <c r="G376" s="7">
        <v>2.8505777E-2</v>
      </c>
      <c r="H376" s="7">
        <v>8.8648474000000005E-2</v>
      </c>
      <c r="I376" s="7">
        <v>3.5812160000000003E-2</v>
      </c>
      <c r="J376" s="7">
        <v>6.4768854000000001E-2</v>
      </c>
      <c r="K376" s="7">
        <v>2.3393491999999998E-2</v>
      </c>
      <c r="L376" s="7">
        <v>9.4939746000000005E-2</v>
      </c>
      <c r="M376" s="7">
        <v>2.3865845E-2</v>
      </c>
      <c r="N376" s="7">
        <v>3.6704287000000002E-2</v>
      </c>
      <c r="O376" s="7">
        <v>2.6296982999999999E-2</v>
      </c>
      <c r="P376" s="7">
        <v>2.2584098E-2</v>
      </c>
      <c r="Q376" s="7">
        <v>4.1215702E-2</v>
      </c>
      <c r="R376" s="7">
        <v>0.23183130599999999</v>
      </c>
      <c r="S376" s="7">
        <v>0.11042669200000001</v>
      </c>
      <c r="T376" s="7">
        <v>0.18719593300000001</v>
      </c>
      <c r="U376" s="7">
        <v>0.16816002299999999</v>
      </c>
      <c r="V376" s="7">
        <v>0.36341156328966667</v>
      </c>
      <c r="W376" s="7">
        <v>0.13255310011012339</v>
      </c>
      <c r="X376" s="7">
        <v>9.0854062043003322E-2</v>
      </c>
      <c r="Y376" s="7">
        <v>0.26436623727951547</v>
      </c>
      <c r="Z376" s="7">
        <v>0.13838137819619206</v>
      </c>
      <c r="AA376" s="7">
        <v>9.8456412125487794E-2</v>
      </c>
      <c r="AB376" s="4">
        <v>0</v>
      </c>
      <c r="AC376" s="4">
        <v>0</v>
      </c>
      <c r="AD376" s="4">
        <v>0</v>
      </c>
      <c r="AE376" s="4"/>
      <c r="AF376" s="4"/>
      <c r="AG376" s="4"/>
      <c r="AH376" s="4"/>
    </row>
    <row r="377" spans="1:34" x14ac:dyDescent="0.3">
      <c r="A377" s="1">
        <v>45132</v>
      </c>
      <c r="B377" s="7">
        <v>3.7562290999999998E-2</v>
      </c>
      <c r="C377" s="7">
        <v>3.6233372999999999E-2</v>
      </c>
      <c r="D377" s="7">
        <v>6.0527483999999999E-2</v>
      </c>
      <c r="E377" s="7">
        <v>3.4647839999999999E-2</v>
      </c>
      <c r="F377" s="7">
        <v>4.6326826000000002E-2</v>
      </c>
      <c r="G377" s="7">
        <v>3.2160371E-2</v>
      </c>
      <c r="H377" s="7">
        <v>7.0173066000000006E-2</v>
      </c>
      <c r="I377" s="7">
        <v>2.3206098000000001E-2</v>
      </c>
      <c r="J377" s="7">
        <v>5.7684303999999999E-2</v>
      </c>
      <c r="K377" s="7">
        <v>2.8505777E-2</v>
      </c>
      <c r="L377" s="7">
        <v>8.8648474000000005E-2</v>
      </c>
      <c r="M377" s="7">
        <v>3.5812160000000003E-2</v>
      </c>
      <c r="N377" s="7">
        <v>6.4768854000000001E-2</v>
      </c>
      <c r="O377" s="7">
        <v>2.3393491999999998E-2</v>
      </c>
      <c r="P377" s="7">
        <v>9.4939746000000005E-2</v>
      </c>
      <c r="Q377" s="7">
        <v>2.3865845E-2</v>
      </c>
      <c r="R377" s="7">
        <v>3.6704287000000002E-2</v>
      </c>
      <c r="S377" s="7">
        <v>2.6296982999999999E-2</v>
      </c>
      <c r="T377" s="7">
        <v>2.2584098E-2</v>
      </c>
      <c r="U377" s="7">
        <v>4.1215702E-2</v>
      </c>
      <c r="V377" s="7">
        <v>0.36341156328966667</v>
      </c>
      <c r="W377" s="7">
        <v>0.13403693988639484</v>
      </c>
      <c r="X377" s="7">
        <v>9.2138492929526597E-2</v>
      </c>
      <c r="Y377" s="7">
        <v>0.26436623727951547</v>
      </c>
      <c r="Z377" s="7">
        <v>0.13912873892109193</v>
      </c>
      <c r="AA377" s="7">
        <v>9.893348589131884E-2</v>
      </c>
      <c r="AB377" s="4">
        <v>0</v>
      </c>
      <c r="AC377" s="4">
        <v>0</v>
      </c>
      <c r="AD377" s="4">
        <v>0</v>
      </c>
      <c r="AE377" s="4"/>
      <c r="AF377" s="4"/>
      <c r="AG377" s="4"/>
      <c r="AH377" s="4"/>
    </row>
    <row r="378" spans="1:34" x14ac:dyDescent="0.3">
      <c r="A378" s="1">
        <v>45133</v>
      </c>
      <c r="B378" s="7">
        <v>3.6131048999999998E-2</v>
      </c>
      <c r="C378" s="7">
        <v>3.2555737000000001E-2</v>
      </c>
      <c r="D378" s="7">
        <v>2.9269827000000002E-2</v>
      </c>
      <c r="E378" s="7">
        <v>4.0324528999999998E-2</v>
      </c>
      <c r="F378" s="7">
        <v>3.7562290999999998E-2</v>
      </c>
      <c r="G378" s="7">
        <v>3.6233372999999999E-2</v>
      </c>
      <c r="H378" s="7">
        <v>6.0527483999999999E-2</v>
      </c>
      <c r="I378" s="7">
        <v>3.4647839999999999E-2</v>
      </c>
      <c r="J378" s="7">
        <v>4.6326826000000002E-2</v>
      </c>
      <c r="K378" s="7">
        <v>3.2160371E-2</v>
      </c>
      <c r="L378" s="7">
        <v>7.0173066000000006E-2</v>
      </c>
      <c r="M378" s="7">
        <v>2.3206098000000001E-2</v>
      </c>
      <c r="N378" s="7">
        <v>5.7684303999999999E-2</v>
      </c>
      <c r="O378" s="7">
        <v>2.8505777E-2</v>
      </c>
      <c r="P378" s="7">
        <v>8.8648474000000005E-2</v>
      </c>
      <c r="Q378" s="7">
        <v>3.5812160000000003E-2</v>
      </c>
      <c r="R378" s="7">
        <v>6.4768854000000001E-2</v>
      </c>
      <c r="S378" s="7">
        <v>2.3393491999999998E-2</v>
      </c>
      <c r="T378" s="7">
        <v>9.4939746000000005E-2</v>
      </c>
      <c r="U378" s="7">
        <v>2.3865845E-2</v>
      </c>
      <c r="V378" s="7">
        <v>0.34526627922817099</v>
      </c>
      <c r="W378" s="7">
        <v>0.13236781020329302</v>
      </c>
      <c r="X378" s="7">
        <v>9.0292324779402966E-2</v>
      </c>
      <c r="Y378" s="7">
        <v>0.26436623727951547</v>
      </c>
      <c r="Z378" s="7">
        <v>0.13922435663402905</v>
      </c>
      <c r="AA378" s="7">
        <v>9.8854469925920327E-2</v>
      </c>
      <c r="AB378" s="4">
        <v>0</v>
      </c>
      <c r="AC378" s="4">
        <v>1</v>
      </c>
      <c r="AD378" s="4">
        <v>1</v>
      </c>
      <c r="AE378" s="4"/>
      <c r="AF378" s="4"/>
      <c r="AG378" s="4"/>
      <c r="AH378" s="4"/>
    </row>
    <row r="379" spans="1:34" x14ac:dyDescent="0.3">
      <c r="A379" s="1">
        <v>45134</v>
      </c>
      <c r="B379" s="7">
        <v>6.8523690999999998E-2</v>
      </c>
      <c r="C379" s="7">
        <v>3.1295590999999998E-2</v>
      </c>
      <c r="D379" s="7">
        <v>0.101282846</v>
      </c>
      <c r="E379" s="7">
        <v>3.3608779999999998E-2</v>
      </c>
      <c r="F379" s="7">
        <v>3.6131048999999998E-2</v>
      </c>
      <c r="G379" s="7">
        <v>3.2555737000000001E-2</v>
      </c>
      <c r="H379" s="7">
        <v>2.9269827000000002E-2</v>
      </c>
      <c r="I379" s="7">
        <v>4.0324528999999998E-2</v>
      </c>
      <c r="J379" s="7">
        <v>3.7562290999999998E-2</v>
      </c>
      <c r="K379" s="7">
        <v>3.6233372999999999E-2</v>
      </c>
      <c r="L379" s="7">
        <v>6.0527483999999999E-2</v>
      </c>
      <c r="M379" s="7">
        <v>3.4647839999999999E-2</v>
      </c>
      <c r="N379" s="7">
        <v>4.6326826000000002E-2</v>
      </c>
      <c r="O379" s="7">
        <v>3.2160371E-2</v>
      </c>
      <c r="P379" s="7">
        <v>7.0173066000000006E-2</v>
      </c>
      <c r="Q379" s="7">
        <v>2.3206098000000001E-2</v>
      </c>
      <c r="R379" s="7">
        <v>5.7684303999999999E-2</v>
      </c>
      <c r="S379" s="7">
        <v>2.8505777E-2</v>
      </c>
      <c r="T379" s="7">
        <v>8.8648474000000005E-2</v>
      </c>
      <c r="U379" s="7">
        <v>3.5812160000000003E-2</v>
      </c>
      <c r="V379" s="7">
        <v>0.36341156328966667</v>
      </c>
      <c r="W379" s="7">
        <v>0.13259192811714843</v>
      </c>
      <c r="X379" s="7">
        <v>9.0786388381181762E-2</v>
      </c>
      <c r="Y379" s="7">
        <v>0.26436623727951547</v>
      </c>
      <c r="Z379" s="7">
        <v>0.13840710699378211</v>
      </c>
      <c r="AA379" s="7">
        <v>9.8378950425575665E-2</v>
      </c>
      <c r="AB379" s="4">
        <v>0</v>
      </c>
      <c r="AC379" s="4">
        <v>1</v>
      </c>
      <c r="AD379" s="4">
        <v>1</v>
      </c>
      <c r="AE379" s="4"/>
      <c r="AF379" s="4"/>
      <c r="AG379" s="4"/>
      <c r="AH379" s="4"/>
    </row>
    <row r="380" spans="1:34" x14ac:dyDescent="0.3">
      <c r="A380" s="1">
        <v>45135</v>
      </c>
      <c r="B380" s="7">
        <v>6.2168858E-2</v>
      </c>
      <c r="C380" s="7">
        <v>2.4703959000000001E-2</v>
      </c>
      <c r="D380" s="7">
        <v>8.8584661999999995E-2</v>
      </c>
      <c r="E380" s="7">
        <v>2.9636948E-2</v>
      </c>
      <c r="F380" s="7">
        <v>6.8523690999999998E-2</v>
      </c>
      <c r="G380" s="7">
        <v>3.1295590999999998E-2</v>
      </c>
      <c r="H380" s="7">
        <v>0.101282846</v>
      </c>
      <c r="I380" s="7">
        <v>3.3608779999999998E-2</v>
      </c>
      <c r="J380" s="7">
        <v>3.6131048999999998E-2</v>
      </c>
      <c r="K380" s="7">
        <v>3.2555737000000001E-2</v>
      </c>
      <c r="L380" s="7">
        <v>2.9269827000000002E-2</v>
      </c>
      <c r="M380" s="7">
        <v>4.0324528999999998E-2</v>
      </c>
      <c r="N380" s="7">
        <v>3.7562290999999998E-2</v>
      </c>
      <c r="O380" s="7">
        <v>3.6233372999999999E-2</v>
      </c>
      <c r="P380" s="7">
        <v>6.0527483999999999E-2</v>
      </c>
      <c r="Q380" s="7">
        <v>3.4647839999999999E-2</v>
      </c>
      <c r="R380" s="7">
        <v>4.6326826000000002E-2</v>
      </c>
      <c r="S380" s="7">
        <v>3.2160371E-2</v>
      </c>
      <c r="T380" s="7">
        <v>7.0173066000000006E-2</v>
      </c>
      <c r="U380" s="7">
        <v>2.3206098000000001E-2</v>
      </c>
      <c r="V380" s="7">
        <v>0.38476769585131998</v>
      </c>
      <c r="W380" s="7">
        <v>0.13151798740789827</v>
      </c>
      <c r="X380" s="7">
        <v>9.0654511105325658E-2</v>
      </c>
      <c r="Y380" s="7">
        <v>0.27227727857566064</v>
      </c>
      <c r="Z380" s="7">
        <v>0.13567907726550082</v>
      </c>
      <c r="AA380" s="7">
        <v>9.6005184929838408E-2</v>
      </c>
      <c r="AB380" s="4">
        <v>0</v>
      </c>
      <c r="AC380" s="4">
        <v>1</v>
      </c>
      <c r="AD380" s="4">
        <v>1</v>
      </c>
      <c r="AE380" s="4"/>
      <c r="AF380" s="4"/>
      <c r="AG380" s="4"/>
      <c r="AH380" s="4"/>
    </row>
    <row r="381" spans="1:34" x14ac:dyDescent="0.3">
      <c r="A381" s="1">
        <v>45138</v>
      </c>
      <c r="B381" s="7">
        <v>8.9635908E-2</v>
      </c>
      <c r="C381" s="7">
        <v>3.8743734000000002E-2</v>
      </c>
      <c r="D381" s="7">
        <v>4.4343153000000003E-2</v>
      </c>
      <c r="E381" s="7">
        <v>4.4041802999999997E-2</v>
      </c>
      <c r="F381" s="7">
        <v>6.2168858E-2</v>
      </c>
      <c r="G381" s="7">
        <v>2.4703959000000001E-2</v>
      </c>
      <c r="H381" s="7">
        <v>8.8584661999999995E-2</v>
      </c>
      <c r="I381" s="7">
        <v>2.9636948E-2</v>
      </c>
      <c r="J381" s="7">
        <v>6.8523690999999998E-2</v>
      </c>
      <c r="K381" s="7">
        <v>3.1295590999999998E-2</v>
      </c>
      <c r="L381" s="7">
        <v>0.101282846</v>
      </c>
      <c r="M381" s="7">
        <v>3.3608779999999998E-2</v>
      </c>
      <c r="N381" s="7">
        <v>3.6131048999999998E-2</v>
      </c>
      <c r="O381" s="7">
        <v>3.2555737000000001E-2</v>
      </c>
      <c r="P381" s="7">
        <v>2.9269827000000002E-2</v>
      </c>
      <c r="Q381" s="7">
        <v>4.0324528999999998E-2</v>
      </c>
      <c r="R381" s="7">
        <v>3.7562290999999998E-2</v>
      </c>
      <c r="S381" s="7">
        <v>3.6233372999999999E-2</v>
      </c>
      <c r="T381" s="7">
        <v>6.0527483999999999E-2</v>
      </c>
      <c r="U381" s="7">
        <v>3.4647839999999999E-2</v>
      </c>
      <c r="V381" s="7">
        <v>0.36341156328966667</v>
      </c>
      <c r="W381" s="7">
        <v>0.1324237379710243</v>
      </c>
      <c r="X381" s="7">
        <v>9.0575607772013303E-2</v>
      </c>
      <c r="Y381" s="7">
        <v>0.26436623727951547</v>
      </c>
      <c r="Z381" s="7">
        <v>0.13510667628668782</v>
      </c>
      <c r="AA381" s="7">
        <v>9.5271544205742992E-2</v>
      </c>
      <c r="AB381" s="4">
        <v>0</v>
      </c>
      <c r="AC381" s="4">
        <v>1</v>
      </c>
      <c r="AD381" s="4">
        <v>1</v>
      </c>
      <c r="AE381" s="4"/>
      <c r="AF381" s="4"/>
      <c r="AG381" s="4"/>
      <c r="AH381" s="4"/>
    </row>
    <row r="382" spans="1:34" x14ac:dyDescent="0.3">
      <c r="A382" s="1">
        <v>45139</v>
      </c>
      <c r="B382" s="7">
        <v>3.8297932999999999E-2</v>
      </c>
      <c r="C382" s="7">
        <v>3.0634966999999999E-2</v>
      </c>
      <c r="D382" s="7">
        <v>7.8454362E-2</v>
      </c>
      <c r="E382" s="7">
        <v>3.7351223000000003E-2</v>
      </c>
      <c r="F382" s="7">
        <v>8.9635908E-2</v>
      </c>
      <c r="G382" s="7">
        <v>3.8743734000000002E-2</v>
      </c>
      <c r="H382" s="7">
        <v>4.4343153000000003E-2</v>
      </c>
      <c r="I382" s="7">
        <v>4.4041802999999997E-2</v>
      </c>
      <c r="J382" s="7">
        <v>6.2168858E-2</v>
      </c>
      <c r="K382" s="7">
        <v>2.4703959000000001E-2</v>
      </c>
      <c r="L382" s="7">
        <v>8.8584661999999995E-2</v>
      </c>
      <c r="M382" s="7">
        <v>2.9636948E-2</v>
      </c>
      <c r="N382" s="7">
        <v>6.8523690999999998E-2</v>
      </c>
      <c r="O382" s="7">
        <v>3.1295590999999998E-2</v>
      </c>
      <c r="P382" s="7">
        <v>0.101282846</v>
      </c>
      <c r="Q382" s="7">
        <v>3.3608779999999998E-2</v>
      </c>
      <c r="R382" s="7">
        <v>3.6131048999999998E-2</v>
      </c>
      <c r="S382" s="7">
        <v>3.2555737000000001E-2</v>
      </c>
      <c r="T382" s="7">
        <v>2.9269827000000002E-2</v>
      </c>
      <c r="U382" s="7">
        <v>4.0324528999999998E-2</v>
      </c>
      <c r="V382" s="7">
        <v>0.36341156328966667</v>
      </c>
      <c r="W382" s="7">
        <v>0.13255274190378419</v>
      </c>
      <c r="X382" s="7">
        <v>9.1075003590921924E-2</v>
      </c>
      <c r="Y382" s="7">
        <v>0.26436623727951547</v>
      </c>
      <c r="Z382" s="7">
        <v>0.13396498507369931</v>
      </c>
      <c r="AA382" s="7">
        <v>9.4647609635573116E-2</v>
      </c>
      <c r="AB382" s="4">
        <v>0</v>
      </c>
      <c r="AC382" s="4">
        <v>1</v>
      </c>
      <c r="AD382" s="4">
        <v>1</v>
      </c>
      <c r="AE382" s="4"/>
      <c r="AF382" s="4"/>
      <c r="AG382" s="4"/>
      <c r="AH382" s="4"/>
    </row>
    <row r="383" spans="1:34" x14ac:dyDescent="0.3">
      <c r="A383" s="1">
        <v>45140</v>
      </c>
      <c r="B383" s="7">
        <v>6.6510011999999993E-2</v>
      </c>
      <c r="C383" s="7">
        <v>5.0429498000000003E-2</v>
      </c>
      <c r="D383" s="7">
        <v>3.5343878000000002E-2</v>
      </c>
      <c r="E383" s="7">
        <v>5.9766386999999997E-2</v>
      </c>
      <c r="F383" s="7">
        <v>3.8297932999999999E-2</v>
      </c>
      <c r="G383" s="7">
        <v>3.0634966999999999E-2</v>
      </c>
      <c r="H383" s="7">
        <v>7.8454362E-2</v>
      </c>
      <c r="I383" s="7">
        <v>3.7351223000000003E-2</v>
      </c>
      <c r="J383" s="7">
        <v>8.9635908E-2</v>
      </c>
      <c r="K383" s="7">
        <v>3.8743734000000002E-2</v>
      </c>
      <c r="L383" s="7">
        <v>4.4343153000000003E-2</v>
      </c>
      <c r="M383" s="7">
        <v>4.4041802999999997E-2</v>
      </c>
      <c r="N383" s="7">
        <v>6.2168858E-2</v>
      </c>
      <c r="O383" s="7">
        <v>2.4703959000000001E-2</v>
      </c>
      <c r="P383" s="7">
        <v>8.8584661999999995E-2</v>
      </c>
      <c r="Q383" s="7">
        <v>2.9636948E-2</v>
      </c>
      <c r="R383" s="7">
        <v>6.8523690999999998E-2</v>
      </c>
      <c r="S383" s="7">
        <v>3.1295590999999998E-2</v>
      </c>
      <c r="T383" s="7">
        <v>0.101282846</v>
      </c>
      <c r="U383" s="7">
        <v>3.3608779999999998E-2</v>
      </c>
      <c r="V383" s="7">
        <v>0.25827844740216682</v>
      </c>
      <c r="W383" s="7">
        <v>0.14162302769384702</v>
      </c>
      <c r="X383" s="7">
        <v>0.10017244782154211</v>
      </c>
      <c r="Y383" s="7">
        <v>0.26436623727951547</v>
      </c>
      <c r="Z383" s="7">
        <v>0.13820908009954602</v>
      </c>
      <c r="AA383" s="7">
        <v>9.8952620367243074E-2</v>
      </c>
      <c r="AB383" s="4">
        <v>0</v>
      </c>
      <c r="AC383" s="4">
        <v>1</v>
      </c>
      <c r="AD383" s="4">
        <v>1</v>
      </c>
      <c r="AE383" s="4"/>
      <c r="AF383" s="4"/>
      <c r="AG383" s="4"/>
      <c r="AH383" s="4"/>
    </row>
    <row r="384" spans="1:34" x14ac:dyDescent="0.3">
      <c r="A384" s="1">
        <v>45142</v>
      </c>
      <c r="B384" s="7">
        <v>0.10631373600000001</v>
      </c>
      <c r="C384" s="7">
        <v>4.0728838000000003E-2</v>
      </c>
      <c r="D384" s="7">
        <v>0.15058917199999999</v>
      </c>
      <c r="E384" s="7">
        <v>4.5248150000000001E-2</v>
      </c>
      <c r="F384" s="7">
        <v>6.6510011999999993E-2</v>
      </c>
      <c r="G384" s="7">
        <v>5.0429498000000003E-2</v>
      </c>
      <c r="H384" s="7">
        <v>3.5343878000000002E-2</v>
      </c>
      <c r="I384" s="7">
        <v>5.9766386999999997E-2</v>
      </c>
      <c r="J384" s="7">
        <v>3.8297932999999999E-2</v>
      </c>
      <c r="K384" s="7">
        <v>3.0634966999999999E-2</v>
      </c>
      <c r="L384" s="7">
        <v>7.8454362E-2</v>
      </c>
      <c r="M384" s="7">
        <v>3.7351223000000003E-2</v>
      </c>
      <c r="N384" s="7">
        <v>8.9635908E-2</v>
      </c>
      <c r="O384" s="7">
        <v>3.8743734000000002E-2</v>
      </c>
      <c r="P384" s="7">
        <v>4.4343153000000003E-2</v>
      </c>
      <c r="Q384" s="7">
        <v>4.4041802999999997E-2</v>
      </c>
      <c r="R384" s="7">
        <v>6.2168858E-2</v>
      </c>
      <c r="S384" s="7">
        <v>2.4703959000000001E-2</v>
      </c>
      <c r="T384" s="7">
        <v>8.8584661999999995E-2</v>
      </c>
      <c r="U384" s="7">
        <v>2.9636948E-2</v>
      </c>
      <c r="V384" s="7">
        <v>0.15237483868634535</v>
      </c>
      <c r="W384" s="7">
        <v>0.14184735435199886</v>
      </c>
      <c r="X384" s="7">
        <v>9.9826984524687801E-2</v>
      </c>
      <c r="Y384" s="7">
        <v>0.26436623727951547</v>
      </c>
      <c r="Z384" s="7">
        <v>0.13749717026006802</v>
      </c>
      <c r="AA384" s="7">
        <v>9.8442708914305344E-2</v>
      </c>
      <c r="AB384" s="4">
        <v>0</v>
      </c>
      <c r="AC384" s="4">
        <v>0</v>
      </c>
      <c r="AD384" s="4">
        <v>0</v>
      </c>
      <c r="AE384" s="4"/>
      <c r="AF384" s="4"/>
      <c r="AG384" s="4"/>
      <c r="AH384" s="4"/>
    </row>
    <row r="385" spans="1:34" x14ac:dyDescent="0.3">
      <c r="A385" s="1">
        <v>45145</v>
      </c>
      <c r="B385" s="7">
        <v>6.9599304000000001E-2</v>
      </c>
      <c r="C385" s="7">
        <v>5.6413981000000002E-2</v>
      </c>
      <c r="D385" s="7">
        <v>0.14133284900000001</v>
      </c>
      <c r="E385" s="7">
        <v>4.5289004000000001E-2</v>
      </c>
      <c r="F385" s="7">
        <v>0.10631373600000001</v>
      </c>
      <c r="G385" s="7">
        <v>4.0728838000000003E-2</v>
      </c>
      <c r="H385" s="7">
        <v>0.15058917199999999</v>
      </c>
      <c r="I385" s="7">
        <v>4.5248150000000001E-2</v>
      </c>
      <c r="J385" s="7">
        <v>6.6510011999999993E-2</v>
      </c>
      <c r="K385" s="7">
        <v>5.0429498000000003E-2</v>
      </c>
      <c r="L385" s="7">
        <v>3.5343878000000002E-2</v>
      </c>
      <c r="M385" s="7">
        <v>5.9766386999999997E-2</v>
      </c>
      <c r="N385" s="7">
        <v>3.8297932999999999E-2</v>
      </c>
      <c r="O385" s="7">
        <v>3.0634966999999999E-2</v>
      </c>
      <c r="P385" s="7">
        <v>7.8454362E-2</v>
      </c>
      <c r="Q385" s="7">
        <v>3.7351223000000003E-2</v>
      </c>
      <c r="R385" s="7">
        <v>8.9635908E-2</v>
      </c>
      <c r="S385" s="7">
        <v>3.8743734000000002E-2</v>
      </c>
      <c r="T385" s="7">
        <v>4.4343153000000003E-2</v>
      </c>
      <c r="U385" s="7">
        <v>4.4041802999999997E-2</v>
      </c>
      <c r="V385" s="7">
        <v>0.25827844740216682</v>
      </c>
      <c r="W385" s="7">
        <v>0.14121017657279447</v>
      </c>
      <c r="X385" s="7">
        <v>0.10030023285068954</v>
      </c>
      <c r="Y385" s="7">
        <v>0.27227727857566064</v>
      </c>
      <c r="Z385" s="7">
        <v>0.13772437120356296</v>
      </c>
      <c r="AA385" s="7">
        <v>9.8831019450135824E-2</v>
      </c>
      <c r="AB385" s="4">
        <v>0</v>
      </c>
      <c r="AC385" s="4">
        <v>1</v>
      </c>
      <c r="AD385" s="4">
        <v>1</v>
      </c>
      <c r="AE385" s="4"/>
      <c r="AF385" s="4"/>
      <c r="AG385" s="4"/>
      <c r="AH385" s="4"/>
    </row>
    <row r="386" spans="1:34" x14ac:dyDescent="0.3">
      <c r="A386" s="1">
        <v>45146</v>
      </c>
      <c r="B386" s="7">
        <v>0.10016434</v>
      </c>
      <c r="C386" s="7">
        <v>5.6722769999999999E-2</v>
      </c>
      <c r="D386" s="7">
        <v>8.9246694000000001E-2</v>
      </c>
      <c r="E386" s="7">
        <v>6.3510431000000006E-2</v>
      </c>
      <c r="F386" s="7">
        <v>6.9599304000000001E-2</v>
      </c>
      <c r="G386" s="7">
        <v>5.6413981000000002E-2</v>
      </c>
      <c r="H386" s="7">
        <v>0.14133284900000001</v>
      </c>
      <c r="I386" s="7">
        <v>4.5289004000000001E-2</v>
      </c>
      <c r="J386" s="7">
        <v>0.10631373600000001</v>
      </c>
      <c r="K386" s="7">
        <v>4.0728838000000003E-2</v>
      </c>
      <c r="L386" s="7">
        <v>0.15058917199999999</v>
      </c>
      <c r="M386" s="7">
        <v>4.5248150000000001E-2</v>
      </c>
      <c r="N386" s="7">
        <v>6.6510011999999993E-2</v>
      </c>
      <c r="O386" s="7">
        <v>5.0429498000000003E-2</v>
      </c>
      <c r="P386" s="7">
        <v>3.5343878000000002E-2</v>
      </c>
      <c r="Q386" s="7">
        <v>5.9766386999999997E-2</v>
      </c>
      <c r="R386" s="7">
        <v>3.8297932999999999E-2</v>
      </c>
      <c r="S386" s="7">
        <v>3.0634966999999999E-2</v>
      </c>
      <c r="T386" s="7">
        <v>7.8454362E-2</v>
      </c>
      <c r="U386" s="7">
        <v>3.7351223000000003E-2</v>
      </c>
      <c r="V386" s="7">
        <v>0.25827844740216682</v>
      </c>
      <c r="W386" s="7">
        <v>0.14076503966009246</v>
      </c>
      <c r="X386" s="7">
        <v>9.9878750263735577E-2</v>
      </c>
      <c r="Y386" s="7">
        <v>0.26436623727951547</v>
      </c>
      <c r="Z386" s="7">
        <v>0.13636810475474739</v>
      </c>
      <c r="AA386" s="7">
        <v>9.797872176607135E-2</v>
      </c>
      <c r="AB386" s="4">
        <v>0</v>
      </c>
      <c r="AC386" s="4">
        <v>1</v>
      </c>
      <c r="AD386" s="4">
        <v>1</v>
      </c>
      <c r="AE386" s="4"/>
      <c r="AF386" s="4"/>
      <c r="AG386" s="4"/>
      <c r="AH386" s="4"/>
    </row>
    <row r="387" spans="1:34" x14ac:dyDescent="0.3">
      <c r="A387" s="1">
        <v>45147</v>
      </c>
      <c r="B387" s="7">
        <v>6.0663621000000001E-2</v>
      </c>
      <c r="C387" s="7">
        <v>6.1564577000000002E-2</v>
      </c>
      <c r="D387" s="7">
        <v>8.4758920000000001E-2</v>
      </c>
      <c r="E387" s="7">
        <v>6.3565440000000001E-2</v>
      </c>
      <c r="F387" s="7">
        <v>0.10016434</v>
      </c>
      <c r="G387" s="7">
        <v>5.6722769999999999E-2</v>
      </c>
      <c r="H387" s="7">
        <v>8.9246694000000001E-2</v>
      </c>
      <c r="I387" s="7">
        <v>6.3510431000000006E-2</v>
      </c>
      <c r="J387" s="7">
        <v>6.9599304000000001E-2</v>
      </c>
      <c r="K387" s="7">
        <v>5.6413981000000002E-2</v>
      </c>
      <c r="L387" s="7">
        <v>0.14133284900000001</v>
      </c>
      <c r="M387" s="7">
        <v>4.5289004000000001E-2</v>
      </c>
      <c r="N387" s="7">
        <v>0.10631373600000001</v>
      </c>
      <c r="O387" s="7">
        <v>4.0728838000000003E-2</v>
      </c>
      <c r="P387" s="7">
        <v>0.15058917199999999</v>
      </c>
      <c r="Q387" s="7">
        <v>4.5248150000000001E-2</v>
      </c>
      <c r="R387" s="7">
        <v>6.6510011999999993E-2</v>
      </c>
      <c r="S387" s="7">
        <v>5.0429498000000003E-2</v>
      </c>
      <c r="T387" s="7">
        <v>3.5343878000000002E-2</v>
      </c>
      <c r="U387" s="7">
        <v>5.9766386999999997E-2</v>
      </c>
      <c r="V387" s="7">
        <v>0.25827844740216682</v>
      </c>
      <c r="W387" s="7">
        <v>0.14072899573406328</v>
      </c>
      <c r="X387" s="7">
        <v>9.9902262662493246E-2</v>
      </c>
      <c r="Y387" s="7">
        <v>0.26436623727951547</v>
      </c>
      <c r="Z387" s="7">
        <v>0.13634161912235357</v>
      </c>
      <c r="AA387" s="7">
        <v>9.8015800875341716E-2</v>
      </c>
      <c r="AB387" s="4">
        <v>0</v>
      </c>
      <c r="AC387" s="4">
        <v>1</v>
      </c>
      <c r="AD387" s="4">
        <v>1</v>
      </c>
      <c r="AE387" s="4"/>
      <c r="AF387" s="4"/>
      <c r="AG387" s="4"/>
      <c r="AH387" s="4"/>
    </row>
    <row r="388" spans="1:34" x14ac:dyDescent="0.3">
      <c r="A388" s="1">
        <v>45148</v>
      </c>
      <c r="B388" s="7">
        <v>0.19688228199999999</v>
      </c>
      <c r="C388" s="7">
        <v>6.5834434999999997E-2</v>
      </c>
      <c r="D388" s="7">
        <v>0.15277816899999999</v>
      </c>
      <c r="E388" s="7">
        <v>9.1443154999999998E-2</v>
      </c>
      <c r="F388" s="7">
        <v>6.0663621000000001E-2</v>
      </c>
      <c r="G388" s="7">
        <v>6.1564577000000002E-2</v>
      </c>
      <c r="H388" s="7">
        <v>8.4758920000000001E-2</v>
      </c>
      <c r="I388" s="7">
        <v>6.3565440000000001E-2</v>
      </c>
      <c r="J388" s="7">
        <v>0.10016434</v>
      </c>
      <c r="K388" s="7">
        <v>5.6722769999999999E-2</v>
      </c>
      <c r="L388" s="7">
        <v>8.9246694000000001E-2</v>
      </c>
      <c r="M388" s="7">
        <v>6.3510431000000006E-2</v>
      </c>
      <c r="N388" s="7">
        <v>6.9599304000000001E-2</v>
      </c>
      <c r="O388" s="7">
        <v>5.6413981000000002E-2</v>
      </c>
      <c r="P388" s="7">
        <v>0.14133284900000001</v>
      </c>
      <c r="Q388" s="7">
        <v>4.5289004000000001E-2</v>
      </c>
      <c r="R388" s="7">
        <v>0.10631373600000001</v>
      </c>
      <c r="S388" s="7">
        <v>4.0728838000000003E-2</v>
      </c>
      <c r="T388" s="7">
        <v>0.15058917199999999</v>
      </c>
      <c r="U388" s="7">
        <v>4.5248150000000001E-2</v>
      </c>
      <c r="V388" s="7">
        <v>0.25827844740216682</v>
      </c>
      <c r="W388" s="7">
        <v>0.14569718618732758</v>
      </c>
      <c r="X388" s="7">
        <v>0.10451703165663208</v>
      </c>
      <c r="Y388" s="7">
        <v>0.26436623727951547</v>
      </c>
      <c r="Z388" s="7">
        <v>0.13869410197796447</v>
      </c>
      <c r="AA388" s="7">
        <v>0.10014400075839813</v>
      </c>
      <c r="AB388" s="4">
        <v>0</v>
      </c>
      <c r="AC388" s="4">
        <v>0</v>
      </c>
      <c r="AD388" s="4">
        <v>0</v>
      </c>
      <c r="AE388" s="4"/>
      <c r="AF388" s="4"/>
      <c r="AG388" s="4"/>
      <c r="AH388" s="4"/>
    </row>
    <row r="389" spans="1:34" x14ac:dyDescent="0.3">
      <c r="A389" s="1">
        <v>45149</v>
      </c>
      <c r="B389" s="7">
        <v>0.185594327</v>
      </c>
      <c r="C389" s="7">
        <v>5.0696647999999997E-2</v>
      </c>
      <c r="D389" s="7">
        <v>0.14623778400000001</v>
      </c>
      <c r="E389" s="7">
        <v>9.9289418000000004E-2</v>
      </c>
      <c r="F389" s="7">
        <v>0.19688228199999999</v>
      </c>
      <c r="G389" s="7">
        <v>6.5834434999999997E-2</v>
      </c>
      <c r="H389" s="7">
        <v>0.15277816899999999</v>
      </c>
      <c r="I389" s="7">
        <v>9.1443154999999998E-2</v>
      </c>
      <c r="J389" s="7">
        <v>6.0663621000000001E-2</v>
      </c>
      <c r="K389" s="7">
        <v>6.1564577000000002E-2</v>
      </c>
      <c r="L389" s="7">
        <v>8.4758920000000001E-2</v>
      </c>
      <c r="M389" s="7">
        <v>6.3565440000000001E-2</v>
      </c>
      <c r="N389" s="7">
        <v>0.10016434</v>
      </c>
      <c r="O389" s="7">
        <v>5.6722769999999999E-2</v>
      </c>
      <c r="P389" s="7">
        <v>8.9246694000000001E-2</v>
      </c>
      <c r="Q389" s="7">
        <v>6.3510431000000006E-2</v>
      </c>
      <c r="R389" s="7">
        <v>6.9599304000000001E-2</v>
      </c>
      <c r="S389" s="7">
        <v>5.6413981000000002E-2</v>
      </c>
      <c r="T389" s="7">
        <v>0.14133284900000001</v>
      </c>
      <c r="U389" s="7">
        <v>4.5289004000000001E-2</v>
      </c>
      <c r="V389" s="7">
        <v>0.15237483868634535</v>
      </c>
      <c r="W389" s="7">
        <v>0.14292237556081031</v>
      </c>
      <c r="X389" s="7">
        <v>0.10228076509112588</v>
      </c>
      <c r="Y389" s="7">
        <v>0.26436623727951547</v>
      </c>
      <c r="Z389" s="7">
        <v>0.13871567548161778</v>
      </c>
      <c r="AA389" s="7">
        <v>0.10013687335719582</v>
      </c>
      <c r="AB389" s="4">
        <v>0</v>
      </c>
      <c r="AC389" s="4">
        <v>0</v>
      </c>
      <c r="AD389" s="4">
        <v>0</v>
      </c>
      <c r="AE389" s="4"/>
      <c r="AF389" s="4"/>
      <c r="AG389" s="4"/>
      <c r="AH389" s="4"/>
    </row>
    <row r="390" spans="1:34" x14ac:dyDescent="0.3">
      <c r="A390" s="1">
        <v>45152</v>
      </c>
      <c r="B390" s="7">
        <v>0.25234494899999999</v>
      </c>
      <c r="C390" s="7">
        <v>0.108899551</v>
      </c>
      <c r="D390" s="7">
        <v>0.17303696399999999</v>
      </c>
      <c r="E390" s="7">
        <v>0.15163068699999999</v>
      </c>
      <c r="F390" s="7">
        <v>0.185594327</v>
      </c>
      <c r="G390" s="7">
        <v>5.0696647999999997E-2</v>
      </c>
      <c r="H390" s="7">
        <v>0.14623778400000001</v>
      </c>
      <c r="I390" s="7">
        <v>9.9289418000000004E-2</v>
      </c>
      <c r="J390" s="7">
        <v>0.19688228199999999</v>
      </c>
      <c r="K390" s="7">
        <v>6.5834434999999997E-2</v>
      </c>
      <c r="L390" s="7">
        <v>0.15277816899999999</v>
      </c>
      <c r="M390" s="7">
        <v>9.1443154999999998E-2</v>
      </c>
      <c r="N390" s="7">
        <v>6.0663621000000001E-2</v>
      </c>
      <c r="O390" s="7">
        <v>6.1564577000000002E-2</v>
      </c>
      <c r="P390" s="7">
        <v>8.4758920000000001E-2</v>
      </c>
      <c r="Q390" s="7">
        <v>6.3565440000000001E-2</v>
      </c>
      <c r="R390" s="7">
        <v>0.10016434</v>
      </c>
      <c r="S390" s="7">
        <v>5.6722769999999999E-2</v>
      </c>
      <c r="T390" s="7">
        <v>8.9246694000000001E-2</v>
      </c>
      <c r="U390" s="7">
        <v>6.3510431000000006E-2</v>
      </c>
      <c r="V390" s="7">
        <v>9.9238142992526535E-2</v>
      </c>
      <c r="W390" s="7">
        <v>0.13922154895168523</v>
      </c>
      <c r="X390" s="7">
        <v>0.1002718067672824</v>
      </c>
      <c r="Y390" s="7">
        <v>0.24361404964574562</v>
      </c>
      <c r="Z390" s="7">
        <v>0.13886046491713971</v>
      </c>
      <c r="AA390" s="7">
        <v>9.9822807318444715E-2</v>
      </c>
      <c r="AB390" s="4">
        <v>0</v>
      </c>
      <c r="AC390" s="4">
        <v>0</v>
      </c>
      <c r="AD390" s="4">
        <v>0</v>
      </c>
      <c r="AE390" s="4"/>
      <c r="AF390" s="4"/>
      <c r="AG390" s="4"/>
      <c r="AH390" s="4"/>
    </row>
    <row r="391" spans="1:34" x14ac:dyDescent="0.3">
      <c r="A391" s="1">
        <v>45153</v>
      </c>
      <c r="B391" s="7">
        <v>0.244092595</v>
      </c>
      <c r="C391" s="7">
        <v>0.15144622599999999</v>
      </c>
      <c r="D391" s="7">
        <v>0.25002462199999997</v>
      </c>
      <c r="E391" s="7">
        <v>0.20560008599999999</v>
      </c>
      <c r="F391" s="7">
        <v>0.25234494899999999</v>
      </c>
      <c r="G391" s="7">
        <v>0.108899551</v>
      </c>
      <c r="H391" s="7">
        <v>0.17303696399999999</v>
      </c>
      <c r="I391" s="7">
        <v>0.15163068699999999</v>
      </c>
      <c r="J391" s="7">
        <v>0.185594327</v>
      </c>
      <c r="K391" s="7">
        <v>5.0696647999999997E-2</v>
      </c>
      <c r="L391" s="7">
        <v>0.14623778400000001</v>
      </c>
      <c r="M391" s="7">
        <v>9.9289418000000004E-2</v>
      </c>
      <c r="N391" s="7">
        <v>0.19688228199999999</v>
      </c>
      <c r="O391" s="7">
        <v>6.5834434999999997E-2</v>
      </c>
      <c r="P391" s="7">
        <v>0.15277816899999999</v>
      </c>
      <c r="Q391" s="7">
        <v>9.1443154999999998E-2</v>
      </c>
      <c r="R391" s="7">
        <v>6.0663621000000001E-2</v>
      </c>
      <c r="S391" s="7">
        <v>6.1564577000000002E-2</v>
      </c>
      <c r="T391" s="7">
        <v>8.4758920000000001E-2</v>
      </c>
      <c r="U391" s="7">
        <v>6.3565440000000001E-2</v>
      </c>
      <c r="V391" s="7">
        <v>9.9238142992526535E-2</v>
      </c>
      <c r="W391" s="7">
        <v>0.13694790272232435</v>
      </c>
      <c r="X391" s="7">
        <v>9.9051139095841179E-2</v>
      </c>
      <c r="Y391" s="7">
        <v>0.26436623727951547</v>
      </c>
      <c r="Z391" s="7">
        <v>0.1366027460556713</v>
      </c>
      <c r="AA391" s="7">
        <v>9.8039770037385052E-2</v>
      </c>
      <c r="AB391" s="4">
        <v>0</v>
      </c>
      <c r="AC391" s="4">
        <v>0</v>
      </c>
      <c r="AD391" s="4">
        <v>0</v>
      </c>
      <c r="AE391" s="4"/>
      <c r="AF391" s="4"/>
      <c r="AG391" s="4"/>
      <c r="AH391" s="4"/>
    </row>
    <row r="392" spans="1:34" x14ac:dyDescent="0.3">
      <c r="A392" s="1">
        <v>45154</v>
      </c>
      <c r="B392" s="7">
        <v>1.7114864E-2</v>
      </c>
      <c r="C392" s="7">
        <v>3.6373430999999998E-2</v>
      </c>
      <c r="D392" s="7">
        <v>4.7805577000000002E-2</v>
      </c>
      <c r="E392" s="7">
        <v>3.0165470999999999E-2</v>
      </c>
      <c r="F392" s="7">
        <v>0.244092595</v>
      </c>
      <c r="G392" s="7">
        <v>0.15144622599999999</v>
      </c>
      <c r="H392" s="7">
        <v>0.25002462199999997</v>
      </c>
      <c r="I392" s="7">
        <v>0.20560008599999999</v>
      </c>
      <c r="J392" s="7">
        <v>0.25234494899999999</v>
      </c>
      <c r="K392" s="7">
        <v>0.108899551</v>
      </c>
      <c r="L392" s="7">
        <v>0.17303696399999999</v>
      </c>
      <c r="M392" s="7">
        <v>0.15163068699999999</v>
      </c>
      <c r="N392" s="7">
        <v>0.185594327</v>
      </c>
      <c r="O392" s="7">
        <v>5.0696647999999997E-2</v>
      </c>
      <c r="P392" s="7">
        <v>0.14623778400000001</v>
      </c>
      <c r="Q392" s="7">
        <v>9.9289418000000004E-2</v>
      </c>
      <c r="R392" s="7">
        <v>0.19688228199999999</v>
      </c>
      <c r="S392" s="7">
        <v>6.5834434999999997E-2</v>
      </c>
      <c r="T392" s="7">
        <v>0.15277816899999999</v>
      </c>
      <c r="U392" s="7">
        <v>9.1443154999999998E-2</v>
      </c>
      <c r="V392" s="7">
        <v>4.9824550916951559E-2</v>
      </c>
      <c r="W392" s="7">
        <v>0.13656375728876022</v>
      </c>
      <c r="X392" s="7">
        <v>9.8239221296696044E-2</v>
      </c>
      <c r="Y392" s="7">
        <v>0.24361404964574562</v>
      </c>
      <c r="Z392" s="7">
        <v>0.13603214381538747</v>
      </c>
      <c r="AA392" s="7">
        <v>9.7376508141293644E-2</v>
      </c>
      <c r="AB392" s="4">
        <v>0</v>
      </c>
      <c r="AC392" s="4">
        <v>0</v>
      </c>
      <c r="AD392" s="4">
        <v>0</v>
      </c>
      <c r="AE392" s="4"/>
      <c r="AF392" s="4"/>
      <c r="AG392" s="4"/>
      <c r="AH392" s="4"/>
    </row>
    <row r="393" spans="1:34" x14ac:dyDescent="0.3">
      <c r="A393" s="1">
        <v>45155</v>
      </c>
      <c r="B393" s="7">
        <v>4.8379624000000003E-2</v>
      </c>
      <c r="C393" s="7">
        <v>4.9628943000000002E-2</v>
      </c>
      <c r="D393" s="7">
        <v>9.8207555000000002E-2</v>
      </c>
      <c r="E393" s="7">
        <v>4.7661413999999999E-2</v>
      </c>
      <c r="F393" s="7">
        <v>1.7114864E-2</v>
      </c>
      <c r="G393" s="7">
        <v>3.6373430999999998E-2</v>
      </c>
      <c r="H393" s="7">
        <v>4.7805577000000002E-2</v>
      </c>
      <c r="I393" s="7">
        <v>3.0165470999999999E-2</v>
      </c>
      <c r="J393" s="7">
        <v>0.244092595</v>
      </c>
      <c r="K393" s="7">
        <v>0.15144622599999999</v>
      </c>
      <c r="L393" s="7">
        <v>0.25002462199999997</v>
      </c>
      <c r="M393" s="7">
        <v>0.20560008599999999</v>
      </c>
      <c r="N393" s="7">
        <v>0.25234494899999999</v>
      </c>
      <c r="O393" s="7">
        <v>0.108899551</v>
      </c>
      <c r="P393" s="7">
        <v>0.17303696399999999</v>
      </c>
      <c r="Q393" s="7">
        <v>0.15163068699999999</v>
      </c>
      <c r="R393" s="7">
        <v>0.185594327</v>
      </c>
      <c r="S393" s="7">
        <v>5.0696647999999997E-2</v>
      </c>
      <c r="T393" s="7">
        <v>0.14623778400000001</v>
      </c>
      <c r="U393" s="7">
        <v>9.9289418000000004E-2</v>
      </c>
      <c r="V393" s="7">
        <v>9.9238142992526535E-2</v>
      </c>
      <c r="W393" s="7">
        <v>0.13691160996624638</v>
      </c>
      <c r="X393" s="7">
        <v>9.8908298148145807E-2</v>
      </c>
      <c r="Y393" s="7">
        <v>0.26436623727951547</v>
      </c>
      <c r="Z393" s="7">
        <v>0.13591734359015167</v>
      </c>
      <c r="AA393" s="7">
        <v>9.7723277044666712E-2</v>
      </c>
      <c r="AB393" s="4">
        <v>1</v>
      </c>
      <c r="AC393" s="4">
        <v>0</v>
      </c>
      <c r="AD393" s="4">
        <v>1</v>
      </c>
      <c r="AE393" s="4"/>
      <c r="AF393" s="4"/>
      <c r="AG393" s="4"/>
      <c r="AH393" s="4"/>
    </row>
    <row r="394" spans="1:34" x14ac:dyDescent="0.3">
      <c r="A394" s="1">
        <v>45156</v>
      </c>
      <c r="B394" s="7">
        <v>7.4098282000000001E-2</v>
      </c>
      <c r="C394" s="7">
        <v>3.0593337000000002E-2</v>
      </c>
      <c r="D394" s="7">
        <v>6.6887893000000004E-2</v>
      </c>
      <c r="E394" s="7">
        <v>4.5190016E-2</v>
      </c>
      <c r="F394" s="7">
        <v>4.8379624000000003E-2</v>
      </c>
      <c r="G394" s="7">
        <v>4.9628943000000002E-2</v>
      </c>
      <c r="H394" s="7">
        <v>9.8207555000000002E-2</v>
      </c>
      <c r="I394" s="7">
        <v>4.7661413999999999E-2</v>
      </c>
      <c r="J394" s="7">
        <v>1.7114864E-2</v>
      </c>
      <c r="K394" s="7">
        <v>3.6373430999999998E-2</v>
      </c>
      <c r="L394" s="7">
        <v>4.7805577000000002E-2</v>
      </c>
      <c r="M394" s="7">
        <v>3.0165470999999999E-2</v>
      </c>
      <c r="N394" s="7">
        <v>0.244092595</v>
      </c>
      <c r="O394" s="7">
        <v>0.15144622599999999</v>
      </c>
      <c r="P394" s="7">
        <v>0.25002462199999997</v>
      </c>
      <c r="Q394" s="7">
        <v>0.20560008599999999</v>
      </c>
      <c r="R394" s="7">
        <v>0.25234494899999999</v>
      </c>
      <c r="S394" s="7">
        <v>0.108899551</v>
      </c>
      <c r="T394" s="7">
        <v>0.17303696399999999</v>
      </c>
      <c r="U394" s="7">
        <v>0.15163068699999999</v>
      </c>
      <c r="V394" s="7">
        <v>3.776929925494852E-2</v>
      </c>
      <c r="W394" s="7">
        <v>0.13853637112263939</v>
      </c>
      <c r="X394" s="7">
        <v>9.9667487217075523E-2</v>
      </c>
      <c r="Y394" s="7">
        <v>0.24361404964574562</v>
      </c>
      <c r="Z394" s="7">
        <v>0.13669933234944309</v>
      </c>
      <c r="AA394" s="7">
        <v>9.7974261307880187E-2</v>
      </c>
      <c r="AB394" s="4">
        <v>0</v>
      </c>
      <c r="AC394" s="4">
        <v>0</v>
      </c>
      <c r="AD394" s="4">
        <v>0</v>
      </c>
      <c r="AE394" s="4"/>
      <c r="AF394" s="4"/>
      <c r="AG394" s="4"/>
      <c r="AH394" s="4"/>
    </row>
    <row r="395" spans="1:34" x14ac:dyDescent="0.3">
      <c r="A395" s="1">
        <v>45159</v>
      </c>
      <c r="B395" s="7">
        <v>5.5268348000000002E-2</v>
      </c>
      <c r="C395" s="7">
        <v>2.4426765999999999E-2</v>
      </c>
      <c r="D395" s="7">
        <v>6.5701488000000002E-2</v>
      </c>
      <c r="E395" s="7">
        <v>3.3533228999999998E-2</v>
      </c>
      <c r="F395" s="7">
        <v>7.4098282000000001E-2</v>
      </c>
      <c r="G395" s="7">
        <v>3.0593337000000002E-2</v>
      </c>
      <c r="H395" s="7">
        <v>6.6887893000000004E-2</v>
      </c>
      <c r="I395" s="7">
        <v>4.5190016E-2</v>
      </c>
      <c r="J395" s="7">
        <v>4.8379624000000003E-2</v>
      </c>
      <c r="K395" s="7">
        <v>4.9628943000000002E-2</v>
      </c>
      <c r="L395" s="7">
        <v>9.8207555000000002E-2</v>
      </c>
      <c r="M395" s="7">
        <v>4.7661413999999999E-2</v>
      </c>
      <c r="N395" s="7">
        <v>1.7114864E-2</v>
      </c>
      <c r="O395" s="7">
        <v>3.6373430999999998E-2</v>
      </c>
      <c r="P395" s="7">
        <v>4.7805577000000002E-2</v>
      </c>
      <c r="Q395" s="7">
        <v>3.0165470999999999E-2</v>
      </c>
      <c r="R395" s="7">
        <v>0.244092595</v>
      </c>
      <c r="S395" s="7">
        <v>0.15144622599999999</v>
      </c>
      <c r="T395" s="7">
        <v>0.25002462199999997</v>
      </c>
      <c r="U395" s="7">
        <v>0.20560008599999999</v>
      </c>
      <c r="V395" s="7">
        <v>3.776929925494852E-2</v>
      </c>
      <c r="W395" s="7">
        <v>0.1384484058962038</v>
      </c>
      <c r="X395" s="7">
        <v>9.9848490404295984E-2</v>
      </c>
      <c r="Y395" s="7">
        <v>0.20648438067724439</v>
      </c>
      <c r="Z395" s="7">
        <v>0.13669895763541667</v>
      </c>
      <c r="AA395" s="7">
        <v>9.791334264024891E-2</v>
      </c>
      <c r="AB395" s="4">
        <v>0</v>
      </c>
      <c r="AC395" s="4">
        <v>0</v>
      </c>
      <c r="AD395" s="4">
        <v>0</v>
      </c>
      <c r="AE395" s="4"/>
      <c r="AF395" s="4"/>
      <c r="AG395" s="4"/>
      <c r="AH395" s="4"/>
    </row>
    <row r="396" spans="1:34" x14ac:dyDescent="0.3">
      <c r="A396" s="1">
        <v>45160</v>
      </c>
      <c r="B396" s="7">
        <v>4.1012626000000003E-2</v>
      </c>
      <c r="C396" s="7">
        <v>2.7743061999999999E-2</v>
      </c>
      <c r="D396" s="7">
        <v>5.4196835999999998E-2</v>
      </c>
      <c r="E396" s="7">
        <v>3.9452265E-2</v>
      </c>
      <c r="F396" s="7">
        <v>5.5268348000000002E-2</v>
      </c>
      <c r="G396" s="7">
        <v>2.4426765999999999E-2</v>
      </c>
      <c r="H396" s="7">
        <v>6.5701488000000002E-2</v>
      </c>
      <c r="I396" s="7">
        <v>3.3533228999999998E-2</v>
      </c>
      <c r="J396" s="7">
        <v>7.4098282000000001E-2</v>
      </c>
      <c r="K396" s="7">
        <v>3.0593337000000002E-2</v>
      </c>
      <c r="L396" s="7">
        <v>6.6887893000000004E-2</v>
      </c>
      <c r="M396" s="7">
        <v>4.5190016E-2</v>
      </c>
      <c r="N396" s="7">
        <v>4.8379624000000003E-2</v>
      </c>
      <c r="O396" s="7">
        <v>4.9628943000000002E-2</v>
      </c>
      <c r="P396" s="7">
        <v>9.8207555000000002E-2</v>
      </c>
      <c r="Q396" s="7">
        <v>4.7661413999999999E-2</v>
      </c>
      <c r="R396" s="7">
        <v>1.7114864E-2</v>
      </c>
      <c r="S396" s="7">
        <v>3.6373430999999998E-2</v>
      </c>
      <c r="T396" s="7">
        <v>4.7805577000000002E-2</v>
      </c>
      <c r="U396" s="7">
        <v>3.0165470999999999E-2</v>
      </c>
      <c r="V396" s="7">
        <v>3.776929925494852E-2</v>
      </c>
      <c r="W396" s="7">
        <v>0.13725232515632127</v>
      </c>
      <c r="X396" s="7">
        <v>9.9049883973842859E-2</v>
      </c>
      <c r="Y396" s="7">
        <v>0.24361404964574562</v>
      </c>
      <c r="Z396" s="7">
        <v>0.13573737241617845</v>
      </c>
      <c r="AA396" s="7">
        <v>9.7505927362428427E-2</v>
      </c>
      <c r="AB396" s="4">
        <v>0</v>
      </c>
      <c r="AC396" s="4">
        <v>0</v>
      </c>
      <c r="AD396" s="4">
        <v>0</v>
      </c>
      <c r="AE396" s="4"/>
      <c r="AF396" s="4"/>
      <c r="AG396" s="4"/>
      <c r="AH396" s="4"/>
    </row>
    <row r="397" spans="1:34" x14ac:dyDescent="0.3">
      <c r="A397" s="1">
        <v>45161</v>
      </c>
      <c r="B397" s="7">
        <v>1.7807363E-2</v>
      </c>
      <c r="C397" s="7">
        <v>3.4061007999999997E-2</v>
      </c>
      <c r="D397" s="7">
        <v>4.9689018000000001E-2</v>
      </c>
      <c r="E397" s="7">
        <v>3.9840247000000002E-2</v>
      </c>
      <c r="F397" s="7">
        <v>4.1012626000000003E-2</v>
      </c>
      <c r="G397" s="7">
        <v>2.7743061999999999E-2</v>
      </c>
      <c r="H397" s="7">
        <v>5.4196835999999998E-2</v>
      </c>
      <c r="I397" s="7">
        <v>3.9452265E-2</v>
      </c>
      <c r="J397" s="7">
        <v>5.5268348000000002E-2</v>
      </c>
      <c r="K397" s="7">
        <v>2.4426765999999999E-2</v>
      </c>
      <c r="L397" s="7">
        <v>6.5701488000000002E-2</v>
      </c>
      <c r="M397" s="7">
        <v>3.3533228999999998E-2</v>
      </c>
      <c r="N397" s="7">
        <v>7.4098282000000001E-2</v>
      </c>
      <c r="O397" s="7">
        <v>3.0593337000000002E-2</v>
      </c>
      <c r="P397" s="7">
        <v>6.6887893000000004E-2</v>
      </c>
      <c r="Q397" s="7">
        <v>4.5190016E-2</v>
      </c>
      <c r="R397" s="7">
        <v>4.8379624000000003E-2</v>
      </c>
      <c r="S397" s="7">
        <v>4.9628943000000002E-2</v>
      </c>
      <c r="T397" s="7">
        <v>9.8207555000000002E-2</v>
      </c>
      <c r="U397" s="7">
        <v>4.7661413999999999E-2</v>
      </c>
      <c r="V397" s="7">
        <v>3.776929925494852E-2</v>
      </c>
      <c r="W397" s="7">
        <v>0.13505969199239057</v>
      </c>
      <c r="X397" s="7">
        <v>9.8290236677427353E-2</v>
      </c>
      <c r="Y397" s="7">
        <v>0.24361404964574562</v>
      </c>
      <c r="Z397" s="7">
        <v>0.13476643095362623</v>
      </c>
      <c r="AA397" s="7">
        <v>9.7154070996723491E-2</v>
      </c>
      <c r="AB397" s="4">
        <v>0</v>
      </c>
      <c r="AC397" s="4">
        <v>0</v>
      </c>
      <c r="AD397" s="4">
        <v>0</v>
      </c>
      <c r="AE397" s="4"/>
      <c r="AF397" s="4"/>
      <c r="AG397" s="4"/>
      <c r="AH397" s="4"/>
    </row>
    <row r="398" spans="1:34" x14ac:dyDescent="0.3">
      <c r="A398" s="1">
        <v>45162</v>
      </c>
      <c r="B398" s="7">
        <v>5.7608319999999998E-2</v>
      </c>
      <c r="C398" s="7">
        <v>3.0515176000000001E-2</v>
      </c>
      <c r="D398" s="7">
        <v>0.108697877</v>
      </c>
      <c r="E398" s="7">
        <v>4.4069966000000002E-2</v>
      </c>
      <c r="F398" s="7">
        <v>1.7807363E-2</v>
      </c>
      <c r="G398" s="7">
        <v>3.4061007999999997E-2</v>
      </c>
      <c r="H398" s="7">
        <v>4.9689018000000001E-2</v>
      </c>
      <c r="I398" s="7">
        <v>3.9840247000000002E-2</v>
      </c>
      <c r="J398" s="7">
        <v>4.1012626000000003E-2</v>
      </c>
      <c r="K398" s="7">
        <v>2.7743061999999999E-2</v>
      </c>
      <c r="L398" s="7">
        <v>5.4196835999999998E-2</v>
      </c>
      <c r="M398" s="7">
        <v>3.9452265E-2</v>
      </c>
      <c r="N398" s="7">
        <v>5.5268348000000002E-2</v>
      </c>
      <c r="O398" s="7">
        <v>2.4426765999999999E-2</v>
      </c>
      <c r="P398" s="7">
        <v>6.5701488000000002E-2</v>
      </c>
      <c r="Q398" s="7">
        <v>3.3533228999999998E-2</v>
      </c>
      <c r="R398" s="7">
        <v>7.4098282000000001E-2</v>
      </c>
      <c r="S398" s="7">
        <v>3.0593337000000002E-2</v>
      </c>
      <c r="T398" s="7">
        <v>6.6887893000000004E-2</v>
      </c>
      <c r="U398" s="7">
        <v>4.5190016E-2</v>
      </c>
      <c r="V398" s="7">
        <v>3.776929925494852E-2</v>
      </c>
      <c r="W398" s="7">
        <v>0.13761101953731161</v>
      </c>
      <c r="X398" s="7">
        <v>9.9469973125691474E-2</v>
      </c>
      <c r="Y398" s="7">
        <v>0.26436623727951547</v>
      </c>
      <c r="Z398" s="7">
        <v>0.13550259437852652</v>
      </c>
      <c r="AA398" s="7">
        <v>9.7792813491888619E-2</v>
      </c>
      <c r="AB398" s="4">
        <v>0</v>
      </c>
      <c r="AC398" s="4">
        <v>0</v>
      </c>
      <c r="AD398" s="4">
        <v>0</v>
      </c>
      <c r="AE398" s="4"/>
      <c r="AF398" s="4"/>
      <c r="AG398" s="4"/>
      <c r="AH398" s="4"/>
    </row>
    <row r="399" spans="1:34" x14ac:dyDescent="0.3">
      <c r="A399" s="1">
        <v>45163</v>
      </c>
      <c r="B399" s="7">
        <v>8.5860361999999996E-2</v>
      </c>
      <c r="C399" s="7">
        <v>2.9339546000000001E-2</v>
      </c>
      <c r="D399" s="7">
        <v>5.9336811000000003E-2</v>
      </c>
      <c r="E399" s="7">
        <v>4.2725156E-2</v>
      </c>
      <c r="F399" s="7">
        <v>5.7608319999999998E-2</v>
      </c>
      <c r="G399" s="7">
        <v>3.0515176000000001E-2</v>
      </c>
      <c r="H399" s="7">
        <v>0.108697877</v>
      </c>
      <c r="I399" s="7">
        <v>4.4069966000000002E-2</v>
      </c>
      <c r="J399" s="7">
        <v>1.7807363E-2</v>
      </c>
      <c r="K399" s="7">
        <v>3.4061007999999997E-2</v>
      </c>
      <c r="L399" s="7">
        <v>4.9689018000000001E-2</v>
      </c>
      <c r="M399" s="7">
        <v>3.9840247000000002E-2</v>
      </c>
      <c r="N399" s="7">
        <v>4.1012626000000003E-2</v>
      </c>
      <c r="O399" s="7">
        <v>2.7743061999999999E-2</v>
      </c>
      <c r="P399" s="7">
        <v>5.4196835999999998E-2</v>
      </c>
      <c r="Q399" s="7">
        <v>3.9452265E-2</v>
      </c>
      <c r="R399" s="7">
        <v>5.5268348000000002E-2</v>
      </c>
      <c r="S399" s="7">
        <v>2.4426765999999999E-2</v>
      </c>
      <c r="T399" s="7">
        <v>6.5701488000000002E-2</v>
      </c>
      <c r="U399" s="7">
        <v>3.3533228999999998E-2</v>
      </c>
      <c r="V399" s="7">
        <v>3.776929925494852E-2</v>
      </c>
      <c r="W399" s="7">
        <v>0.14428458438532113</v>
      </c>
      <c r="X399" s="7">
        <v>0.10571673714332108</v>
      </c>
      <c r="Y399" s="7">
        <v>0.24361404964574562</v>
      </c>
      <c r="Z399" s="7">
        <v>0.13902710697423429</v>
      </c>
      <c r="AA399" s="7">
        <v>0.10103441149252541</v>
      </c>
      <c r="AB399" s="4">
        <v>0</v>
      </c>
      <c r="AC399" s="4">
        <v>0</v>
      </c>
      <c r="AD399" s="4">
        <v>0</v>
      </c>
      <c r="AE399" s="4"/>
      <c r="AF399" s="4"/>
      <c r="AG399" s="4"/>
      <c r="AH399" s="4"/>
    </row>
    <row r="400" spans="1:34" x14ac:dyDescent="0.3">
      <c r="A400" s="1">
        <v>45166</v>
      </c>
      <c r="B400" s="7">
        <v>7.0027985000000001E-2</v>
      </c>
      <c r="C400" s="7">
        <v>5.5184074999999999E-2</v>
      </c>
      <c r="D400" s="7">
        <v>8.6583291000000007E-2</v>
      </c>
      <c r="E400" s="7">
        <v>4.4198379000000003E-2</v>
      </c>
      <c r="F400" s="7">
        <v>8.5860361999999996E-2</v>
      </c>
      <c r="G400" s="7">
        <v>2.9339546000000001E-2</v>
      </c>
      <c r="H400" s="7">
        <v>5.9336811000000003E-2</v>
      </c>
      <c r="I400" s="7">
        <v>4.2725156E-2</v>
      </c>
      <c r="J400" s="7">
        <v>5.7608319999999998E-2</v>
      </c>
      <c r="K400" s="7">
        <v>3.0515176000000001E-2</v>
      </c>
      <c r="L400" s="7">
        <v>0.108697877</v>
      </c>
      <c r="M400" s="7">
        <v>4.4069966000000002E-2</v>
      </c>
      <c r="N400" s="7">
        <v>1.7807363E-2</v>
      </c>
      <c r="O400" s="7">
        <v>3.4061007999999997E-2</v>
      </c>
      <c r="P400" s="7">
        <v>4.9689018000000001E-2</v>
      </c>
      <c r="Q400" s="7">
        <v>3.9840247000000002E-2</v>
      </c>
      <c r="R400" s="7">
        <v>4.1012626000000003E-2</v>
      </c>
      <c r="S400" s="7">
        <v>2.7743061999999999E-2</v>
      </c>
      <c r="T400" s="7">
        <v>5.4196835999999998E-2</v>
      </c>
      <c r="U400" s="7">
        <v>3.9452265E-2</v>
      </c>
      <c r="V400" s="7">
        <v>9.9238142992526535E-2</v>
      </c>
      <c r="W400" s="7">
        <v>0.14416297624352911</v>
      </c>
      <c r="X400" s="7">
        <v>0.10612074780191215</v>
      </c>
      <c r="Y400" s="7">
        <v>0.24361404964574562</v>
      </c>
      <c r="Z400" s="7">
        <v>0.13902862048589076</v>
      </c>
      <c r="AA400" s="7">
        <v>0.10111034379113534</v>
      </c>
      <c r="AB400" s="4">
        <v>1</v>
      </c>
      <c r="AC400" s="4">
        <v>0</v>
      </c>
      <c r="AD400" s="4">
        <v>1</v>
      </c>
      <c r="AE400" s="4"/>
      <c r="AF400" s="4"/>
      <c r="AG400" s="4"/>
      <c r="AH400" s="4"/>
    </row>
    <row r="401" spans="1:34" x14ac:dyDescent="0.3">
      <c r="A401" s="1">
        <v>45167</v>
      </c>
      <c r="B401" s="7">
        <v>2.9699485000000001E-2</v>
      </c>
      <c r="C401" s="7">
        <v>3.6889539999999998E-2</v>
      </c>
      <c r="D401" s="7">
        <v>6.3523278000000002E-2</v>
      </c>
      <c r="E401" s="7">
        <v>3.6657532999999999E-2</v>
      </c>
      <c r="F401" s="7">
        <v>7.0027985000000001E-2</v>
      </c>
      <c r="G401" s="7">
        <v>5.5184074999999999E-2</v>
      </c>
      <c r="H401" s="7">
        <v>8.6583291000000007E-2</v>
      </c>
      <c r="I401" s="7">
        <v>4.4198379000000003E-2</v>
      </c>
      <c r="J401" s="7">
        <v>8.5860361999999996E-2</v>
      </c>
      <c r="K401" s="7">
        <v>2.9339546000000001E-2</v>
      </c>
      <c r="L401" s="7">
        <v>5.9336811000000003E-2</v>
      </c>
      <c r="M401" s="7">
        <v>4.2725156E-2</v>
      </c>
      <c r="N401" s="7">
        <v>5.7608319999999998E-2</v>
      </c>
      <c r="O401" s="7">
        <v>3.0515176000000001E-2</v>
      </c>
      <c r="P401" s="7">
        <v>0.108697877</v>
      </c>
      <c r="Q401" s="7">
        <v>4.4069966000000002E-2</v>
      </c>
      <c r="R401" s="7">
        <v>1.7807363E-2</v>
      </c>
      <c r="S401" s="7">
        <v>3.4061007999999997E-2</v>
      </c>
      <c r="T401" s="7">
        <v>4.9689018000000001E-2</v>
      </c>
      <c r="U401" s="7">
        <v>3.9840247000000002E-2</v>
      </c>
      <c r="V401" s="7">
        <v>0.17394330429154867</v>
      </c>
      <c r="W401" s="7">
        <v>0.14480575076305502</v>
      </c>
      <c r="X401" s="7">
        <v>0.10743705793904038</v>
      </c>
      <c r="Y401" s="7">
        <v>0.26436623727951547</v>
      </c>
      <c r="Z401" s="7">
        <v>0.13948715257940589</v>
      </c>
      <c r="AA401" s="7">
        <v>0.10162752445420381</v>
      </c>
      <c r="AB401" s="4">
        <v>0</v>
      </c>
      <c r="AC401" s="4">
        <v>0</v>
      </c>
      <c r="AD401" s="4">
        <v>0</v>
      </c>
      <c r="AE401" s="4"/>
      <c r="AF401" s="4"/>
      <c r="AG401" s="4"/>
      <c r="AH401" s="4"/>
    </row>
    <row r="402" spans="1:34" x14ac:dyDescent="0.3">
      <c r="A402" s="1">
        <v>45168</v>
      </c>
      <c r="B402" s="7">
        <v>2.5800627999999999E-2</v>
      </c>
      <c r="C402" s="7">
        <v>3.2381432000000002E-2</v>
      </c>
      <c r="D402" s="7">
        <v>4.7035611999999997E-2</v>
      </c>
      <c r="E402" s="7">
        <v>4.6665007000000001E-2</v>
      </c>
      <c r="F402" s="7">
        <v>2.9699485000000001E-2</v>
      </c>
      <c r="G402" s="7">
        <v>3.6889539999999998E-2</v>
      </c>
      <c r="H402" s="7">
        <v>6.3523278000000002E-2</v>
      </c>
      <c r="I402" s="7">
        <v>3.6657532999999999E-2</v>
      </c>
      <c r="J402" s="7">
        <v>7.0027985000000001E-2</v>
      </c>
      <c r="K402" s="7">
        <v>5.5184074999999999E-2</v>
      </c>
      <c r="L402" s="7">
        <v>8.6583291000000007E-2</v>
      </c>
      <c r="M402" s="7">
        <v>4.4198379000000003E-2</v>
      </c>
      <c r="N402" s="7">
        <v>8.5860361999999996E-2</v>
      </c>
      <c r="O402" s="7">
        <v>2.9339546000000001E-2</v>
      </c>
      <c r="P402" s="7">
        <v>5.9336811000000003E-2</v>
      </c>
      <c r="Q402" s="7">
        <v>4.2725156E-2</v>
      </c>
      <c r="R402" s="7">
        <v>5.7608319999999998E-2</v>
      </c>
      <c r="S402" s="7">
        <v>3.0515176000000001E-2</v>
      </c>
      <c r="T402" s="7">
        <v>0.108697877</v>
      </c>
      <c r="U402" s="7">
        <v>4.4069966000000002E-2</v>
      </c>
      <c r="V402" s="7">
        <v>0.17394330429154867</v>
      </c>
      <c r="W402" s="7">
        <v>0.14260689540101812</v>
      </c>
      <c r="X402" s="7">
        <v>0.10647104855537505</v>
      </c>
      <c r="Y402" s="7">
        <v>0.26436623727951547</v>
      </c>
      <c r="Z402" s="7">
        <v>0.13949410036882834</v>
      </c>
      <c r="AA402" s="7">
        <v>0.10163247683789439</v>
      </c>
      <c r="AB402" s="4">
        <v>0</v>
      </c>
      <c r="AC402" s="4">
        <v>0</v>
      </c>
      <c r="AD402" s="4">
        <v>0</v>
      </c>
      <c r="AE402" s="4"/>
      <c r="AF402" s="4"/>
      <c r="AG402" s="4"/>
      <c r="AH402" s="4"/>
    </row>
    <row r="403" spans="1:34" x14ac:dyDescent="0.3">
      <c r="A403" s="1">
        <v>45169</v>
      </c>
      <c r="B403" s="7">
        <v>8.2651286000000004E-2</v>
      </c>
      <c r="C403" s="7">
        <v>2.8055453000000001E-2</v>
      </c>
      <c r="D403" s="7">
        <v>7.6289929000000006E-2</v>
      </c>
      <c r="E403" s="7">
        <v>3.1944741999999998E-2</v>
      </c>
      <c r="F403" s="7">
        <v>2.5800627999999999E-2</v>
      </c>
      <c r="G403" s="7">
        <v>3.2381432000000002E-2</v>
      </c>
      <c r="H403" s="7">
        <v>4.7035611999999997E-2</v>
      </c>
      <c r="I403" s="7">
        <v>4.6665007000000001E-2</v>
      </c>
      <c r="J403" s="7">
        <v>2.9699485000000001E-2</v>
      </c>
      <c r="K403" s="7">
        <v>3.6889539999999998E-2</v>
      </c>
      <c r="L403" s="7">
        <v>6.3523278000000002E-2</v>
      </c>
      <c r="M403" s="7">
        <v>3.6657532999999999E-2</v>
      </c>
      <c r="N403" s="7">
        <v>7.0027985000000001E-2</v>
      </c>
      <c r="O403" s="7">
        <v>5.5184074999999999E-2</v>
      </c>
      <c r="P403" s="7">
        <v>8.6583291000000007E-2</v>
      </c>
      <c r="Q403" s="7">
        <v>4.4198379000000003E-2</v>
      </c>
      <c r="R403" s="7">
        <v>8.5860361999999996E-2</v>
      </c>
      <c r="S403" s="7">
        <v>2.9339546000000001E-2</v>
      </c>
      <c r="T403" s="7">
        <v>5.9336811000000003E-2</v>
      </c>
      <c r="U403" s="7">
        <v>4.2725156E-2</v>
      </c>
      <c r="V403" s="7">
        <v>0.17394330429154867</v>
      </c>
      <c r="W403" s="7">
        <v>0.14317661703688431</v>
      </c>
      <c r="X403" s="7">
        <v>0.10634446779229792</v>
      </c>
      <c r="Y403" s="7">
        <v>0.23224332923028881</v>
      </c>
      <c r="Z403" s="7">
        <v>0.1394949593332758</v>
      </c>
      <c r="AA403" s="7">
        <v>0.10117707874100648</v>
      </c>
      <c r="AB403" s="4">
        <v>0</v>
      </c>
      <c r="AC403" s="4">
        <v>0</v>
      </c>
      <c r="AD403" s="4">
        <v>0</v>
      </c>
      <c r="AE403" s="4"/>
      <c r="AF403" s="4"/>
      <c r="AG403" s="4"/>
      <c r="AH403" s="4"/>
    </row>
    <row r="404" spans="1:34" x14ac:dyDescent="0.3">
      <c r="A404" s="1">
        <v>45170</v>
      </c>
      <c r="B404" s="7">
        <v>7.5106245000000002E-2</v>
      </c>
      <c r="C404" s="7">
        <v>2.4558499000000001E-2</v>
      </c>
      <c r="D404" s="7">
        <v>7.5231698999999999E-2</v>
      </c>
      <c r="E404" s="7">
        <v>3.4266814E-2</v>
      </c>
      <c r="F404" s="7">
        <v>8.2651286000000004E-2</v>
      </c>
      <c r="G404" s="7">
        <v>2.8055453000000001E-2</v>
      </c>
      <c r="H404" s="7">
        <v>7.6289929000000006E-2</v>
      </c>
      <c r="I404" s="7">
        <v>3.1944741999999998E-2</v>
      </c>
      <c r="J404" s="7">
        <v>2.5800627999999999E-2</v>
      </c>
      <c r="K404" s="7">
        <v>3.2381432000000002E-2</v>
      </c>
      <c r="L404" s="7">
        <v>4.7035611999999997E-2</v>
      </c>
      <c r="M404" s="7">
        <v>4.6665007000000001E-2</v>
      </c>
      <c r="N404" s="7">
        <v>2.9699485000000001E-2</v>
      </c>
      <c r="O404" s="7">
        <v>3.6889539999999998E-2</v>
      </c>
      <c r="P404" s="7">
        <v>6.3523278000000002E-2</v>
      </c>
      <c r="Q404" s="7">
        <v>3.6657532999999999E-2</v>
      </c>
      <c r="R404" s="7">
        <v>7.0027985000000001E-2</v>
      </c>
      <c r="S404" s="7">
        <v>5.5184074999999999E-2</v>
      </c>
      <c r="T404" s="7">
        <v>8.6583291000000007E-2</v>
      </c>
      <c r="U404" s="7">
        <v>4.4198379000000003E-2</v>
      </c>
      <c r="V404" s="7">
        <v>0.17394330429154867</v>
      </c>
      <c r="W404" s="7">
        <v>0.14300893853914004</v>
      </c>
      <c r="X404" s="7">
        <v>0.10598228980349512</v>
      </c>
      <c r="Y404" s="7">
        <v>0.24455586555600894</v>
      </c>
      <c r="Z404" s="7">
        <v>0.13940283168106105</v>
      </c>
      <c r="AA404" s="7">
        <v>0.10130949766719839</v>
      </c>
      <c r="AB404" s="4">
        <v>0</v>
      </c>
      <c r="AC404" s="4">
        <v>0</v>
      </c>
      <c r="AD404" s="4">
        <v>0</v>
      </c>
      <c r="AE404" s="4"/>
      <c r="AF404" s="4"/>
      <c r="AG404" s="4"/>
      <c r="AH404" s="4"/>
    </row>
    <row r="405" spans="1:34" x14ac:dyDescent="0.3">
      <c r="A405" s="1">
        <v>45173</v>
      </c>
      <c r="B405" s="7">
        <v>3.3163047000000001E-2</v>
      </c>
      <c r="C405" s="7">
        <v>3.5501299E-2</v>
      </c>
      <c r="D405" s="7">
        <v>9.0850504999999998E-2</v>
      </c>
      <c r="E405" s="7">
        <v>4.0933202000000002E-2</v>
      </c>
      <c r="F405" s="7">
        <v>7.5106245000000002E-2</v>
      </c>
      <c r="G405" s="7">
        <v>2.4558499000000001E-2</v>
      </c>
      <c r="H405" s="7">
        <v>7.5231698999999999E-2</v>
      </c>
      <c r="I405" s="7">
        <v>3.4266814E-2</v>
      </c>
      <c r="J405" s="7">
        <v>8.2651286000000004E-2</v>
      </c>
      <c r="K405" s="7">
        <v>2.8055453000000001E-2</v>
      </c>
      <c r="L405" s="7">
        <v>7.6289929000000006E-2</v>
      </c>
      <c r="M405" s="7">
        <v>3.1944741999999998E-2</v>
      </c>
      <c r="N405" s="7">
        <v>2.5800627999999999E-2</v>
      </c>
      <c r="O405" s="7">
        <v>3.2381432000000002E-2</v>
      </c>
      <c r="P405" s="7">
        <v>4.7035611999999997E-2</v>
      </c>
      <c r="Q405" s="7">
        <v>4.6665007000000001E-2</v>
      </c>
      <c r="R405" s="7">
        <v>2.9699485000000001E-2</v>
      </c>
      <c r="S405" s="7">
        <v>3.6889539999999998E-2</v>
      </c>
      <c r="T405" s="7">
        <v>6.3523278000000002E-2</v>
      </c>
      <c r="U405" s="7">
        <v>3.6657532999999999E-2</v>
      </c>
      <c r="V405" s="7">
        <v>0.17394330429154867</v>
      </c>
      <c r="W405" s="7">
        <v>0.14155041065761398</v>
      </c>
      <c r="X405" s="7">
        <v>0.10523424022990215</v>
      </c>
      <c r="Y405" s="7">
        <v>0.26436623727951547</v>
      </c>
      <c r="Z405" s="7">
        <v>0.13949985709010504</v>
      </c>
      <c r="AA405" s="7">
        <v>0.10178995894109508</v>
      </c>
      <c r="AB405" s="4">
        <v>0</v>
      </c>
      <c r="AC405" s="4">
        <v>1</v>
      </c>
      <c r="AD405" s="4">
        <v>1</v>
      </c>
      <c r="AE405" s="4"/>
      <c r="AF405" s="4"/>
      <c r="AG405" s="4"/>
      <c r="AH405" s="4"/>
    </row>
    <row r="406" spans="1:34" x14ac:dyDescent="0.3">
      <c r="A406" s="1">
        <v>45174</v>
      </c>
      <c r="B406" s="7">
        <v>3.7878071999999999E-2</v>
      </c>
      <c r="C406" s="7">
        <v>3.6563232000000001E-2</v>
      </c>
      <c r="D406" s="7">
        <v>6.5772601E-2</v>
      </c>
      <c r="E406" s="7">
        <v>4.4898452999999998E-2</v>
      </c>
      <c r="F406" s="7">
        <v>3.3163047000000001E-2</v>
      </c>
      <c r="G406" s="7">
        <v>3.5501299E-2</v>
      </c>
      <c r="H406" s="7">
        <v>9.0850504999999998E-2</v>
      </c>
      <c r="I406" s="7">
        <v>4.0933202000000002E-2</v>
      </c>
      <c r="J406" s="7">
        <v>7.5106245000000002E-2</v>
      </c>
      <c r="K406" s="7">
        <v>2.4558499000000001E-2</v>
      </c>
      <c r="L406" s="7">
        <v>7.5231698999999999E-2</v>
      </c>
      <c r="M406" s="7">
        <v>3.4266814E-2</v>
      </c>
      <c r="N406" s="7">
        <v>8.2651286000000004E-2</v>
      </c>
      <c r="O406" s="7">
        <v>2.8055453000000001E-2</v>
      </c>
      <c r="P406" s="7">
        <v>7.6289929000000006E-2</v>
      </c>
      <c r="Q406" s="7">
        <v>3.1944741999999998E-2</v>
      </c>
      <c r="R406" s="7">
        <v>2.5800627999999999E-2</v>
      </c>
      <c r="S406" s="7">
        <v>3.2381432000000002E-2</v>
      </c>
      <c r="T406" s="7">
        <v>4.7035611999999997E-2</v>
      </c>
      <c r="U406" s="7">
        <v>4.6665007000000001E-2</v>
      </c>
      <c r="V406" s="7">
        <v>0.17394330429154867</v>
      </c>
      <c r="W406" s="7">
        <v>0.13879446844124263</v>
      </c>
      <c r="X406" s="7">
        <v>0.10343385343543898</v>
      </c>
      <c r="Y406" s="7">
        <v>0.26436623727951547</v>
      </c>
      <c r="Z406" s="7">
        <v>0.13659895896261309</v>
      </c>
      <c r="AA406" s="7">
        <v>9.9129840671839706E-2</v>
      </c>
      <c r="AB406" s="4">
        <v>0</v>
      </c>
      <c r="AC406" s="4">
        <v>0</v>
      </c>
      <c r="AD406" s="4">
        <v>0</v>
      </c>
      <c r="AE406" s="4"/>
      <c r="AF406" s="4"/>
      <c r="AG406" s="4"/>
      <c r="AH406" s="4"/>
    </row>
    <row r="407" spans="1:34" x14ac:dyDescent="0.3">
      <c r="A407" s="1">
        <v>45175</v>
      </c>
      <c r="B407" s="7">
        <v>3.8574041000000003E-2</v>
      </c>
      <c r="C407" s="7">
        <v>3.3421886999999997E-2</v>
      </c>
      <c r="D407" s="7">
        <v>4.4386041000000001E-2</v>
      </c>
      <c r="E407" s="7">
        <v>4.4499024999999998E-2</v>
      </c>
      <c r="F407" s="7">
        <v>3.7878071999999999E-2</v>
      </c>
      <c r="G407" s="7">
        <v>3.6563232000000001E-2</v>
      </c>
      <c r="H407" s="7">
        <v>6.5772601E-2</v>
      </c>
      <c r="I407" s="7">
        <v>4.4898452999999998E-2</v>
      </c>
      <c r="J407" s="7">
        <v>3.3163047000000001E-2</v>
      </c>
      <c r="K407" s="7">
        <v>3.5501299E-2</v>
      </c>
      <c r="L407" s="7">
        <v>9.0850504999999998E-2</v>
      </c>
      <c r="M407" s="7">
        <v>4.0933202000000002E-2</v>
      </c>
      <c r="N407" s="7">
        <v>7.5106245000000002E-2</v>
      </c>
      <c r="O407" s="7">
        <v>2.4558499000000001E-2</v>
      </c>
      <c r="P407" s="7">
        <v>7.5231698999999999E-2</v>
      </c>
      <c r="Q407" s="7">
        <v>3.4266814E-2</v>
      </c>
      <c r="R407" s="7">
        <v>8.2651286000000004E-2</v>
      </c>
      <c r="S407" s="7">
        <v>2.8055453000000001E-2</v>
      </c>
      <c r="T407" s="7">
        <v>7.6289929000000006E-2</v>
      </c>
      <c r="U407" s="7">
        <v>3.1944741999999998E-2</v>
      </c>
      <c r="V407" s="7">
        <v>9.2731177250474153E-2</v>
      </c>
      <c r="W407" s="7">
        <v>0.13714445312834719</v>
      </c>
      <c r="X407" s="7">
        <v>0.10174932328850496</v>
      </c>
      <c r="Y407" s="7">
        <v>0.24455586555600894</v>
      </c>
      <c r="Z407" s="7">
        <v>0.13675386293511685</v>
      </c>
      <c r="AA407" s="7">
        <v>9.8980996916135239E-2</v>
      </c>
      <c r="AB407" s="4">
        <v>0</v>
      </c>
      <c r="AC407" s="4">
        <v>0</v>
      </c>
      <c r="AD407" s="4">
        <v>0</v>
      </c>
      <c r="AE407" s="4"/>
      <c r="AF407" s="4"/>
      <c r="AG407" s="4"/>
      <c r="AH407" s="4"/>
    </row>
    <row r="408" spans="1:34" x14ac:dyDescent="0.3">
      <c r="A408" s="1">
        <v>45176</v>
      </c>
      <c r="B408" s="7">
        <v>9.4735527999999999E-2</v>
      </c>
      <c r="C408" s="7">
        <v>2.6840192999999998E-2</v>
      </c>
      <c r="D408" s="7">
        <v>9.5082208000000001E-2</v>
      </c>
      <c r="E408" s="7">
        <v>2.7472816000000001E-2</v>
      </c>
      <c r="F408" s="7">
        <v>3.8574041000000003E-2</v>
      </c>
      <c r="G408" s="7">
        <v>3.3421886999999997E-2</v>
      </c>
      <c r="H408" s="7">
        <v>4.4386041000000001E-2</v>
      </c>
      <c r="I408" s="7">
        <v>4.4499024999999998E-2</v>
      </c>
      <c r="J408" s="7">
        <v>3.7878071999999999E-2</v>
      </c>
      <c r="K408" s="7">
        <v>3.6563232000000001E-2</v>
      </c>
      <c r="L408" s="7">
        <v>6.5772601E-2</v>
      </c>
      <c r="M408" s="7">
        <v>4.4898452999999998E-2</v>
      </c>
      <c r="N408" s="7">
        <v>3.3163047000000001E-2</v>
      </c>
      <c r="O408" s="7">
        <v>3.5501299E-2</v>
      </c>
      <c r="P408" s="7">
        <v>9.0850504999999998E-2</v>
      </c>
      <c r="Q408" s="7">
        <v>4.0933202000000002E-2</v>
      </c>
      <c r="R408" s="7">
        <v>7.5106245000000002E-2</v>
      </c>
      <c r="S408" s="7">
        <v>2.4558499000000001E-2</v>
      </c>
      <c r="T408" s="7">
        <v>7.5231698999999999E-2</v>
      </c>
      <c r="U408" s="7">
        <v>3.4266814E-2</v>
      </c>
      <c r="V408" s="7">
        <v>3.1262333512896152E-2</v>
      </c>
      <c r="W408" s="7">
        <v>0.13806587524076153</v>
      </c>
      <c r="X408" s="7">
        <v>0.10163228835926523</v>
      </c>
      <c r="Y408" s="7">
        <v>0.24455586555600894</v>
      </c>
      <c r="Z408" s="7">
        <v>0.13536230188282089</v>
      </c>
      <c r="AA408" s="7">
        <v>9.7551866691508837E-2</v>
      </c>
      <c r="AB408" s="4">
        <v>0</v>
      </c>
      <c r="AC408" s="4">
        <v>0</v>
      </c>
      <c r="AD408" s="4">
        <v>0</v>
      </c>
      <c r="AE408" s="4"/>
      <c r="AF408" s="4"/>
      <c r="AG408" s="4"/>
      <c r="AH408" s="4"/>
    </row>
    <row r="409" spans="1:34" x14ac:dyDescent="0.3">
      <c r="A409" s="1">
        <v>45177</v>
      </c>
      <c r="B409" s="7">
        <v>7.6565458000000003E-2</v>
      </c>
      <c r="C409" s="7">
        <v>3.1163208000000001E-2</v>
      </c>
      <c r="D409" s="7">
        <v>0.108295856</v>
      </c>
      <c r="E409" s="7">
        <v>4.5202020000000002E-2</v>
      </c>
      <c r="F409" s="7">
        <v>9.4735527999999999E-2</v>
      </c>
      <c r="G409" s="7">
        <v>2.6840192999999998E-2</v>
      </c>
      <c r="H409" s="7">
        <v>9.5082208000000001E-2</v>
      </c>
      <c r="I409" s="7">
        <v>2.7472816000000001E-2</v>
      </c>
      <c r="J409" s="7">
        <v>3.8574041000000003E-2</v>
      </c>
      <c r="K409" s="7">
        <v>3.3421886999999997E-2</v>
      </c>
      <c r="L409" s="7">
        <v>4.4386041000000001E-2</v>
      </c>
      <c r="M409" s="7">
        <v>4.4499024999999998E-2</v>
      </c>
      <c r="N409" s="7">
        <v>3.7878071999999999E-2</v>
      </c>
      <c r="O409" s="7">
        <v>3.6563232000000001E-2</v>
      </c>
      <c r="P409" s="7">
        <v>6.5772601E-2</v>
      </c>
      <c r="Q409" s="7">
        <v>4.4898452999999998E-2</v>
      </c>
      <c r="R409" s="7">
        <v>3.3163047000000001E-2</v>
      </c>
      <c r="S409" s="7">
        <v>3.5501299E-2</v>
      </c>
      <c r="T409" s="7">
        <v>9.0850504999999998E-2</v>
      </c>
      <c r="U409" s="7">
        <v>4.0933202000000002E-2</v>
      </c>
      <c r="V409" s="7">
        <v>1.1062017212598427E-2</v>
      </c>
      <c r="W409" s="7">
        <v>0.13249908386464609</v>
      </c>
      <c r="X409" s="7">
        <v>9.8850438505255087E-2</v>
      </c>
      <c r="Y409" s="7">
        <v>0.2164743050820524</v>
      </c>
      <c r="Z409" s="7">
        <v>0.13546282816265068</v>
      </c>
      <c r="AA409" s="7">
        <v>9.7347544151150586E-2</v>
      </c>
      <c r="AB409" s="4">
        <v>1</v>
      </c>
      <c r="AC409" s="4">
        <v>0</v>
      </c>
      <c r="AD409" s="4">
        <v>1</v>
      </c>
      <c r="AE409" s="4"/>
      <c r="AF409" s="4"/>
      <c r="AG409" s="4"/>
      <c r="AH409" s="4"/>
    </row>
    <row r="410" spans="1:34" x14ac:dyDescent="0.3">
      <c r="A410" s="1">
        <v>45180</v>
      </c>
      <c r="B410" s="7">
        <v>9.6432380999999998E-2</v>
      </c>
      <c r="C410" s="7">
        <v>3.9213418E-2</v>
      </c>
      <c r="D410" s="7">
        <v>6.9435378000000006E-2</v>
      </c>
      <c r="E410" s="7">
        <v>6.8524146999999994E-2</v>
      </c>
      <c r="F410" s="7">
        <v>7.6565458000000003E-2</v>
      </c>
      <c r="G410" s="7">
        <v>3.1163208000000001E-2</v>
      </c>
      <c r="H410" s="7">
        <v>0.108295856</v>
      </c>
      <c r="I410" s="7">
        <v>4.5202020000000002E-2</v>
      </c>
      <c r="J410" s="7">
        <v>9.4735527999999999E-2</v>
      </c>
      <c r="K410" s="7">
        <v>2.6840192999999998E-2</v>
      </c>
      <c r="L410" s="7">
        <v>9.5082208000000001E-2</v>
      </c>
      <c r="M410" s="7">
        <v>2.7472816000000001E-2</v>
      </c>
      <c r="N410" s="7">
        <v>3.8574041000000003E-2</v>
      </c>
      <c r="O410" s="7">
        <v>3.3421886999999997E-2</v>
      </c>
      <c r="P410" s="7">
        <v>4.4386041000000001E-2</v>
      </c>
      <c r="Q410" s="7">
        <v>4.4499024999999998E-2</v>
      </c>
      <c r="R410" s="7">
        <v>3.7878071999999999E-2</v>
      </c>
      <c r="S410" s="7">
        <v>3.6563232000000001E-2</v>
      </c>
      <c r="T410" s="7">
        <v>6.5772601E-2</v>
      </c>
      <c r="U410" s="7">
        <v>4.4898452999999998E-2</v>
      </c>
      <c r="V410" s="7">
        <v>-4.0998464875190092E-2</v>
      </c>
      <c r="W410" s="7">
        <v>0.13285384159812641</v>
      </c>
      <c r="X410" s="7">
        <v>9.8406444019004294E-2</v>
      </c>
      <c r="Y410" s="7">
        <v>0.2164743050820524</v>
      </c>
      <c r="Z410" s="7">
        <v>0.1343212917223309</v>
      </c>
      <c r="AA410" s="7">
        <v>9.6261679729932062E-2</v>
      </c>
      <c r="AB410" s="4">
        <v>1</v>
      </c>
      <c r="AC410" s="4">
        <v>0</v>
      </c>
      <c r="AD410" s="4">
        <v>1</v>
      </c>
      <c r="AE410" s="4"/>
      <c r="AF410" s="4"/>
      <c r="AG410" s="4"/>
      <c r="AH410" s="4"/>
    </row>
    <row r="411" spans="1:34" x14ac:dyDescent="0.3">
      <c r="A411" s="1">
        <v>45181</v>
      </c>
      <c r="B411" s="7">
        <v>4.1517302999999998E-2</v>
      </c>
      <c r="C411" s="7">
        <v>4.7790662999999997E-2</v>
      </c>
      <c r="D411" s="7">
        <v>0.101797132</v>
      </c>
      <c r="E411" s="7">
        <v>6.9450356000000005E-2</v>
      </c>
      <c r="F411" s="7">
        <v>9.6432380999999998E-2</v>
      </c>
      <c r="G411" s="7">
        <v>3.9213418E-2</v>
      </c>
      <c r="H411" s="7">
        <v>6.9435378000000006E-2</v>
      </c>
      <c r="I411" s="7">
        <v>6.8524146999999994E-2</v>
      </c>
      <c r="J411" s="7">
        <v>7.6565458000000003E-2</v>
      </c>
      <c r="K411" s="7">
        <v>3.1163208000000001E-2</v>
      </c>
      <c r="L411" s="7">
        <v>0.108295856</v>
      </c>
      <c r="M411" s="7">
        <v>4.5202020000000002E-2</v>
      </c>
      <c r="N411" s="7">
        <v>9.4735527999999999E-2</v>
      </c>
      <c r="O411" s="7">
        <v>2.6840192999999998E-2</v>
      </c>
      <c r="P411" s="7">
        <v>9.5082208000000001E-2</v>
      </c>
      <c r="Q411" s="7">
        <v>2.7472816000000001E-2</v>
      </c>
      <c r="R411" s="7">
        <v>3.8574041000000003E-2</v>
      </c>
      <c r="S411" s="7">
        <v>3.3421886999999997E-2</v>
      </c>
      <c r="T411" s="7">
        <v>4.4386041000000001E-2</v>
      </c>
      <c r="U411" s="7">
        <v>4.4499024999999998E-2</v>
      </c>
      <c r="V411" s="7">
        <v>-4.0998464875190092E-2</v>
      </c>
      <c r="W411" s="7">
        <v>0.13388108576881816</v>
      </c>
      <c r="X411" s="7">
        <v>9.8880843901761342E-2</v>
      </c>
      <c r="Y411" s="7">
        <v>0.2164743050820524</v>
      </c>
      <c r="Z411" s="7">
        <v>0.13261200804968687</v>
      </c>
      <c r="AA411" s="7">
        <v>9.5705972846830967E-2</v>
      </c>
      <c r="AB411" s="4">
        <v>0</v>
      </c>
      <c r="AC411" s="4">
        <v>0</v>
      </c>
      <c r="AD411" s="4">
        <v>0</v>
      </c>
      <c r="AE411" s="4"/>
      <c r="AF411" s="4"/>
      <c r="AG411" s="4"/>
      <c r="AH411" s="4"/>
    </row>
    <row r="412" spans="1:34" x14ac:dyDescent="0.3">
      <c r="A412" s="1">
        <v>45182</v>
      </c>
      <c r="B412" s="7">
        <v>5.2970380999999997E-2</v>
      </c>
      <c r="C412" s="7">
        <v>6.0485193999999999E-2</v>
      </c>
      <c r="D412" s="7">
        <v>6.4250089999999996E-2</v>
      </c>
      <c r="E412" s="7">
        <v>6.5226033000000003E-2</v>
      </c>
      <c r="F412" s="7">
        <v>4.1517302999999998E-2</v>
      </c>
      <c r="G412" s="7">
        <v>4.7790662999999997E-2</v>
      </c>
      <c r="H412" s="7">
        <v>0.101797132</v>
      </c>
      <c r="I412" s="7">
        <v>6.9450356000000005E-2</v>
      </c>
      <c r="J412" s="7">
        <v>9.6432380999999998E-2</v>
      </c>
      <c r="K412" s="7">
        <v>3.9213418E-2</v>
      </c>
      <c r="L412" s="7">
        <v>6.9435378000000006E-2</v>
      </c>
      <c r="M412" s="7">
        <v>6.8524146999999994E-2</v>
      </c>
      <c r="N412" s="7">
        <v>7.6565458000000003E-2</v>
      </c>
      <c r="O412" s="7">
        <v>3.1163208000000001E-2</v>
      </c>
      <c r="P412" s="7">
        <v>0.108295856</v>
      </c>
      <c r="Q412" s="7">
        <v>4.5202020000000002E-2</v>
      </c>
      <c r="R412" s="7">
        <v>9.4735527999999999E-2</v>
      </c>
      <c r="S412" s="7">
        <v>2.6840192999999998E-2</v>
      </c>
      <c r="T412" s="7">
        <v>9.5082208000000001E-2</v>
      </c>
      <c r="U412" s="7">
        <v>2.7472816000000001E-2</v>
      </c>
      <c r="V412" s="7">
        <v>1.1062017212598427E-2</v>
      </c>
      <c r="W412" s="7">
        <v>0.13381816487179171</v>
      </c>
      <c r="X412" s="7">
        <v>9.9282109524997622E-2</v>
      </c>
      <c r="Y412" s="7">
        <v>0.2164743050820524</v>
      </c>
      <c r="Z412" s="7">
        <v>0.13257381605348462</v>
      </c>
      <c r="AA412" s="7">
        <v>9.5800439780001329E-2</v>
      </c>
      <c r="AB412" s="4">
        <v>0</v>
      </c>
      <c r="AC412" s="4">
        <v>0</v>
      </c>
      <c r="AD412" s="4">
        <v>0</v>
      </c>
      <c r="AE412" s="4"/>
      <c r="AF412" s="4"/>
      <c r="AG412" s="4"/>
      <c r="AH412" s="4"/>
    </row>
    <row r="413" spans="1:34" x14ac:dyDescent="0.3">
      <c r="A413" s="1">
        <v>45183</v>
      </c>
      <c r="B413" s="7">
        <v>0.104156416</v>
      </c>
      <c r="C413" s="7">
        <v>8.5191445000000005E-2</v>
      </c>
      <c r="D413" s="7">
        <v>0.193491527</v>
      </c>
      <c r="E413" s="7">
        <v>0.12654363099999999</v>
      </c>
      <c r="F413" s="7">
        <v>5.2970380999999997E-2</v>
      </c>
      <c r="G413" s="7">
        <v>6.0485193999999999E-2</v>
      </c>
      <c r="H413" s="7">
        <v>6.4250089999999996E-2</v>
      </c>
      <c r="I413" s="7">
        <v>6.5226033000000003E-2</v>
      </c>
      <c r="J413" s="7">
        <v>4.1517302999999998E-2</v>
      </c>
      <c r="K413" s="7">
        <v>4.7790662999999997E-2</v>
      </c>
      <c r="L413" s="7">
        <v>0.101797132</v>
      </c>
      <c r="M413" s="7">
        <v>6.9450356000000005E-2</v>
      </c>
      <c r="N413" s="7">
        <v>9.6432380999999998E-2</v>
      </c>
      <c r="O413" s="7">
        <v>3.9213418E-2</v>
      </c>
      <c r="P413" s="7">
        <v>6.9435378000000006E-2</v>
      </c>
      <c r="Q413" s="7">
        <v>6.8524146999999994E-2</v>
      </c>
      <c r="R413" s="7">
        <v>7.6565458000000003E-2</v>
      </c>
      <c r="S413" s="7">
        <v>3.1163208000000001E-2</v>
      </c>
      <c r="T413" s="7">
        <v>0.108295856</v>
      </c>
      <c r="U413" s="7">
        <v>4.5202020000000002E-2</v>
      </c>
      <c r="V413" s="7">
        <v>3.1262333512896152E-2</v>
      </c>
      <c r="W413" s="7">
        <v>0.13829697087141682</v>
      </c>
      <c r="X413" s="7">
        <v>0.10160164265457912</v>
      </c>
      <c r="Y413" s="7">
        <v>0.2164743050820524</v>
      </c>
      <c r="Z413" s="7">
        <v>0.1341547837932347</v>
      </c>
      <c r="AA413" s="7">
        <v>9.6424880365409832E-2</v>
      </c>
      <c r="AB413" s="4">
        <v>0</v>
      </c>
      <c r="AC413" s="4">
        <v>1</v>
      </c>
      <c r="AD413" s="4">
        <v>1</v>
      </c>
      <c r="AE413" s="4"/>
      <c r="AF413" s="4"/>
      <c r="AG413" s="4"/>
      <c r="AH413" s="4"/>
    </row>
    <row r="414" spans="1:34" x14ac:dyDescent="0.3">
      <c r="A414" s="1">
        <v>45184</v>
      </c>
      <c r="B414" s="7">
        <v>0.102315563</v>
      </c>
      <c r="C414" s="7">
        <v>6.4902641999999997E-2</v>
      </c>
      <c r="D414" s="7">
        <v>0.173967029</v>
      </c>
      <c r="E414" s="7">
        <v>7.4488901999999996E-2</v>
      </c>
      <c r="F414" s="7">
        <v>0.104156416</v>
      </c>
      <c r="G414" s="7">
        <v>8.5191445000000005E-2</v>
      </c>
      <c r="H414" s="7">
        <v>0.193491527</v>
      </c>
      <c r="I414" s="7">
        <v>0.12654363099999999</v>
      </c>
      <c r="J414" s="7">
        <v>5.2970380999999997E-2</v>
      </c>
      <c r="K414" s="7">
        <v>6.0485193999999999E-2</v>
      </c>
      <c r="L414" s="7">
        <v>6.4250089999999996E-2</v>
      </c>
      <c r="M414" s="7">
        <v>6.5226033000000003E-2</v>
      </c>
      <c r="N414" s="7">
        <v>4.1517302999999998E-2</v>
      </c>
      <c r="O414" s="7">
        <v>4.7790662999999997E-2</v>
      </c>
      <c r="P414" s="7">
        <v>0.101797132</v>
      </c>
      <c r="Q414" s="7">
        <v>6.9450356000000005E-2</v>
      </c>
      <c r="R414" s="7">
        <v>9.6432380999999998E-2</v>
      </c>
      <c r="S414" s="7">
        <v>3.9213418E-2</v>
      </c>
      <c r="T414" s="7">
        <v>6.9435378000000006E-2</v>
      </c>
      <c r="U414" s="7">
        <v>6.8524146999999994E-2</v>
      </c>
      <c r="V414" s="7">
        <v>9.2731177250474153E-2</v>
      </c>
      <c r="W414" s="7">
        <v>0.13884979215795623</v>
      </c>
      <c r="X414" s="7">
        <v>0.1028577013151192</v>
      </c>
      <c r="Y414" s="7">
        <v>0.2164743050820524</v>
      </c>
      <c r="Z414" s="7">
        <v>0.13192798028306849</v>
      </c>
      <c r="AA414" s="7">
        <v>9.5669369540733309E-2</v>
      </c>
      <c r="AB414" s="4">
        <v>0</v>
      </c>
      <c r="AC414" s="4">
        <v>1</v>
      </c>
      <c r="AD414" s="4">
        <v>1</v>
      </c>
      <c r="AE414" s="4"/>
      <c r="AF414" s="4"/>
      <c r="AG414" s="4"/>
      <c r="AH414" s="4"/>
    </row>
    <row r="415" spans="1:34" x14ac:dyDescent="0.3">
      <c r="A415" s="1">
        <v>45187</v>
      </c>
      <c r="B415" s="7">
        <v>0.21917138799999999</v>
      </c>
      <c r="C415" s="7">
        <v>0.13373964299999999</v>
      </c>
      <c r="D415" s="7">
        <v>0.124523623</v>
      </c>
      <c r="E415" s="7">
        <v>0.12924987199999999</v>
      </c>
      <c r="F415" s="7">
        <v>0.102315563</v>
      </c>
      <c r="G415" s="7">
        <v>6.4902641999999997E-2</v>
      </c>
      <c r="H415" s="7">
        <v>0.173967029</v>
      </c>
      <c r="I415" s="7">
        <v>7.4488901999999996E-2</v>
      </c>
      <c r="J415" s="7">
        <v>0.104156416</v>
      </c>
      <c r="K415" s="7">
        <v>8.5191445000000005E-2</v>
      </c>
      <c r="L415" s="7">
        <v>0.193491527</v>
      </c>
      <c r="M415" s="7">
        <v>0.12654363099999999</v>
      </c>
      <c r="N415" s="7">
        <v>5.2970380999999997E-2</v>
      </c>
      <c r="O415" s="7">
        <v>6.0485193999999999E-2</v>
      </c>
      <c r="P415" s="7">
        <v>6.4250089999999996E-2</v>
      </c>
      <c r="Q415" s="7">
        <v>6.5226033000000003E-2</v>
      </c>
      <c r="R415" s="7">
        <v>4.1517302999999998E-2</v>
      </c>
      <c r="S415" s="7">
        <v>4.7790662999999997E-2</v>
      </c>
      <c r="T415" s="7">
        <v>0.101797132</v>
      </c>
      <c r="U415" s="7">
        <v>6.9450356000000005E-2</v>
      </c>
      <c r="V415" s="7">
        <v>3.1262333512896152E-2</v>
      </c>
      <c r="W415" s="7">
        <v>0.14002768334315177</v>
      </c>
      <c r="X415" s="7">
        <v>0.10303028408996351</v>
      </c>
      <c r="Y415" s="7">
        <v>0.19896146475163615</v>
      </c>
      <c r="Z415" s="7">
        <v>0.13228085884143562</v>
      </c>
      <c r="AA415" s="7">
        <v>9.5549218606312492E-2</v>
      </c>
      <c r="AB415" s="4">
        <v>0</v>
      </c>
      <c r="AC415" s="4">
        <v>0</v>
      </c>
      <c r="AD415" s="4">
        <v>0</v>
      </c>
      <c r="AE415" s="4"/>
      <c r="AF415" s="4"/>
      <c r="AG415" s="4"/>
      <c r="AH415" s="4"/>
    </row>
    <row r="416" spans="1:34" x14ac:dyDescent="0.3">
      <c r="A416" s="1">
        <v>45188</v>
      </c>
      <c r="B416" s="7">
        <v>0.230321638</v>
      </c>
      <c r="C416" s="7">
        <v>0.20812475</v>
      </c>
      <c r="D416" s="7">
        <v>0.13344004800000001</v>
      </c>
      <c r="E416" s="7">
        <v>0.17619595399999999</v>
      </c>
      <c r="F416" s="7">
        <v>0.21917138799999999</v>
      </c>
      <c r="G416" s="7">
        <v>0.13373964299999999</v>
      </c>
      <c r="H416" s="7">
        <v>0.124523623</v>
      </c>
      <c r="I416" s="7">
        <v>0.12924987199999999</v>
      </c>
      <c r="J416" s="7">
        <v>0.102315563</v>
      </c>
      <c r="K416" s="7">
        <v>6.4902641999999997E-2</v>
      </c>
      <c r="L416" s="7">
        <v>0.173967029</v>
      </c>
      <c r="M416" s="7">
        <v>7.4488901999999996E-2</v>
      </c>
      <c r="N416" s="7">
        <v>0.104156416</v>
      </c>
      <c r="O416" s="7">
        <v>8.5191445000000005E-2</v>
      </c>
      <c r="P416" s="7">
        <v>0.193491527</v>
      </c>
      <c r="Q416" s="7">
        <v>0.12654363099999999</v>
      </c>
      <c r="R416" s="7">
        <v>5.2970380999999997E-2</v>
      </c>
      <c r="S416" s="7">
        <v>6.0485193999999999E-2</v>
      </c>
      <c r="T416" s="7">
        <v>6.4250089999999996E-2</v>
      </c>
      <c r="U416" s="7">
        <v>6.5226033000000003E-2</v>
      </c>
      <c r="V416" s="7">
        <v>3.1262333512896152E-2</v>
      </c>
      <c r="W416" s="7">
        <v>0.14002433743959658</v>
      </c>
      <c r="X416" s="7">
        <v>0.10302955527014813</v>
      </c>
      <c r="Y416" s="7">
        <v>0.18991335625709146</v>
      </c>
      <c r="Z416" s="7">
        <v>0.13239162668347657</v>
      </c>
      <c r="AA416" s="7">
        <v>9.5245032851478853E-2</v>
      </c>
      <c r="AB416" s="4">
        <v>0</v>
      </c>
      <c r="AC416" s="4">
        <v>1</v>
      </c>
      <c r="AD416" s="4">
        <v>1</v>
      </c>
      <c r="AE416" s="4"/>
      <c r="AF416" s="4"/>
      <c r="AG416" s="4"/>
      <c r="AH416" s="4"/>
    </row>
    <row r="417" spans="1:34" x14ac:dyDescent="0.3">
      <c r="A417" s="1">
        <v>45189</v>
      </c>
      <c r="B417" s="7">
        <v>3.8899214000000001E-2</v>
      </c>
      <c r="C417" s="7">
        <v>4.8267496999999999E-2</v>
      </c>
      <c r="D417" s="7">
        <v>2.3458260000000002E-2</v>
      </c>
      <c r="E417" s="7">
        <v>4.9881368000000002E-2</v>
      </c>
      <c r="F417" s="7">
        <v>0.230321638</v>
      </c>
      <c r="G417" s="7">
        <v>0.20812475</v>
      </c>
      <c r="H417" s="7">
        <v>0.13344004800000001</v>
      </c>
      <c r="I417" s="7">
        <v>0.17619595399999999</v>
      </c>
      <c r="J417" s="7">
        <v>0.21917138799999999</v>
      </c>
      <c r="K417" s="7">
        <v>0.13373964299999999</v>
      </c>
      <c r="L417" s="7">
        <v>0.124523623</v>
      </c>
      <c r="M417" s="7">
        <v>0.12924987199999999</v>
      </c>
      <c r="N417" s="7">
        <v>0.102315563</v>
      </c>
      <c r="O417" s="7">
        <v>6.4902641999999997E-2</v>
      </c>
      <c r="P417" s="7">
        <v>0.173967029</v>
      </c>
      <c r="Q417" s="7">
        <v>7.4488901999999996E-2</v>
      </c>
      <c r="R417" s="7">
        <v>0.104156416</v>
      </c>
      <c r="S417" s="7">
        <v>8.5191445000000005E-2</v>
      </c>
      <c r="T417" s="7">
        <v>0.193491527</v>
      </c>
      <c r="U417" s="7">
        <v>0.12654363099999999</v>
      </c>
      <c r="V417" s="7">
        <v>3.1262333512896152E-2</v>
      </c>
      <c r="W417" s="7">
        <v>0.1386459615614728</v>
      </c>
      <c r="X417" s="7">
        <v>0.10185329115774577</v>
      </c>
      <c r="Y417" s="7">
        <v>0.18991335625709146</v>
      </c>
      <c r="Z417" s="7">
        <v>0.13274402055564463</v>
      </c>
      <c r="AA417" s="7">
        <v>9.5474129900203444E-2</v>
      </c>
      <c r="AB417" s="4">
        <v>0</v>
      </c>
      <c r="AC417" s="4">
        <v>0</v>
      </c>
      <c r="AD417" s="4">
        <v>0</v>
      </c>
      <c r="AE417" s="4"/>
      <c r="AF417" s="4"/>
      <c r="AG417" s="4"/>
      <c r="AH417" s="4"/>
    </row>
    <row r="418" spans="1:34" x14ac:dyDescent="0.3">
      <c r="A418" s="1">
        <v>45190</v>
      </c>
      <c r="B418" s="7">
        <v>9.2169476E-2</v>
      </c>
      <c r="C418" s="7">
        <v>5.2193265000000003E-2</v>
      </c>
      <c r="D418" s="7">
        <v>6.5106354000000005E-2</v>
      </c>
      <c r="E418" s="7">
        <v>3.4973047E-2</v>
      </c>
      <c r="F418" s="7">
        <v>3.8899214000000001E-2</v>
      </c>
      <c r="G418" s="7">
        <v>4.8267496999999999E-2</v>
      </c>
      <c r="H418" s="7">
        <v>2.3458260000000002E-2</v>
      </c>
      <c r="I418" s="7">
        <v>4.9881368000000002E-2</v>
      </c>
      <c r="J418" s="7">
        <v>0.230321638</v>
      </c>
      <c r="K418" s="7">
        <v>0.20812475</v>
      </c>
      <c r="L418" s="7">
        <v>0.13344004800000001</v>
      </c>
      <c r="M418" s="7">
        <v>0.17619595399999999</v>
      </c>
      <c r="N418" s="7">
        <v>0.21917138799999999</v>
      </c>
      <c r="O418" s="7">
        <v>0.13373964299999999</v>
      </c>
      <c r="P418" s="7">
        <v>0.124523623</v>
      </c>
      <c r="Q418" s="7">
        <v>0.12924987199999999</v>
      </c>
      <c r="R418" s="7">
        <v>0.102315563</v>
      </c>
      <c r="S418" s="7">
        <v>6.4902641999999997E-2</v>
      </c>
      <c r="T418" s="7">
        <v>0.173967029</v>
      </c>
      <c r="U418" s="7">
        <v>7.4488901999999996E-2</v>
      </c>
      <c r="V418" s="7">
        <v>1.1062017212598427E-2</v>
      </c>
      <c r="W418" s="7">
        <v>0.14207720043790889</v>
      </c>
      <c r="X418" s="7">
        <v>0.10403991388399766</v>
      </c>
      <c r="Y418" s="7">
        <v>0.18991335625709146</v>
      </c>
      <c r="Z418" s="7">
        <v>0.13404472290799052</v>
      </c>
      <c r="AA418" s="7">
        <v>9.6835110907701527E-2</v>
      </c>
      <c r="AB418" s="4">
        <v>0</v>
      </c>
      <c r="AC418" s="4">
        <v>0</v>
      </c>
      <c r="AD418" s="4">
        <v>0</v>
      </c>
      <c r="AE418" s="4"/>
      <c r="AF418" s="4"/>
      <c r="AG418" s="4"/>
      <c r="AH418" s="4"/>
    </row>
    <row r="419" spans="1:34" x14ac:dyDescent="0.3">
      <c r="A419" s="1">
        <v>45191</v>
      </c>
      <c r="B419" s="7">
        <v>5.6537327999999998E-2</v>
      </c>
      <c r="C419" s="7">
        <v>3.3325441999999997E-2</v>
      </c>
      <c r="D419" s="7">
        <v>9.1298454000000001E-2</v>
      </c>
      <c r="E419" s="7">
        <v>3.2673589000000003E-2</v>
      </c>
      <c r="F419" s="7">
        <v>9.2169476E-2</v>
      </c>
      <c r="G419" s="7">
        <v>5.2193265000000003E-2</v>
      </c>
      <c r="H419" s="7">
        <v>6.5106354000000005E-2</v>
      </c>
      <c r="I419" s="7">
        <v>3.4973047E-2</v>
      </c>
      <c r="J419" s="7">
        <v>3.8899214000000001E-2</v>
      </c>
      <c r="K419" s="7">
        <v>4.8267496999999999E-2</v>
      </c>
      <c r="L419" s="7">
        <v>2.3458260000000002E-2</v>
      </c>
      <c r="M419" s="7">
        <v>4.9881368000000002E-2</v>
      </c>
      <c r="N419" s="7">
        <v>0.230321638</v>
      </c>
      <c r="O419" s="7">
        <v>0.20812475</v>
      </c>
      <c r="P419" s="7">
        <v>0.13344004800000001</v>
      </c>
      <c r="Q419" s="7">
        <v>0.17619595399999999</v>
      </c>
      <c r="R419" s="7">
        <v>0.21917138799999999</v>
      </c>
      <c r="S419" s="7">
        <v>0.13373964299999999</v>
      </c>
      <c r="T419" s="7">
        <v>0.124523623</v>
      </c>
      <c r="U419" s="7">
        <v>0.12924987199999999</v>
      </c>
      <c r="V419" s="7">
        <v>1.1062017212598427E-2</v>
      </c>
      <c r="W419" s="7">
        <v>0.14216628849915938</v>
      </c>
      <c r="X419" s="7">
        <v>0.10426242720435516</v>
      </c>
      <c r="Y419" s="7">
        <v>0.18991335625709146</v>
      </c>
      <c r="Z419" s="7">
        <v>0.13388189123905664</v>
      </c>
      <c r="AA419" s="7">
        <v>9.6614695112611351E-2</v>
      </c>
      <c r="AB419" s="4">
        <v>0</v>
      </c>
      <c r="AC419" s="4">
        <v>0</v>
      </c>
      <c r="AD419" s="4">
        <v>0</v>
      </c>
      <c r="AE419" s="4"/>
      <c r="AF419" s="4"/>
      <c r="AG419" s="4"/>
      <c r="AH419" s="4"/>
    </row>
    <row r="420" spans="1:34" x14ac:dyDescent="0.3">
      <c r="A420" s="1">
        <v>45194</v>
      </c>
      <c r="B420" s="7">
        <v>3.8702093E-2</v>
      </c>
      <c r="C420" s="7">
        <v>2.8727899000000001E-2</v>
      </c>
      <c r="D420" s="7">
        <v>7.9951567000000001E-2</v>
      </c>
      <c r="E420" s="7">
        <v>3.6487692000000002E-2</v>
      </c>
      <c r="F420" s="7">
        <v>5.6537327999999998E-2</v>
      </c>
      <c r="G420" s="7">
        <v>3.3325441999999997E-2</v>
      </c>
      <c r="H420" s="7">
        <v>9.1298454000000001E-2</v>
      </c>
      <c r="I420" s="7">
        <v>3.2673589000000003E-2</v>
      </c>
      <c r="J420" s="7">
        <v>9.2169476E-2</v>
      </c>
      <c r="K420" s="7">
        <v>5.2193265000000003E-2</v>
      </c>
      <c r="L420" s="7">
        <v>6.5106354000000005E-2</v>
      </c>
      <c r="M420" s="7">
        <v>3.4973047E-2</v>
      </c>
      <c r="N420" s="7">
        <v>3.8899214000000001E-2</v>
      </c>
      <c r="O420" s="7">
        <v>4.8267496999999999E-2</v>
      </c>
      <c r="P420" s="7">
        <v>2.3458260000000002E-2</v>
      </c>
      <c r="Q420" s="7">
        <v>4.9881368000000002E-2</v>
      </c>
      <c r="R420" s="7">
        <v>0.230321638</v>
      </c>
      <c r="S420" s="7">
        <v>0.20812475</v>
      </c>
      <c r="T420" s="7">
        <v>0.13344004800000001</v>
      </c>
      <c r="U420" s="7">
        <v>0.17619595399999999</v>
      </c>
      <c r="V420" s="7">
        <v>3.1262333512896152E-2</v>
      </c>
      <c r="W420" s="7">
        <v>0.1425319897571814</v>
      </c>
      <c r="X420" s="7">
        <v>0.10513926355605555</v>
      </c>
      <c r="Y420" s="7">
        <v>0.18991335625709146</v>
      </c>
      <c r="Z420" s="7">
        <v>0.13376456540279685</v>
      </c>
      <c r="AA420" s="7">
        <v>9.651066979410948E-2</v>
      </c>
      <c r="AB420" s="4">
        <v>0</v>
      </c>
      <c r="AC420" s="4">
        <v>0</v>
      </c>
      <c r="AD420" s="4">
        <v>0</v>
      </c>
      <c r="AE420" s="4"/>
      <c r="AF420" s="4"/>
      <c r="AG420" s="4"/>
      <c r="AH420" s="4"/>
    </row>
    <row r="421" spans="1:34" x14ac:dyDescent="0.3">
      <c r="A421" s="1">
        <v>45195</v>
      </c>
      <c r="B421" s="7">
        <v>6.6759697000000007E-2</v>
      </c>
      <c r="C421" s="7">
        <v>5.3356242999999998E-2</v>
      </c>
      <c r="D421" s="7">
        <v>4.1271198000000002E-2</v>
      </c>
      <c r="E421" s="7">
        <v>5.2045038000000002E-2</v>
      </c>
      <c r="F421" s="7">
        <v>3.8702093E-2</v>
      </c>
      <c r="G421" s="7">
        <v>2.8727899000000001E-2</v>
      </c>
      <c r="H421" s="7">
        <v>7.9951567000000001E-2</v>
      </c>
      <c r="I421" s="7">
        <v>3.6487692000000002E-2</v>
      </c>
      <c r="J421" s="7">
        <v>5.6537327999999998E-2</v>
      </c>
      <c r="K421" s="7">
        <v>3.3325441999999997E-2</v>
      </c>
      <c r="L421" s="7">
        <v>9.1298454000000001E-2</v>
      </c>
      <c r="M421" s="7">
        <v>3.2673589000000003E-2</v>
      </c>
      <c r="N421" s="7">
        <v>9.2169476E-2</v>
      </c>
      <c r="O421" s="7">
        <v>5.2193265000000003E-2</v>
      </c>
      <c r="P421" s="7">
        <v>6.5106354000000005E-2</v>
      </c>
      <c r="Q421" s="7">
        <v>3.4973047E-2</v>
      </c>
      <c r="R421" s="7">
        <v>3.8899214000000001E-2</v>
      </c>
      <c r="S421" s="7">
        <v>4.8267496999999999E-2</v>
      </c>
      <c r="T421" s="7">
        <v>2.3458260000000002E-2</v>
      </c>
      <c r="U421" s="7">
        <v>4.9881368000000002E-2</v>
      </c>
      <c r="V421" s="7">
        <v>1.1062017212598427E-2</v>
      </c>
      <c r="W421" s="7">
        <v>0.14393293331008244</v>
      </c>
      <c r="X421" s="7">
        <v>0.10533065381568196</v>
      </c>
      <c r="Y421" s="7">
        <v>0.17354519465658427</v>
      </c>
      <c r="Z421" s="7">
        <v>0.13513939963719526</v>
      </c>
      <c r="AA421" s="7">
        <v>9.7414098816652639E-2</v>
      </c>
      <c r="AB421" s="4">
        <v>0</v>
      </c>
      <c r="AC421" s="4">
        <v>0</v>
      </c>
      <c r="AD421" s="4">
        <v>0</v>
      </c>
      <c r="AE421" s="4"/>
      <c r="AF421" s="4"/>
      <c r="AG421" s="4"/>
      <c r="AH421" s="4"/>
    </row>
    <row r="422" spans="1:34" x14ac:dyDescent="0.3">
      <c r="A422" s="1">
        <v>45196</v>
      </c>
      <c r="B422" s="7">
        <v>2.2167571E-2</v>
      </c>
      <c r="C422" s="7">
        <v>3.9521529E-2</v>
      </c>
      <c r="D422" s="7">
        <v>5.2474389000000003E-2</v>
      </c>
      <c r="E422" s="7">
        <v>4.4827345999999997E-2</v>
      </c>
      <c r="F422" s="7">
        <v>6.6759697000000007E-2</v>
      </c>
      <c r="G422" s="7">
        <v>5.3356242999999998E-2</v>
      </c>
      <c r="H422" s="7">
        <v>4.1271198000000002E-2</v>
      </c>
      <c r="I422" s="7">
        <v>5.2045038000000002E-2</v>
      </c>
      <c r="J422" s="7">
        <v>3.8702093E-2</v>
      </c>
      <c r="K422" s="7">
        <v>2.8727899000000001E-2</v>
      </c>
      <c r="L422" s="7">
        <v>7.9951567000000001E-2</v>
      </c>
      <c r="M422" s="7">
        <v>3.6487692000000002E-2</v>
      </c>
      <c r="N422" s="7">
        <v>5.6537327999999998E-2</v>
      </c>
      <c r="O422" s="7">
        <v>3.3325441999999997E-2</v>
      </c>
      <c r="P422" s="7">
        <v>9.1298454000000001E-2</v>
      </c>
      <c r="Q422" s="7">
        <v>3.2673589000000003E-2</v>
      </c>
      <c r="R422" s="7">
        <v>9.2169476E-2</v>
      </c>
      <c r="S422" s="7">
        <v>5.2193265000000003E-2</v>
      </c>
      <c r="T422" s="7">
        <v>6.5106354000000005E-2</v>
      </c>
      <c r="U422" s="7">
        <v>3.4973047E-2</v>
      </c>
      <c r="V422" s="7">
        <v>1.1062017212598427E-2</v>
      </c>
      <c r="W422" s="7">
        <v>0.14375704997177505</v>
      </c>
      <c r="X422" s="7">
        <v>0.10512349607567847</v>
      </c>
      <c r="Y422" s="7">
        <v>0.18991335625709146</v>
      </c>
      <c r="Z422" s="7">
        <v>0.13514724462794622</v>
      </c>
      <c r="AA422" s="7">
        <v>9.7670146639406139E-2</v>
      </c>
      <c r="AB422" s="4">
        <v>0</v>
      </c>
      <c r="AC422" s="4">
        <v>0</v>
      </c>
      <c r="AD422" s="4">
        <v>0</v>
      </c>
      <c r="AE422" s="4"/>
      <c r="AF422" s="4"/>
      <c r="AG422" s="4"/>
      <c r="AH422" s="4"/>
    </row>
    <row r="423" spans="1:34" x14ac:dyDescent="0.3">
      <c r="A423" s="1">
        <v>45197</v>
      </c>
      <c r="B423" s="7">
        <v>6.8246554000000001E-2</v>
      </c>
      <c r="C423" s="7">
        <v>2.2701453E-2</v>
      </c>
      <c r="D423" s="7">
        <v>9.4706147000000004E-2</v>
      </c>
      <c r="E423" s="7">
        <v>3.1313997000000003E-2</v>
      </c>
      <c r="F423" s="7">
        <v>2.2167571E-2</v>
      </c>
      <c r="G423" s="7">
        <v>3.9521529E-2</v>
      </c>
      <c r="H423" s="7">
        <v>5.2474389000000003E-2</v>
      </c>
      <c r="I423" s="7">
        <v>4.4827345999999997E-2</v>
      </c>
      <c r="J423" s="7">
        <v>6.6759697000000007E-2</v>
      </c>
      <c r="K423" s="7">
        <v>5.3356242999999998E-2</v>
      </c>
      <c r="L423" s="7">
        <v>4.1271198000000002E-2</v>
      </c>
      <c r="M423" s="7">
        <v>5.2045038000000002E-2</v>
      </c>
      <c r="N423" s="7">
        <v>3.8702093E-2</v>
      </c>
      <c r="O423" s="7">
        <v>2.8727899000000001E-2</v>
      </c>
      <c r="P423" s="7">
        <v>7.9951567000000001E-2</v>
      </c>
      <c r="Q423" s="7">
        <v>3.6487692000000002E-2</v>
      </c>
      <c r="R423" s="7">
        <v>5.6537327999999998E-2</v>
      </c>
      <c r="S423" s="7">
        <v>3.3325441999999997E-2</v>
      </c>
      <c r="T423" s="7">
        <v>9.1298454000000001E-2</v>
      </c>
      <c r="U423" s="7">
        <v>3.2673589000000003E-2</v>
      </c>
      <c r="V423" s="7">
        <v>3.1262333512896152E-2</v>
      </c>
      <c r="W423" s="7">
        <v>0.14359625508898585</v>
      </c>
      <c r="X423" s="7">
        <v>0.10589338648984845</v>
      </c>
      <c r="Y423" s="7">
        <v>0.18991335625709146</v>
      </c>
      <c r="Z423" s="7">
        <v>0.13519175902891709</v>
      </c>
      <c r="AA423" s="7">
        <v>9.7756571183245988E-2</v>
      </c>
      <c r="AB423" s="4">
        <v>0</v>
      </c>
      <c r="AC423" s="4">
        <v>0</v>
      </c>
      <c r="AD423" s="4">
        <v>0</v>
      </c>
      <c r="AE423" s="4"/>
      <c r="AF423" s="4"/>
      <c r="AG423" s="4"/>
      <c r="AH423" s="4"/>
    </row>
    <row r="424" spans="1:34" x14ac:dyDescent="0.3">
      <c r="A424" s="1">
        <v>45201</v>
      </c>
      <c r="B424" s="7">
        <v>4.5244523000000002E-2</v>
      </c>
      <c r="C424" s="7">
        <v>4.0374360999999998E-2</v>
      </c>
      <c r="D424" s="7">
        <v>9.0665079999999995E-2</v>
      </c>
      <c r="E424" s="7">
        <v>4.6606307E-2</v>
      </c>
      <c r="F424" s="7">
        <v>6.8246554000000001E-2</v>
      </c>
      <c r="G424" s="7">
        <v>2.2701453E-2</v>
      </c>
      <c r="H424" s="7">
        <v>9.4706147000000004E-2</v>
      </c>
      <c r="I424" s="7">
        <v>3.1313997000000003E-2</v>
      </c>
      <c r="J424" s="7">
        <v>2.2167571E-2</v>
      </c>
      <c r="K424" s="7">
        <v>3.9521529E-2</v>
      </c>
      <c r="L424" s="7">
        <v>5.2474389000000003E-2</v>
      </c>
      <c r="M424" s="7">
        <v>4.4827345999999997E-2</v>
      </c>
      <c r="N424" s="7">
        <v>6.6759697000000007E-2</v>
      </c>
      <c r="O424" s="7">
        <v>5.3356242999999998E-2</v>
      </c>
      <c r="P424" s="7">
        <v>4.1271198000000002E-2</v>
      </c>
      <c r="Q424" s="7">
        <v>5.2045038000000002E-2</v>
      </c>
      <c r="R424" s="7">
        <v>3.8702093E-2</v>
      </c>
      <c r="S424" s="7">
        <v>2.8727899000000001E-2</v>
      </c>
      <c r="T424" s="7">
        <v>7.9951567000000001E-2</v>
      </c>
      <c r="U424" s="7">
        <v>3.6487692000000002E-2</v>
      </c>
      <c r="V424" s="7">
        <v>0.11774933771056165</v>
      </c>
      <c r="W424" s="7">
        <v>0.13818735528216494</v>
      </c>
      <c r="X424" s="7">
        <v>0.10141639542408289</v>
      </c>
      <c r="Y424" s="7">
        <v>0.18991335625709146</v>
      </c>
      <c r="Z424" s="7">
        <v>0.13557353874218478</v>
      </c>
      <c r="AA424" s="7">
        <v>9.8155009357090608E-2</v>
      </c>
      <c r="AB424" s="4">
        <v>0</v>
      </c>
      <c r="AC424" s="4">
        <v>0</v>
      </c>
      <c r="AD424" s="4">
        <v>0</v>
      </c>
      <c r="AE424" s="4"/>
      <c r="AF424" s="4"/>
      <c r="AG424" s="4"/>
      <c r="AH424" s="4"/>
    </row>
    <row r="425" spans="1:34" x14ac:dyDescent="0.3">
      <c r="A425" s="1">
        <v>45202</v>
      </c>
      <c r="B425" s="7">
        <v>6.124454E-2</v>
      </c>
      <c r="C425" s="7">
        <v>3.7161619E-2</v>
      </c>
      <c r="D425" s="7">
        <v>4.9150695000000001E-2</v>
      </c>
      <c r="E425" s="7">
        <v>4.9350836000000002E-2</v>
      </c>
      <c r="F425" s="7">
        <v>4.5244523000000002E-2</v>
      </c>
      <c r="G425" s="7">
        <v>4.0374360999999998E-2</v>
      </c>
      <c r="H425" s="7">
        <v>9.0665079999999995E-2</v>
      </c>
      <c r="I425" s="7">
        <v>4.6606307E-2</v>
      </c>
      <c r="J425" s="7">
        <v>6.8246554000000001E-2</v>
      </c>
      <c r="K425" s="7">
        <v>2.2701453E-2</v>
      </c>
      <c r="L425" s="7">
        <v>9.4706147000000004E-2</v>
      </c>
      <c r="M425" s="7">
        <v>3.1313997000000003E-2</v>
      </c>
      <c r="N425" s="7">
        <v>2.2167571E-2</v>
      </c>
      <c r="O425" s="7">
        <v>3.9521529E-2</v>
      </c>
      <c r="P425" s="7">
        <v>5.2474389000000003E-2</v>
      </c>
      <c r="Q425" s="7">
        <v>4.4827345999999997E-2</v>
      </c>
      <c r="R425" s="7">
        <v>6.6759697000000007E-2</v>
      </c>
      <c r="S425" s="7">
        <v>5.3356242999999998E-2</v>
      </c>
      <c r="T425" s="7">
        <v>4.1271198000000002E-2</v>
      </c>
      <c r="U425" s="7">
        <v>5.2045038000000002E-2</v>
      </c>
      <c r="V425" s="7">
        <v>0.11774933771056165</v>
      </c>
      <c r="W425" s="7">
        <v>0.13828621593149928</v>
      </c>
      <c r="X425" s="7">
        <v>0.10148437918820558</v>
      </c>
      <c r="Y425" s="7">
        <v>0.17354519465658427</v>
      </c>
      <c r="Z425" s="7">
        <v>0.13599709850205396</v>
      </c>
      <c r="AA425" s="7">
        <v>9.8078810178512596E-2</v>
      </c>
      <c r="AB425" s="4">
        <v>1</v>
      </c>
      <c r="AC425" s="4">
        <v>0</v>
      </c>
      <c r="AD425" s="4">
        <v>1</v>
      </c>
      <c r="AE425" s="4"/>
      <c r="AF425" s="4"/>
      <c r="AG425" s="4"/>
      <c r="AH425" s="4"/>
    </row>
    <row r="426" spans="1:34" x14ac:dyDescent="0.3">
      <c r="A426" s="1">
        <v>45203</v>
      </c>
      <c r="B426" s="7">
        <v>6.0021602E-2</v>
      </c>
      <c r="C426" s="7">
        <v>5.0901809999999999E-2</v>
      </c>
      <c r="D426" s="7">
        <v>3.8652625000000003E-2</v>
      </c>
      <c r="E426" s="7">
        <v>5.0345031999999998E-2</v>
      </c>
      <c r="F426" s="7">
        <v>6.124454E-2</v>
      </c>
      <c r="G426" s="7">
        <v>3.7161619E-2</v>
      </c>
      <c r="H426" s="7">
        <v>4.9150695000000001E-2</v>
      </c>
      <c r="I426" s="7">
        <v>4.9350836000000002E-2</v>
      </c>
      <c r="J426" s="7">
        <v>4.5244523000000002E-2</v>
      </c>
      <c r="K426" s="7">
        <v>4.0374360999999998E-2</v>
      </c>
      <c r="L426" s="7">
        <v>9.0665079999999995E-2</v>
      </c>
      <c r="M426" s="7">
        <v>4.6606307E-2</v>
      </c>
      <c r="N426" s="7">
        <v>6.8246554000000001E-2</v>
      </c>
      <c r="O426" s="7">
        <v>2.2701453E-2</v>
      </c>
      <c r="P426" s="7">
        <v>9.4706147000000004E-2</v>
      </c>
      <c r="Q426" s="7">
        <v>3.1313997000000003E-2</v>
      </c>
      <c r="R426" s="7">
        <v>2.2167571E-2</v>
      </c>
      <c r="S426" s="7">
        <v>3.9521529E-2</v>
      </c>
      <c r="T426" s="7">
        <v>5.2474389000000003E-2</v>
      </c>
      <c r="U426" s="7">
        <v>4.4827345999999997E-2</v>
      </c>
      <c r="V426" s="7">
        <v>0.11774933771056165</v>
      </c>
      <c r="W426" s="7">
        <v>0.14085837664924628</v>
      </c>
      <c r="X426" s="7">
        <v>0.10309547662839252</v>
      </c>
      <c r="Y426" s="7">
        <v>0.15237483868634535</v>
      </c>
      <c r="Z426" s="7">
        <v>0.13739635007352391</v>
      </c>
      <c r="AA426" s="7">
        <v>9.8976484028919134E-2</v>
      </c>
      <c r="AB426" s="4">
        <v>1</v>
      </c>
      <c r="AC426" s="4">
        <v>0</v>
      </c>
      <c r="AD426" s="4">
        <v>1</v>
      </c>
      <c r="AE426" s="4"/>
      <c r="AF426" s="4"/>
      <c r="AG426" s="4"/>
      <c r="AH426" s="4"/>
    </row>
    <row r="427" spans="1:34" x14ac:dyDescent="0.3">
      <c r="A427" s="1">
        <v>45204</v>
      </c>
      <c r="B427" s="7">
        <v>9.3939915999999998E-2</v>
      </c>
      <c r="C427" s="7">
        <v>0.10753868499999999</v>
      </c>
      <c r="D427" s="7">
        <v>0.134211264</v>
      </c>
      <c r="E427" s="7">
        <v>6.3167459999999995E-2</v>
      </c>
      <c r="F427" s="7">
        <v>6.0021602E-2</v>
      </c>
      <c r="G427" s="7">
        <v>5.0901809999999999E-2</v>
      </c>
      <c r="H427" s="7">
        <v>3.8652625000000003E-2</v>
      </c>
      <c r="I427" s="7">
        <v>5.0345031999999998E-2</v>
      </c>
      <c r="J427" s="7">
        <v>6.124454E-2</v>
      </c>
      <c r="K427" s="7">
        <v>3.7161619E-2</v>
      </c>
      <c r="L427" s="7">
        <v>4.9150695000000001E-2</v>
      </c>
      <c r="M427" s="7">
        <v>4.9350836000000002E-2</v>
      </c>
      <c r="N427" s="7">
        <v>4.5244523000000002E-2</v>
      </c>
      <c r="O427" s="7">
        <v>4.0374360999999998E-2</v>
      </c>
      <c r="P427" s="7">
        <v>9.0665079999999995E-2</v>
      </c>
      <c r="Q427" s="7">
        <v>4.6606307E-2</v>
      </c>
      <c r="R427" s="7">
        <v>6.8246554000000001E-2</v>
      </c>
      <c r="S427" s="7">
        <v>2.2701453E-2</v>
      </c>
      <c r="T427" s="7">
        <v>9.4706147000000004E-2</v>
      </c>
      <c r="U427" s="7">
        <v>3.1313997000000003E-2</v>
      </c>
      <c r="V427" s="7">
        <v>0.11774933771056165</v>
      </c>
      <c r="W427" s="7">
        <v>0.13871195976288936</v>
      </c>
      <c r="X427" s="7">
        <v>0.10245879202408571</v>
      </c>
      <c r="Y427" s="7">
        <v>0.17354519465658427</v>
      </c>
      <c r="Z427" s="7">
        <v>0.13794011553438346</v>
      </c>
      <c r="AA427" s="7">
        <v>9.9558751642886439E-2</v>
      </c>
      <c r="AB427" s="4">
        <v>0</v>
      </c>
      <c r="AC427" s="4">
        <v>0</v>
      </c>
      <c r="AD427" s="4">
        <v>0</v>
      </c>
      <c r="AE427" s="4"/>
      <c r="AF427" s="4"/>
      <c r="AG427" s="4"/>
      <c r="AH427" s="4"/>
    </row>
    <row r="428" spans="1:34" x14ac:dyDescent="0.3">
      <c r="A428" s="1">
        <v>45205</v>
      </c>
      <c r="B428" s="7">
        <v>8.0577502999999995E-2</v>
      </c>
      <c r="C428" s="7">
        <v>4.8362115999999997E-2</v>
      </c>
      <c r="D428" s="7">
        <v>0.10708258499999999</v>
      </c>
      <c r="E428" s="7">
        <v>3.3687160000000001E-2</v>
      </c>
      <c r="F428" s="7">
        <v>9.3939915999999998E-2</v>
      </c>
      <c r="G428" s="7">
        <v>0.10753868499999999</v>
      </c>
      <c r="H428" s="7">
        <v>0.134211264</v>
      </c>
      <c r="I428" s="7">
        <v>6.3167459999999995E-2</v>
      </c>
      <c r="J428" s="7">
        <v>6.0021602E-2</v>
      </c>
      <c r="K428" s="7">
        <v>5.0901809999999999E-2</v>
      </c>
      <c r="L428" s="7">
        <v>3.8652625000000003E-2</v>
      </c>
      <c r="M428" s="7">
        <v>5.0345031999999998E-2</v>
      </c>
      <c r="N428" s="7">
        <v>6.124454E-2</v>
      </c>
      <c r="O428" s="7">
        <v>3.7161619E-2</v>
      </c>
      <c r="P428" s="7">
        <v>4.9150695000000001E-2</v>
      </c>
      <c r="Q428" s="7">
        <v>4.9350836000000002E-2</v>
      </c>
      <c r="R428" s="7">
        <v>4.5244523000000002E-2</v>
      </c>
      <c r="S428" s="7">
        <v>4.0374360999999998E-2</v>
      </c>
      <c r="T428" s="7">
        <v>9.0665079999999995E-2</v>
      </c>
      <c r="U428" s="7">
        <v>4.6606307E-2</v>
      </c>
      <c r="V428" s="7">
        <v>0.11774933771056165</v>
      </c>
      <c r="W428" s="7">
        <v>0.13877733307841228</v>
      </c>
      <c r="X428" s="7">
        <v>0.10251759445834695</v>
      </c>
      <c r="Y428" s="7">
        <v>0.17354519465658427</v>
      </c>
      <c r="Z428" s="7">
        <v>0.13745784044645304</v>
      </c>
      <c r="AA428" s="7">
        <v>9.923627269045833E-2</v>
      </c>
      <c r="AB428" s="4">
        <v>0</v>
      </c>
      <c r="AC428" s="4">
        <v>0</v>
      </c>
      <c r="AD428" s="4">
        <v>0</v>
      </c>
      <c r="AE428" s="4"/>
      <c r="AF428" s="4"/>
      <c r="AG428" s="4"/>
      <c r="AH428" s="4"/>
    </row>
    <row r="429" spans="1:34" x14ac:dyDescent="0.3">
      <c r="A429" s="1">
        <v>45210</v>
      </c>
      <c r="B429" s="7">
        <v>7.3419801000000007E-2</v>
      </c>
      <c r="C429" s="7">
        <v>6.5777762000000004E-2</v>
      </c>
      <c r="D429" s="7">
        <v>9.2670398000000001E-2</v>
      </c>
      <c r="E429" s="7">
        <v>8.4586156999999995E-2</v>
      </c>
      <c r="F429" s="7">
        <v>8.0577502999999995E-2</v>
      </c>
      <c r="G429" s="7">
        <v>4.8362115999999997E-2</v>
      </c>
      <c r="H429" s="7">
        <v>0.10708258499999999</v>
      </c>
      <c r="I429" s="7">
        <v>3.3687160000000001E-2</v>
      </c>
      <c r="J429" s="7">
        <v>9.3939915999999998E-2</v>
      </c>
      <c r="K429" s="7">
        <v>0.10753868499999999</v>
      </c>
      <c r="L429" s="7">
        <v>0.134211264</v>
      </c>
      <c r="M429" s="7">
        <v>6.3167459999999995E-2</v>
      </c>
      <c r="N429" s="7">
        <v>6.0021602E-2</v>
      </c>
      <c r="O429" s="7">
        <v>5.0901809999999999E-2</v>
      </c>
      <c r="P429" s="7">
        <v>3.8652625000000003E-2</v>
      </c>
      <c r="Q429" s="7">
        <v>5.0345031999999998E-2</v>
      </c>
      <c r="R429" s="7">
        <v>6.124454E-2</v>
      </c>
      <c r="S429" s="7">
        <v>3.7161619E-2</v>
      </c>
      <c r="T429" s="7">
        <v>4.9150695000000001E-2</v>
      </c>
      <c r="U429" s="7">
        <v>4.9350836000000002E-2</v>
      </c>
      <c r="V429" s="7">
        <v>0.11774933771056165</v>
      </c>
      <c r="W429" s="7">
        <v>0.13835262686777205</v>
      </c>
      <c r="X429" s="7">
        <v>0.1022121653324489</v>
      </c>
      <c r="Y429" s="7">
        <v>0.17354519465658427</v>
      </c>
      <c r="Z429" s="7">
        <v>0.13761095955870062</v>
      </c>
      <c r="AA429" s="7">
        <v>9.947834607818215E-2</v>
      </c>
      <c r="AB429" s="4">
        <v>0</v>
      </c>
      <c r="AC429" s="4">
        <v>0</v>
      </c>
      <c r="AD429" s="4">
        <v>0</v>
      </c>
      <c r="AE429" s="4"/>
      <c r="AF429" s="4"/>
      <c r="AG429" s="4"/>
      <c r="AH429" s="4"/>
    </row>
    <row r="430" spans="1:34" x14ac:dyDescent="0.3">
      <c r="A430" s="1">
        <v>45211</v>
      </c>
      <c r="B430" s="7">
        <v>0.10929531300000001</v>
      </c>
      <c r="C430" s="7">
        <v>6.3902313000000002E-2</v>
      </c>
      <c r="D430" s="7">
        <v>0.19221086800000001</v>
      </c>
      <c r="E430" s="7">
        <v>0.123895081</v>
      </c>
      <c r="F430" s="7">
        <v>7.3419801000000007E-2</v>
      </c>
      <c r="G430" s="7">
        <v>6.5777762000000004E-2</v>
      </c>
      <c r="H430" s="7">
        <v>9.2670398000000001E-2</v>
      </c>
      <c r="I430" s="7">
        <v>8.4586156999999995E-2</v>
      </c>
      <c r="J430" s="7">
        <v>8.0577502999999995E-2</v>
      </c>
      <c r="K430" s="7">
        <v>4.8362115999999997E-2</v>
      </c>
      <c r="L430" s="7">
        <v>0.10708258499999999</v>
      </c>
      <c r="M430" s="7">
        <v>3.3687160000000001E-2</v>
      </c>
      <c r="N430" s="7">
        <v>9.3939915999999998E-2</v>
      </c>
      <c r="O430" s="7">
        <v>0.10753868499999999</v>
      </c>
      <c r="P430" s="7">
        <v>0.134211264</v>
      </c>
      <c r="Q430" s="7">
        <v>6.3167459999999995E-2</v>
      </c>
      <c r="R430" s="7">
        <v>6.0021602E-2</v>
      </c>
      <c r="S430" s="7">
        <v>5.0901809999999999E-2</v>
      </c>
      <c r="T430" s="7">
        <v>3.8652625000000003E-2</v>
      </c>
      <c r="U430" s="7">
        <v>5.0345031999999998E-2</v>
      </c>
      <c r="V430" s="7">
        <v>0.11774933771056165</v>
      </c>
      <c r="W430" s="7">
        <v>0.13639668684648623</v>
      </c>
      <c r="X430" s="7">
        <v>0.10156129540341738</v>
      </c>
      <c r="Y430" s="7">
        <v>0.18991335625709146</v>
      </c>
      <c r="Z430" s="7">
        <v>0.1380534073919425</v>
      </c>
      <c r="AA430" s="7">
        <v>0.10016928012234054</v>
      </c>
      <c r="AB430" s="4">
        <v>0</v>
      </c>
      <c r="AC430" s="4">
        <v>1</v>
      </c>
      <c r="AD430" s="4">
        <v>1</v>
      </c>
      <c r="AE430" s="4"/>
      <c r="AF430" s="4"/>
      <c r="AG430" s="4"/>
      <c r="AH430" s="4"/>
    </row>
    <row r="431" spans="1:34" x14ac:dyDescent="0.3">
      <c r="A431" s="1">
        <v>45212</v>
      </c>
      <c r="B431" s="7">
        <v>0.13692720799999999</v>
      </c>
      <c r="C431" s="7">
        <v>6.5910438000000002E-2</v>
      </c>
      <c r="D431" s="7">
        <v>0.16990798600000001</v>
      </c>
      <c r="E431" s="7">
        <v>0.10613588</v>
      </c>
      <c r="F431" s="7">
        <v>0.10929531300000001</v>
      </c>
      <c r="G431" s="7">
        <v>6.3902313000000002E-2</v>
      </c>
      <c r="H431" s="7">
        <v>0.19221086800000001</v>
      </c>
      <c r="I431" s="7">
        <v>0.123895081</v>
      </c>
      <c r="J431" s="7">
        <v>7.3419801000000007E-2</v>
      </c>
      <c r="K431" s="7">
        <v>6.5777762000000004E-2</v>
      </c>
      <c r="L431" s="7">
        <v>9.2670398000000001E-2</v>
      </c>
      <c r="M431" s="7">
        <v>8.4586156999999995E-2</v>
      </c>
      <c r="N431" s="7">
        <v>8.0577502999999995E-2</v>
      </c>
      <c r="O431" s="7">
        <v>4.8362115999999997E-2</v>
      </c>
      <c r="P431" s="7">
        <v>0.10708258499999999</v>
      </c>
      <c r="Q431" s="7">
        <v>3.3687160000000001E-2</v>
      </c>
      <c r="R431" s="7">
        <v>9.3939915999999998E-2</v>
      </c>
      <c r="S431" s="7">
        <v>0.10753868499999999</v>
      </c>
      <c r="T431" s="7">
        <v>0.134211264</v>
      </c>
      <c r="U431" s="7">
        <v>6.3167459999999995E-2</v>
      </c>
      <c r="V431" s="7">
        <v>3.1262333512896152E-2</v>
      </c>
      <c r="W431" s="7">
        <v>0.13637526962283389</v>
      </c>
      <c r="X431" s="7">
        <v>0.1009436026064089</v>
      </c>
      <c r="Y431" s="7">
        <v>0.18991335625709146</v>
      </c>
      <c r="Z431" s="7">
        <v>0.13765937123940383</v>
      </c>
      <c r="AA431" s="7">
        <v>9.9942127877233347E-2</v>
      </c>
      <c r="AB431" s="4">
        <v>0</v>
      </c>
      <c r="AC431" s="4">
        <v>1</v>
      </c>
      <c r="AD431" s="4">
        <v>1</v>
      </c>
      <c r="AE431" s="4"/>
      <c r="AF431" s="4"/>
      <c r="AG431" s="4"/>
      <c r="AH431" s="4"/>
    </row>
    <row r="432" spans="1:34" x14ac:dyDescent="0.3">
      <c r="A432" s="1">
        <v>45215</v>
      </c>
      <c r="B432" s="7">
        <v>0.20815339199999999</v>
      </c>
      <c r="C432" s="7">
        <v>0.114055215</v>
      </c>
      <c r="D432" s="7">
        <v>0.22942114699999999</v>
      </c>
      <c r="E432" s="7">
        <v>0.182018766</v>
      </c>
      <c r="F432" s="7">
        <v>0.13692720799999999</v>
      </c>
      <c r="G432" s="7">
        <v>6.5910438000000002E-2</v>
      </c>
      <c r="H432" s="7">
        <v>0.16990798600000001</v>
      </c>
      <c r="I432" s="7">
        <v>0.10613588</v>
      </c>
      <c r="J432" s="7">
        <v>0.10929531300000001</v>
      </c>
      <c r="K432" s="7">
        <v>6.3902313000000002E-2</v>
      </c>
      <c r="L432" s="7">
        <v>0.19221086800000001</v>
      </c>
      <c r="M432" s="7">
        <v>0.123895081</v>
      </c>
      <c r="N432" s="7">
        <v>7.3419801000000007E-2</v>
      </c>
      <c r="O432" s="7">
        <v>6.5777762000000004E-2</v>
      </c>
      <c r="P432" s="7">
        <v>9.2670398000000001E-2</v>
      </c>
      <c r="Q432" s="7">
        <v>8.4586156999999995E-2</v>
      </c>
      <c r="R432" s="7">
        <v>8.0577502999999995E-2</v>
      </c>
      <c r="S432" s="7">
        <v>4.8362115999999997E-2</v>
      </c>
      <c r="T432" s="7">
        <v>0.10708258499999999</v>
      </c>
      <c r="U432" s="7">
        <v>3.3687160000000001E-2</v>
      </c>
      <c r="V432" s="7">
        <v>3.1262333512896152E-2</v>
      </c>
      <c r="W432" s="7">
        <v>0.13601823027903687</v>
      </c>
      <c r="X432" s="7">
        <v>0.10075723985093687</v>
      </c>
      <c r="Y432" s="7">
        <v>0.18991335625709146</v>
      </c>
      <c r="Z432" s="7">
        <v>0.13771145622676501</v>
      </c>
      <c r="AA432" s="7">
        <v>9.9970892271310785E-2</v>
      </c>
      <c r="AB432" s="4">
        <v>0</v>
      </c>
      <c r="AC432" s="4">
        <v>1</v>
      </c>
      <c r="AD432" s="4">
        <v>1</v>
      </c>
      <c r="AE432" s="4"/>
      <c r="AF432" s="4"/>
      <c r="AG432" s="4"/>
      <c r="AH432" s="4"/>
    </row>
    <row r="433" spans="1:34" x14ac:dyDescent="0.3">
      <c r="A433" s="1">
        <v>45216</v>
      </c>
      <c r="B433" s="7">
        <v>0.22190908200000001</v>
      </c>
      <c r="C433" s="7">
        <v>0.123729556</v>
      </c>
      <c r="D433" s="7">
        <v>0.19133445800000001</v>
      </c>
      <c r="E433" s="7">
        <v>0.28537619800000003</v>
      </c>
      <c r="F433" s="7">
        <v>0.20815339199999999</v>
      </c>
      <c r="G433" s="7">
        <v>0.114055215</v>
      </c>
      <c r="H433" s="7">
        <v>0.22942114699999999</v>
      </c>
      <c r="I433" s="7">
        <v>0.182018766</v>
      </c>
      <c r="J433" s="7">
        <v>0.13692720799999999</v>
      </c>
      <c r="K433" s="7">
        <v>6.5910438000000002E-2</v>
      </c>
      <c r="L433" s="7">
        <v>0.16990798600000001</v>
      </c>
      <c r="M433" s="7">
        <v>0.10613588</v>
      </c>
      <c r="N433" s="7">
        <v>0.10929531300000001</v>
      </c>
      <c r="O433" s="7">
        <v>6.3902313000000002E-2</v>
      </c>
      <c r="P433" s="7">
        <v>0.19221086800000001</v>
      </c>
      <c r="Q433" s="7">
        <v>0.123895081</v>
      </c>
      <c r="R433" s="7">
        <v>7.3419801000000007E-2</v>
      </c>
      <c r="S433" s="7">
        <v>6.5777762000000004E-2</v>
      </c>
      <c r="T433" s="7">
        <v>9.2670398000000001E-2</v>
      </c>
      <c r="U433" s="7">
        <v>8.4586156999999995E-2</v>
      </c>
      <c r="V433" s="7">
        <v>3.1262333512896152E-2</v>
      </c>
      <c r="W433" s="7">
        <v>0.13520376162922751</v>
      </c>
      <c r="X433" s="7">
        <v>0.10069515213938793</v>
      </c>
      <c r="Y433" s="7">
        <v>0.18991335625709146</v>
      </c>
      <c r="Z433" s="7">
        <v>0.13715851461408729</v>
      </c>
      <c r="AA433" s="7">
        <v>9.9729611633161089E-2</v>
      </c>
      <c r="AB433" s="4">
        <v>0</v>
      </c>
      <c r="AC433" s="4">
        <v>1</v>
      </c>
      <c r="AD433" s="4">
        <v>1</v>
      </c>
      <c r="AE433" s="4"/>
      <c r="AF433" s="4"/>
      <c r="AG433" s="4"/>
      <c r="AH433" s="4"/>
    </row>
    <row r="434" spans="1:34" x14ac:dyDescent="0.3">
      <c r="A434" s="1">
        <v>45217</v>
      </c>
      <c r="B434" s="7">
        <v>4.1486032999999999E-2</v>
      </c>
      <c r="C434" s="7">
        <v>3.3380584999999997E-2</v>
      </c>
      <c r="D434" s="7">
        <v>1.8098972000000001E-2</v>
      </c>
      <c r="E434" s="7">
        <v>3.7494425999999997E-2</v>
      </c>
      <c r="F434" s="7">
        <v>0.22190908200000001</v>
      </c>
      <c r="G434" s="7">
        <v>0.123729556</v>
      </c>
      <c r="H434" s="7">
        <v>0.19133445800000001</v>
      </c>
      <c r="I434" s="7">
        <v>0.28537619800000003</v>
      </c>
      <c r="J434" s="7">
        <v>0.20815339199999999</v>
      </c>
      <c r="K434" s="7">
        <v>0.114055215</v>
      </c>
      <c r="L434" s="7">
        <v>0.22942114699999999</v>
      </c>
      <c r="M434" s="7">
        <v>0.182018766</v>
      </c>
      <c r="N434" s="7">
        <v>0.13692720799999999</v>
      </c>
      <c r="O434" s="7">
        <v>6.5910438000000002E-2</v>
      </c>
      <c r="P434" s="7">
        <v>0.16990798600000001</v>
      </c>
      <c r="Q434" s="7">
        <v>0.10613588</v>
      </c>
      <c r="R434" s="7">
        <v>0.10929531300000001</v>
      </c>
      <c r="S434" s="7">
        <v>6.3902313000000002E-2</v>
      </c>
      <c r="T434" s="7">
        <v>0.19221086800000001</v>
      </c>
      <c r="U434" s="7">
        <v>0.123895081</v>
      </c>
      <c r="V434" s="7">
        <v>1.1062017212598427E-2</v>
      </c>
      <c r="W434" s="7">
        <v>0.13798564573351291</v>
      </c>
      <c r="X434" s="7">
        <v>0.10215193794871094</v>
      </c>
      <c r="Y434" s="7">
        <v>0.17739299914643283</v>
      </c>
      <c r="Z434" s="7">
        <v>0.1389187875988436</v>
      </c>
      <c r="AA434" s="7">
        <v>0.10103290681943872</v>
      </c>
      <c r="AB434" s="4">
        <v>0</v>
      </c>
      <c r="AC434" s="4">
        <v>0</v>
      </c>
      <c r="AD434" s="4">
        <v>0</v>
      </c>
      <c r="AE434" s="4"/>
      <c r="AF434" s="4"/>
      <c r="AG434" s="4"/>
      <c r="AH434" s="4"/>
    </row>
    <row r="435" spans="1:34" x14ac:dyDescent="0.3">
      <c r="A435" s="1">
        <v>45218</v>
      </c>
      <c r="B435" s="7">
        <v>7.0875586000000004E-2</v>
      </c>
      <c r="C435" s="7">
        <v>3.2270709000000002E-2</v>
      </c>
      <c r="D435" s="7">
        <v>0.104972025</v>
      </c>
      <c r="E435" s="7">
        <v>4.4552527000000001E-2</v>
      </c>
      <c r="F435" s="7">
        <v>4.1486032999999999E-2</v>
      </c>
      <c r="G435" s="7">
        <v>3.3380584999999997E-2</v>
      </c>
      <c r="H435" s="7">
        <v>1.8098972000000001E-2</v>
      </c>
      <c r="I435" s="7">
        <v>3.7494425999999997E-2</v>
      </c>
      <c r="J435" s="7">
        <v>0.22190908200000001</v>
      </c>
      <c r="K435" s="7">
        <v>0.123729556</v>
      </c>
      <c r="L435" s="7">
        <v>0.19133445800000001</v>
      </c>
      <c r="M435" s="7">
        <v>0.28537619800000003</v>
      </c>
      <c r="N435" s="7">
        <v>0.20815339199999999</v>
      </c>
      <c r="O435" s="7">
        <v>0.114055215</v>
      </c>
      <c r="P435" s="7">
        <v>0.22942114699999999</v>
      </c>
      <c r="Q435" s="7">
        <v>0.182018766</v>
      </c>
      <c r="R435" s="7">
        <v>0.13692720799999999</v>
      </c>
      <c r="S435" s="7">
        <v>6.5910438000000002E-2</v>
      </c>
      <c r="T435" s="7">
        <v>0.16990798600000001</v>
      </c>
      <c r="U435" s="7">
        <v>0.10613588</v>
      </c>
      <c r="V435" s="7">
        <v>3.1262333512896152E-2</v>
      </c>
      <c r="W435" s="7">
        <v>0.1368595517756829</v>
      </c>
      <c r="X435" s="7">
        <v>0.10207367062075243</v>
      </c>
      <c r="Y435" s="7">
        <v>0.19896146475163615</v>
      </c>
      <c r="Z435" s="7">
        <v>0.135710770413764</v>
      </c>
      <c r="AA435" s="7">
        <v>9.8102958613039942E-2</v>
      </c>
      <c r="AB435" s="4">
        <v>0</v>
      </c>
      <c r="AC435" s="4">
        <v>1</v>
      </c>
      <c r="AD435" s="4">
        <v>1</v>
      </c>
      <c r="AE435" s="4"/>
      <c r="AF435" s="4"/>
      <c r="AG435" s="4"/>
      <c r="AH435" s="4"/>
    </row>
    <row r="436" spans="1:34" x14ac:dyDescent="0.3">
      <c r="A436" s="1">
        <v>45219</v>
      </c>
      <c r="B436" s="7">
        <v>6.0213506E-2</v>
      </c>
      <c r="C436" s="7">
        <v>3.7014340999999999E-2</v>
      </c>
      <c r="D436" s="7">
        <v>9.5512562999999995E-2</v>
      </c>
      <c r="E436" s="7">
        <v>4.6989153999999998E-2</v>
      </c>
      <c r="F436" s="7">
        <v>7.0875586000000004E-2</v>
      </c>
      <c r="G436" s="7">
        <v>3.2270709000000002E-2</v>
      </c>
      <c r="H436" s="7">
        <v>0.104972025</v>
      </c>
      <c r="I436" s="7">
        <v>4.4552527000000001E-2</v>
      </c>
      <c r="J436" s="7">
        <v>4.1486032999999999E-2</v>
      </c>
      <c r="K436" s="7">
        <v>3.3380584999999997E-2</v>
      </c>
      <c r="L436" s="7">
        <v>1.8098972000000001E-2</v>
      </c>
      <c r="M436" s="7">
        <v>3.7494425999999997E-2</v>
      </c>
      <c r="N436" s="7">
        <v>0.22190908200000001</v>
      </c>
      <c r="O436" s="7">
        <v>0.123729556</v>
      </c>
      <c r="P436" s="7">
        <v>0.19133445800000001</v>
      </c>
      <c r="Q436" s="7">
        <v>0.28537619800000003</v>
      </c>
      <c r="R436" s="7">
        <v>0.20815339199999999</v>
      </c>
      <c r="S436" s="7">
        <v>0.114055215</v>
      </c>
      <c r="T436" s="7">
        <v>0.22942114699999999</v>
      </c>
      <c r="U436" s="7">
        <v>0.182018766</v>
      </c>
      <c r="V436" s="7">
        <v>2.1537198373885551E-2</v>
      </c>
      <c r="W436" s="7">
        <v>0.13684963167333639</v>
      </c>
      <c r="X436" s="7">
        <v>0.10193378022102154</v>
      </c>
      <c r="Y436" s="7">
        <v>0.19896146475163615</v>
      </c>
      <c r="Z436" s="7">
        <v>0.1357269987403639</v>
      </c>
      <c r="AA436" s="7">
        <v>9.8041751761473228E-2</v>
      </c>
      <c r="AB436" s="4">
        <v>0</v>
      </c>
      <c r="AC436" s="4">
        <v>1</v>
      </c>
      <c r="AD436" s="4">
        <v>1</v>
      </c>
      <c r="AE436" s="4"/>
      <c r="AF436" s="4"/>
      <c r="AG436" s="4"/>
      <c r="AH436" s="4"/>
    </row>
    <row r="437" spans="1:34" x14ac:dyDescent="0.3">
      <c r="A437" s="1">
        <v>45222</v>
      </c>
      <c r="B437" s="7">
        <v>7.1409453999999997E-2</v>
      </c>
      <c r="C437" s="7">
        <v>3.2444431000000003E-2</v>
      </c>
      <c r="D437" s="7">
        <v>7.2912598999999995E-2</v>
      </c>
      <c r="E437" s="7">
        <v>5.7394295999999997E-2</v>
      </c>
      <c r="F437" s="7">
        <v>6.0213506E-2</v>
      </c>
      <c r="G437" s="7">
        <v>3.7014340999999999E-2</v>
      </c>
      <c r="H437" s="7">
        <v>9.5512562999999995E-2</v>
      </c>
      <c r="I437" s="7">
        <v>4.6989153999999998E-2</v>
      </c>
      <c r="J437" s="7">
        <v>7.0875586000000004E-2</v>
      </c>
      <c r="K437" s="7">
        <v>3.2270709000000002E-2</v>
      </c>
      <c r="L437" s="7">
        <v>0.104972025</v>
      </c>
      <c r="M437" s="7">
        <v>4.4552527000000001E-2</v>
      </c>
      <c r="N437" s="7">
        <v>4.1486032999999999E-2</v>
      </c>
      <c r="O437" s="7">
        <v>3.3380584999999997E-2</v>
      </c>
      <c r="P437" s="7">
        <v>1.8098972000000001E-2</v>
      </c>
      <c r="Q437" s="7">
        <v>3.7494425999999997E-2</v>
      </c>
      <c r="R437" s="7">
        <v>0.22190908200000001</v>
      </c>
      <c r="S437" s="7">
        <v>0.123729556</v>
      </c>
      <c r="T437" s="7">
        <v>0.19133445800000001</v>
      </c>
      <c r="U437" s="7">
        <v>0.28537619800000003</v>
      </c>
      <c r="V437" s="7">
        <v>-6.5630283676373621E-2</v>
      </c>
      <c r="W437" s="7">
        <v>0.13520857361215247</v>
      </c>
      <c r="X437" s="7">
        <v>0.10021823225425561</v>
      </c>
      <c r="Y437" s="7">
        <v>0.17739299914643283</v>
      </c>
      <c r="Z437" s="7">
        <v>0.13625891094122591</v>
      </c>
      <c r="AA437" s="7">
        <v>9.8057536674684059E-2</v>
      </c>
      <c r="AB437" s="4">
        <v>0</v>
      </c>
      <c r="AC437" s="4">
        <v>0</v>
      </c>
      <c r="AD437" s="4">
        <v>0</v>
      </c>
      <c r="AE437" s="4"/>
      <c r="AF437" s="4"/>
      <c r="AG437" s="4"/>
      <c r="AH437" s="4"/>
    </row>
    <row r="438" spans="1:34" x14ac:dyDescent="0.3">
      <c r="A438" s="1">
        <v>45223</v>
      </c>
      <c r="B438" s="7">
        <v>3.4336209999999999E-2</v>
      </c>
      <c r="C438" s="7">
        <v>3.4642058000000003E-2</v>
      </c>
      <c r="D438" s="7">
        <v>7.7015670999999994E-2</v>
      </c>
      <c r="E438" s="7">
        <v>5.3501722000000002E-2</v>
      </c>
      <c r="F438" s="7">
        <v>7.1409453999999997E-2</v>
      </c>
      <c r="G438" s="7">
        <v>3.2444431000000003E-2</v>
      </c>
      <c r="H438" s="7">
        <v>7.2912598999999995E-2</v>
      </c>
      <c r="I438" s="7">
        <v>5.7394295999999997E-2</v>
      </c>
      <c r="J438" s="7">
        <v>6.0213506E-2</v>
      </c>
      <c r="K438" s="7">
        <v>3.7014340999999999E-2</v>
      </c>
      <c r="L438" s="7">
        <v>9.5512562999999995E-2</v>
      </c>
      <c r="M438" s="7">
        <v>4.6989153999999998E-2</v>
      </c>
      <c r="N438" s="7">
        <v>7.0875586000000004E-2</v>
      </c>
      <c r="O438" s="7">
        <v>3.2270709000000002E-2</v>
      </c>
      <c r="P438" s="7">
        <v>0.104972025</v>
      </c>
      <c r="Q438" s="7">
        <v>4.4552527000000001E-2</v>
      </c>
      <c r="R438" s="7">
        <v>4.1486032999999999E-2</v>
      </c>
      <c r="S438" s="7">
        <v>3.3380584999999997E-2</v>
      </c>
      <c r="T438" s="7">
        <v>1.8098972000000001E-2</v>
      </c>
      <c r="U438" s="7">
        <v>3.7494425999999997E-2</v>
      </c>
      <c r="V438" s="7">
        <v>2.1537198373885551E-2</v>
      </c>
      <c r="W438" s="7">
        <v>0.13561193896023757</v>
      </c>
      <c r="X438" s="7">
        <v>0.10114285592165419</v>
      </c>
      <c r="Y438" s="7">
        <v>0.17739299914643283</v>
      </c>
      <c r="Z438" s="7">
        <v>0.13514314114941195</v>
      </c>
      <c r="AA438" s="7">
        <v>9.7439526380214317E-2</v>
      </c>
      <c r="AB438" s="4">
        <v>0</v>
      </c>
      <c r="AC438" s="4">
        <v>1</v>
      </c>
      <c r="AD438" s="4">
        <v>1</v>
      </c>
      <c r="AE438" s="4"/>
      <c r="AF438" s="4"/>
      <c r="AG438" s="4"/>
      <c r="AH438" s="4"/>
    </row>
    <row r="439" spans="1:34" x14ac:dyDescent="0.3">
      <c r="A439" s="1">
        <v>45224</v>
      </c>
      <c r="B439" s="7">
        <v>3.7977588999999999E-2</v>
      </c>
      <c r="C439" s="7">
        <v>3.6174918E-2</v>
      </c>
      <c r="D439" s="7">
        <v>3.8977312E-2</v>
      </c>
      <c r="E439" s="7">
        <v>5.4296779000000003E-2</v>
      </c>
      <c r="F439" s="7">
        <v>3.4336209999999999E-2</v>
      </c>
      <c r="G439" s="7">
        <v>3.4642058000000003E-2</v>
      </c>
      <c r="H439" s="7">
        <v>7.7015670999999994E-2</v>
      </c>
      <c r="I439" s="7">
        <v>5.3501722000000002E-2</v>
      </c>
      <c r="J439" s="7">
        <v>7.1409453999999997E-2</v>
      </c>
      <c r="K439" s="7">
        <v>3.2444431000000003E-2</v>
      </c>
      <c r="L439" s="7">
        <v>7.2912598999999995E-2</v>
      </c>
      <c r="M439" s="7">
        <v>5.7394295999999997E-2</v>
      </c>
      <c r="N439" s="7">
        <v>6.0213506E-2</v>
      </c>
      <c r="O439" s="7">
        <v>3.7014340999999999E-2</v>
      </c>
      <c r="P439" s="7">
        <v>9.5512562999999995E-2</v>
      </c>
      <c r="Q439" s="7">
        <v>4.6989153999999998E-2</v>
      </c>
      <c r="R439" s="7">
        <v>7.0875586000000004E-2</v>
      </c>
      <c r="S439" s="7">
        <v>3.2270709000000002E-2</v>
      </c>
      <c r="T439" s="7">
        <v>0.104972025</v>
      </c>
      <c r="U439" s="7">
        <v>4.4552527000000001E-2</v>
      </c>
      <c r="V439" s="7">
        <v>2.1537198373885551E-2</v>
      </c>
      <c r="W439" s="7">
        <v>0.13527670687654811</v>
      </c>
      <c r="X439" s="7">
        <v>0.1008695027147946</v>
      </c>
      <c r="Y439" s="7">
        <v>0.17739299914643283</v>
      </c>
      <c r="Z439" s="7">
        <v>0.13519807603301676</v>
      </c>
      <c r="AA439" s="7">
        <v>9.7539470836556341E-2</v>
      </c>
      <c r="AB439" s="4">
        <v>0</v>
      </c>
      <c r="AC439" s="4">
        <v>1</v>
      </c>
      <c r="AD439" s="4">
        <v>1</v>
      </c>
      <c r="AE439" s="4"/>
      <c r="AF439" s="4"/>
      <c r="AG439" s="4"/>
      <c r="AH439" s="4"/>
    </row>
    <row r="440" spans="1:34" x14ac:dyDescent="0.3">
      <c r="A440" s="1">
        <v>45225</v>
      </c>
      <c r="B440" s="7">
        <v>0.109278694</v>
      </c>
      <c r="C440" s="7">
        <v>4.2565993000000003E-2</v>
      </c>
      <c r="D440" s="7">
        <v>9.5234505999999997E-2</v>
      </c>
      <c r="E440" s="7">
        <v>7.6531676000000007E-2</v>
      </c>
      <c r="F440" s="7">
        <v>3.7977588999999999E-2</v>
      </c>
      <c r="G440" s="7">
        <v>3.6174918E-2</v>
      </c>
      <c r="H440" s="7">
        <v>3.8977312E-2</v>
      </c>
      <c r="I440" s="7">
        <v>5.4296779000000003E-2</v>
      </c>
      <c r="J440" s="7">
        <v>3.4336209999999999E-2</v>
      </c>
      <c r="K440" s="7">
        <v>3.4642058000000003E-2</v>
      </c>
      <c r="L440" s="7">
        <v>7.7015670999999994E-2</v>
      </c>
      <c r="M440" s="7">
        <v>5.3501722000000002E-2</v>
      </c>
      <c r="N440" s="7">
        <v>7.1409453999999997E-2</v>
      </c>
      <c r="O440" s="7">
        <v>3.2444431000000003E-2</v>
      </c>
      <c r="P440" s="7">
        <v>7.2912598999999995E-2</v>
      </c>
      <c r="Q440" s="7">
        <v>5.7394295999999997E-2</v>
      </c>
      <c r="R440" s="7">
        <v>6.0213506E-2</v>
      </c>
      <c r="S440" s="7">
        <v>3.7014340999999999E-2</v>
      </c>
      <c r="T440" s="7">
        <v>9.5512562999999995E-2</v>
      </c>
      <c r="U440" s="7">
        <v>4.6989153999999998E-2</v>
      </c>
      <c r="V440" s="7">
        <v>-6.5630283676373621E-2</v>
      </c>
      <c r="W440" s="7">
        <v>0.1411163702748098</v>
      </c>
      <c r="X440" s="7">
        <v>0.10550491703565655</v>
      </c>
      <c r="Y440" s="7">
        <v>0.17739299914643283</v>
      </c>
      <c r="Z440" s="7">
        <v>0.1384314003792998</v>
      </c>
      <c r="AA440" s="7">
        <v>0.10092263705717419</v>
      </c>
      <c r="AB440" s="4">
        <v>1</v>
      </c>
      <c r="AC440" s="4">
        <v>0</v>
      </c>
      <c r="AD440" s="4">
        <v>1</v>
      </c>
      <c r="AE440" s="4"/>
      <c r="AF440" s="4"/>
      <c r="AG440" s="4"/>
      <c r="AH440" s="4"/>
    </row>
    <row r="441" spans="1:34" x14ac:dyDescent="0.3">
      <c r="A441" s="1">
        <v>45226</v>
      </c>
      <c r="B441" s="7">
        <v>8.0163269999999995E-2</v>
      </c>
      <c r="C441" s="7">
        <v>3.2606661000000002E-2</v>
      </c>
      <c r="D441" s="7">
        <v>0.109678582</v>
      </c>
      <c r="E441" s="7">
        <v>4.1639290000000002E-2</v>
      </c>
      <c r="F441" s="7">
        <v>0.109278694</v>
      </c>
      <c r="G441" s="7">
        <v>4.2565993000000003E-2</v>
      </c>
      <c r="H441" s="7">
        <v>9.5234505999999997E-2</v>
      </c>
      <c r="I441" s="7">
        <v>7.6531676000000007E-2</v>
      </c>
      <c r="J441" s="7">
        <v>3.7977588999999999E-2</v>
      </c>
      <c r="K441" s="7">
        <v>3.6174918E-2</v>
      </c>
      <c r="L441" s="7">
        <v>3.8977312E-2</v>
      </c>
      <c r="M441" s="7">
        <v>5.4296779000000003E-2</v>
      </c>
      <c r="N441" s="7">
        <v>3.4336209999999999E-2</v>
      </c>
      <c r="O441" s="7">
        <v>3.4642058000000003E-2</v>
      </c>
      <c r="P441" s="7">
        <v>7.7015670999999994E-2</v>
      </c>
      <c r="Q441" s="7">
        <v>5.3501722000000002E-2</v>
      </c>
      <c r="R441" s="7">
        <v>7.1409453999999997E-2</v>
      </c>
      <c r="S441" s="7">
        <v>3.2444431000000003E-2</v>
      </c>
      <c r="T441" s="7">
        <v>7.2912598999999995E-2</v>
      </c>
      <c r="U441" s="7">
        <v>5.7394295999999997E-2</v>
      </c>
      <c r="V441" s="7">
        <v>2.1537198373885551E-2</v>
      </c>
      <c r="W441" s="7">
        <v>0.14129919887876827</v>
      </c>
      <c r="X441" s="7">
        <v>0.10655428363796532</v>
      </c>
      <c r="Y441" s="7">
        <v>0.17739299914643283</v>
      </c>
      <c r="Z441" s="7">
        <v>0.1384472947350214</v>
      </c>
      <c r="AA441" s="7">
        <v>0.10094029081355284</v>
      </c>
      <c r="AB441" s="4">
        <v>1</v>
      </c>
      <c r="AC441" s="4">
        <v>0</v>
      </c>
      <c r="AD441" s="4">
        <v>1</v>
      </c>
      <c r="AE441" s="4"/>
      <c r="AF441" s="4"/>
      <c r="AG441" s="4"/>
      <c r="AH441" s="4"/>
    </row>
    <row r="442" spans="1:34" x14ac:dyDescent="0.3">
      <c r="A442" s="1">
        <v>45229</v>
      </c>
      <c r="B442" s="7">
        <v>7.0782677000000002E-2</v>
      </c>
      <c r="C442" s="7">
        <v>3.9629187000000003E-2</v>
      </c>
      <c r="D442" s="7">
        <v>9.1745161000000006E-2</v>
      </c>
      <c r="E442" s="7">
        <v>5.1940319999999998E-2</v>
      </c>
      <c r="F442" s="7">
        <v>8.0163269999999995E-2</v>
      </c>
      <c r="G442" s="7">
        <v>3.2606661000000002E-2</v>
      </c>
      <c r="H442" s="7">
        <v>0.109678582</v>
      </c>
      <c r="I442" s="7">
        <v>4.1639290000000002E-2</v>
      </c>
      <c r="J442" s="7">
        <v>0.109278694</v>
      </c>
      <c r="K442" s="7">
        <v>4.2565993000000003E-2</v>
      </c>
      <c r="L442" s="7">
        <v>9.5234505999999997E-2</v>
      </c>
      <c r="M442" s="7">
        <v>7.6531676000000007E-2</v>
      </c>
      <c r="N442" s="7">
        <v>3.7977588999999999E-2</v>
      </c>
      <c r="O442" s="7">
        <v>3.6174918E-2</v>
      </c>
      <c r="P442" s="7">
        <v>3.8977312E-2</v>
      </c>
      <c r="Q442" s="7">
        <v>5.4296779000000003E-2</v>
      </c>
      <c r="R442" s="7">
        <v>3.4336209999999999E-2</v>
      </c>
      <c r="S442" s="7">
        <v>3.4642058000000003E-2</v>
      </c>
      <c r="T442" s="7">
        <v>7.7015670999999994E-2</v>
      </c>
      <c r="U442" s="7">
        <v>5.3501722000000002E-2</v>
      </c>
      <c r="V442" s="7">
        <v>2.1537198373885551E-2</v>
      </c>
      <c r="W442" s="7">
        <v>0.14081661020664768</v>
      </c>
      <c r="X442" s="7">
        <v>0.10598289027225152</v>
      </c>
      <c r="Y442" s="7">
        <v>0.15237483868634535</v>
      </c>
      <c r="Z442" s="7">
        <v>0.13844048769965153</v>
      </c>
      <c r="AA442" s="7">
        <v>0.10089390340120219</v>
      </c>
      <c r="AB442" s="4">
        <v>1</v>
      </c>
      <c r="AC442" s="4">
        <v>0</v>
      </c>
      <c r="AD442" s="4">
        <v>1</v>
      </c>
      <c r="AE442" s="4"/>
      <c r="AF442" s="4"/>
      <c r="AG442" s="4"/>
      <c r="AH442" s="4"/>
    </row>
    <row r="443" spans="1:34" x14ac:dyDescent="0.3">
      <c r="A443" s="1">
        <v>45230</v>
      </c>
      <c r="B443" s="7">
        <v>8.0457349999999997E-2</v>
      </c>
      <c r="C443" s="7">
        <v>4.1818676999999999E-2</v>
      </c>
      <c r="D443" s="7">
        <v>4.9919650000000003E-2</v>
      </c>
      <c r="E443" s="7">
        <v>6.0109804000000003E-2</v>
      </c>
      <c r="F443" s="7">
        <v>7.0782677000000002E-2</v>
      </c>
      <c r="G443" s="7">
        <v>3.9629187000000003E-2</v>
      </c>
      <c r="H443" s="7">
        <v>9.1745161000000006E-2</v>
      </c>
      <c r="I443" s="7">
        <v>5.1940319999999998E-2</v>
      </c>
      <c r="J443" s="7">
        <v>8.0163269999999995E-2</v>
      </c>
      <c r="K443" s="7">
        <v>3.2606661000000002E-2</v>
      </c>
      <c r="L443" s="7">
        <v>0.109678582</v>
      </c>
      <c r="M443" s="7">
        <v>4.1639290000000002E-2</v>
      </c>
      <c r="N443" s="7">
        <v>0.109278694</v>
      </c>
      <c r="O443" s="7">
        <v>4.2565993000000003E-2</v>
      </c>
      <c r="P443" s="7">
        <v>9.5234505999999997E-2</v>
      </c>
      <c r="Q443" s="7">
        <v>7.6531676000000007E-2</v>
      </c>
      <c r="R443" s="7">
        <v>3.7977588999999999E-2</v>
      </c>
      <c r="S443" s="7">
        <v>3.6174918E-2</v>
      </c>
      <c r="T443" s="7">
        <v>3.8977312E-2</v>
      </c>
      <c r="U443" s="7">
        <v>5.4296779000000003E-2</v>
      </c>
      <c r="V443" s="7">
        <v>2.1537198373885551E-2</v>
      </c>
      <c r="W443" s="7">
        <v>0.13528919707990711</v>
      </c>
      <c r="X443" s="7">
        <v>0.10032456999883278</v>
      </c>
      <c r="Y443" s="7">
        <v>0.12865526869020594</v>
      </c>
      <c r="Z443" s="7">
        <v>0.13935496174866741</v>
      </c>
      <c r="AA443" s="7">
        <v>0.1012273573974555</v>
      </c>
      <c r="AB443" s="4">
        <v>1</v>
      </c>
      <c r="AC443" s="4">
        <v>0</v>
      </c>
      <c r="AD443" s="4">
        <v>1</v>
      </c>
      <c r="AE443" s="4"/>
      <c r="AF443" s="4"/>
      <c r="AG443" s="4"/>
      <c r="AH443" s="4"/>
    </row>
    <row r="444" spans="1:34" x14ac:dyDescent="0.3">
      <c r="A444" s="1">
        <v>45231</v>
      </c>
      <c r="B444" s="7">
        <v>5.1580770999999997E-2</v>
      </c>
      <c r="C444" s="7">
        <v>5.8151021999999997E-2</v>
      </c>
      <c r="D444" s="7">
        <v>5.6184062E-2</v>
      </c>
      <c r="E444" s="7">
        <v>7.0473332999999999E-2</v>
      </c>
      <c r="F444" s="7">
        <v>8.0457349999999997E-2</v>
      </c>
      <c r="G444" s="7">
        <v>4.1818676999999999E-2</v>
      </c>
      <c r="H444" s="7">
        <v>4.9919650000000003E-2</v>
      </c>
      <c r="I444" s="7">
        <v>6.0109804000000003E-2</v>
      </c>
      <c r="J444" s="7">
        <v>7.0782677000000002E-2</v>
      </c>
      <c r="K444" s="7">
        <v>3.9629187000000003E-2</v>
      </c>
      <c r="L444" s="7">
        <v>9.1745161000000006E-2</v>
      </c>
      <c r="M444" s="7">
        <v>5.1940319999999998E-2</v>
      </c>
      <c r="N444" s="7">
        <v>8.0163269999999995E-2</v>
      </c>
      <c r="O444" s="7">
        <v>3.2606661000000002E-2</v>
      </c>
      <c r="P444" s="7">
        <v>0.109678582</v>
      </c>
      <c r="Q444" s="7">
        <v>4.1639290000000002E-2</v>
      </c>
      <c r="R444" s="7">
        <v>0.109278694</v>
      </c>
      <c r="S444" s="7">
        <v>4.2565993000000003E-2</v>
      </c>
      <c r="T444" s="7">
        <v>9.5234505999999997E-2</v>
      </c>
      <c r="U444" s="7">
        <v>7.6531676000000007E-2</v>
      </c>
      <c r="V444" s="7">
        <v>7.7661606113915052E-2</v>
      </c>
      <c r="W444" s="7">
        <v>0.1354843250194194</v>
      </c>
      <c r="X444" s="7">
        <v>0.10103913866357704</v>
      </c>
      <c r="Y444" s="7">
        <v>0.12865526869020594</v>
      </c>
      <c r="Z444" s="7">
        <v>0.13937744052683335</v>
      </c>
      <c r="AA444" s="7">
        <v>0.10127288402139135</v>
      </c>
      <c r="AB444" s="4">
        <v>1</v>
      </c>
      <c r="AC444" s="4">
        <v>0</v>
      </c>
      <c r="AD444" s="4">
        <v>1</v>
      </c>
      <c r="AE444" s="4"/>
      <c r="AF444" s="4"/>
      <c r="AG444" s="4"/>
      <c r="AH444" s="4"/>
    </row>
    <row r="445" spans="1:34" x14ac:dyDescent="0.3">
      <c r="A445" s="1">
        <v>45232</v>
      </c>
      <c r="B445" s="7">
        <v>7.7072258000000005E-2</v>
      </c>
      <c r="C445" s="7">
        <v>5.1266208000000001E-2</v>
      </c>
      <c r="D445" s="7">
        <v>0.14694258199999999</v>
      </c>
      <c r="E445" s="7">
        <v>5.4554419999999999E-2</v>
      </c>
      <c r="F445" s="7">
        <v>5.1580770999999997E-2</v>
      </c>
      <c r="G445" s="7">
        <v>5.8151021999999997E-2</v>
      </c>
      <c r="H445" s="7">
        <v>5.6184062E-2</v>
      </c>
      <c r="I445" s="7">
        <v>7.0473332999999999E-2</v>
      </c>
      <c r="J445" s="7">
        <v>8.0457349999999997E-2</v>
      </c>
      <c r="K445" s="7">
        <v>4.1818676999999999E-2</v>
      </c>
      <c r="L445" s="7">
        <v>4.9919650000000003E-2</v>
      </c>
      <c r="M445" s="7">
        <v>6.0109804000000003E-2</v>
      </c>
      <c r="N445" s="7">
        <v>7.0782677000000002E-2</v>
      </c>
      <c r="O445" s="7">
        <v>3.9629187000000003E-2</v>
      </c>
      <c r="P445" s="7">
        <v>9.1745161000000006E-2</v>
      </c>
      <c r="Q445" s="7">
        <v>5.1940319999999998E-2</v>
      </c>
      <c r="R445" s="7">
        <v>8.0163269999999995E-2</v>
      </c>
      <c r="S445" s="7">
        <v>3.2606661000000002E-2</v>
      </c>
      <c r="T445" s="7">
        <v>0.109678582</v>
      </c>
      <c r="U445" s="7">
        <v>4.1639290000000002E-2</v>
      </c>
      <c r="V445" s="7">
        <v>7.7661606113915052E-2</v>
      </c>
      <c r="W445" s="7">
        <v>0.14611931508042553</v>
      </c>
      <c r="X445" s="7">
        <v>0.10395850080166615</v>
      </c>
      <c r="Y445" s="7">
        <v>0.15237483868634535</v>
      </c>
      <c r="Z445" s="7">
        <v>0.14417099650920348</v>
      </c>
      <c r="AA445" s="7">
        <v>0.1031205094268861</v>
      </c>
      <c r="AB445" s="4">
        <v>1</v>
      </c>
      <c r="AC445" s="4">
        <v>0</v>
      </c>
      <c r="AD445" s="4">
        <v>1</v>
      </c>
      <c r="AE445" s="4"/>
      <c r="AF445" s="4"/>
      <c r="AG445" s="4"/>
      <c r="AH445" s="4"/>
    </row>
    <row r="446" spans="1:34" x14ac:dyDescent="0.3">
      <c r="A446" s="1">
        <v>45233</v>
      </c>
      <c r="B446" s="7">
        <v>7.3340077000000004E-2</v>
      </c>
      <c r="C446" s="7">
        <v>4.4214122000000002E-2</v>
      </c>
      <c r="D446" s="7">
        <v>0.12278349400000001</v>
      </c>
      <c r="E446" s="7">
        <v>7.1990967000000003E-2</v>
      </c>
      <c r="F446" s="7">
        <v>7.7072258000000005E-2</v>
      </c>
      <c r="G446" s="7">
        <v>5.1266208000000001E-2</v>
      </c>
      <c r="H446" s="7">
        <v>0.14694258199999999</v>
      </c>
      <c r="I446" s="7">
        <v>5.4554419999999999E-2</v>
      </c>
      <c r="J446" s="7">
        <v>5.1580770999999997E-2</v>
      </c>
      <c r="K446" s="7">
        <v>5.8151021999999997E-2</v>
      </c>
      <c r="L446" s="7">
        <v>5.6184062E-2</v>
      </c>
      <c r="M446" s="7">
        <v>7.0473332999999999E-2</v>
      </c>
      <c r="N446" s="7">
        <v>8.0457349999999997E-2</v>
      </c>
      <c r="O446" s="7">
        <v>4.1818676999999999E-2</v>
      </c>
      <c r="P446" s="7">
        <v>4.9919650000000003E-2</v>
      </c>
      <c r="Q446" s="7">
        <v>6.0109804000000003E-2</v>
      </c>
      <c r="R446" s="7">
        <v>7.0782677000000002E-2</v>
      </c>
      <c r="S446" s="7">
        <v>3.9629187000000003E-2</v>
      </c>
      <c r="T446" s="7">
        <v>9.1745161000000006E-2</v>
      </c>
      <c r="U446" s="7">
        <v>5.1940319999999998E-2</v>
      </c>
      <c r="V446" s="7">
        <v>0.15367342915029342</v>
      </c>
      <c r="W446" s="7">
        <v>0.1462764561462617</v>
      </c>
      <c r="X446" s="7">
        <v>0.10506189748208926</v>
      </c>
      <c r="Y446" s="7">
        <v>0.17739299914643283</v>
      </c>
      <c r="Z446" s="7">
        <v>0.14380028176753687</v>
      </c>
      <c r="AA446" s="7">
        <v>0.10329001829382409</v>
      </c>
      <c r="AB446" s="4">
        <v>0</v>
      </c>
      <c r="AC446" s="4">
        <v>0</v>
      </c>
      <c r="AD446" s="4">
        <v>0</v>
      </c>
      <c r="AE446" s="4"/>
      <c r="AF446" s="4"/>
      <c r="AG446" s="4"/>
      <c r="AH446" s="4"/>
    </row>
    <row r="447" spans="1:34" x14ac:dyDescent="0.3">
      <c r="A447" s="1">
        <v>45236</v>
      </c>
      <c r="B447" s="7">
        <v>7.9885677000000002E-2</v>
      </c>
      <c r="C447" s="7">
        <v>6.6305669999999997E-2</v>
      </c>
      <c r="D447" s="7">
        <v>0.112995019</v>
      </c>
      <c r="E447" s="7">
        <v>5.0862750999999998E-2</v>
      </c>
      <c r="F447" s="7">
        <v>7.3340077000000004E-2</v>
      </c>
      <c r="G447" s="7">
        <v>4.4214122000000002E-2</v>
      </c>
      <c r="H447" s="7">
        <v>0.12278349400000001</v>
      </c>
      <c r="I447" s="7">
        <v>7.1990967000000003E-2</v>
      </c>
      <c r="J447" s="7">
        <v>7.7072258000000005E-2</v>
      </c>
      <c r="K447" s="7">
        <v>5.1266208000000001E-2</v>
      </c>
      <c r="L447" s="7">
        <v>0.14694258199999999</v>
      </c>
      <c r="M447" s="7">
        <v>5.4554419999999999E-2</v>
      </c>
      <c r="N447" s="7">
        <v>5.1580770999999997E-2</v>
      </c>
      <c r="O447" s="7">
        <v>5.8151021999999997E-2</v>
      </c>
      <c r="P447" s="7">
        <v>5.6184062E-2</v>
      </c>
      <c r="Q447" s="7">
        <v>7.0473332999999999E-2</v>
      </c>
      <c r="R447" s="7">
        <v>8.0457349999999997E-2</v>
      </c>
      <c r="S447" s="7">
        <v>4.1818676999999999E-2</v>
      </c>
      <c r="T447" s="7">
        <v>4.9919650000000003E-2</v>
      </c>
      <c r="U447" s="7">
        <v>6.0109804000000003E-2</v>
      </c>
      <c r="V447" s="7">
        <v>0.19896146475163615</v>
      </c>
      <c r="W447" s="7">
        <v>0.1468454227671587</v>
      </c>
      <c r="X447" s="7">
        <v>0.10597178461129347</v>
      </c>
      <c r="Y447" s="7">
        <v>0.19896146475163615</v>
      </c>
      <c r="Z447" s="7">
        <v>0.14398738644942921</v>
      </c>
      <c r="AA447" s="7">
        <v>0.10374839451226427</v>
      </c>
      <c r="AB447" s="4">
        <v>0</v>
      </c>
      <c r="AC447" s="4">
        <v>0</v>
      </c>
      <c r="AD447" s="4">
        <v>0</v>
      </c>
      <c r="AE447" s="4"/>
      <c r="AF447" s="4"/>
      <c r="AG447" s="4"/>
      <c r="AH447" s="4"/>
    </row>
    <row r="448" spans="1:34" x14ac:dyDescent="0.3">
      <c r="A448" s="1">
        <v>45237</v>
      </c>
      <c r="B448" s="7">
        <v>5.1354361000000001E-2</v>
      </c>
      <c r="C448" s="7">
        <v>5.1059475999999999E-2</v>
      </c>
      <c r="D448" s="7">
        <v>9.6793213000000003E-2</v>
      </c>
      <c r="E448" s="7">
        <v>6.2250967999999997E-2</v>
      </c>
      <c r="F448" s="7">
        <v>7.9885677000000002E-2</v>
      </c>
      <c r="G448" s="7">
        <v>6.6305669999999997E-2</v>
      </c>
      <c r="H448" s="7">
        <v>0.112995019</v>
      </c>
      <c r="I448" s="7">
        <v>5.0862750999999998E-2</v>
      </c>
      <c r="J448" s="7">
        <v>7.3340077000000004E-2</v>
      </c>
      <c r="K448" s="7">
        <v>4.4214122000000002E-2</v>
      </c>
      <c r="L448" s="7">
        <v>0.12278349400000001</v>
      </c>
      <c r="M448" s="7">
        <v>7.1990967000000003E-2</v>
      </c>
      <c r="N448" s="7">
        <v>7.7072258000000005E-2</v>
      </c>
      <c r="O448" s="7">
        <v>5.1266208000000001E-2</v>
      </c>
      <c r="P448" s="7">
        <v>0.14694258199999999</v>
      </c>
      <c r="Q448" s="7">
        <v>5.4554419999999999E-2</v>
      </c>
      <c r="R448" s="7">
        <v>5.1580770999999997E-2</v>
      </c>
      <c r="S448" s="7">
        <v>5.8151021999999997E-2</v>
      </c>
      <c r="T448" s="7">
        <v>5.6184062E-2</v>
      </c>
      <c r="U448" s="7">
        <v>7.0473332999999999E-2</v>
      </c>
      <c r="V448" s="7">
        <v>0.2164743050820524</v>
      </c>
      <c r="W448" s="7">
        <v>0.14274927216141853</v>
      </c>
      <c r="X448" s="7">
        <v>0.10302640036482576</v>
      </c>
      <c r="Y448" s="7">
        <v>0.2164743050820524</v>
      </c>
      <c r="Z448" s="7">
        <v>0.14398622636740629</v>
      </c>
      <c r="AA448" s="7">
        <v>0.10397760255231615</v>
      </c>
      <c r="AB448" s="4">
        <v>0</v>
      </c>
      <c r="AC448" s="4">
        <v>0</v>
      </c>
      <c r="AD448" s="4">
        <v>0</v>
      </c>
      <c r="AE448" s="4"/>
      <c r="AF448" s="4"/>
      <c r="AG448" s="4"/>
      <c r="AH448" s="4"/>
    </row>
    <row r="449" spans="1:34" x14ac:dyDescent="0.3">
      <c r="A449" s="1">
        <v>45238</v>
      </c>
      <c r="B449" s="7">
        <v>4.5251219000000002E-2</v>
      </c>
      <c r="C449" s="7">
        <v>6.4570016999999993E-2</v>
      </c>
      <c r="D449" s="7">
        <v>7.8077737999999994E-2</v>
      </c>
      <c r="E449" s="7">
        <v>6.1300731999999997E-2</v>
      </c>
      <c r="F449" s="7">
        <v>5.1354361000000001E-2</v>
      </c>
      <c r="G449" s="7">
        <v>5.1059475999999999E-2</v>
      </c>
      <c r="H449" s="7">
        <v>9.6793213000000003E-2</v>
      </c>
      <c r="I449" s="7">
        <v>6.2250967999999997E-2</v>
      </c>
      <c r="J449" s="7">
        <v>7.9885677000000002E-2</v>
      </c>
      <c r="K449" s="7">
        <v>6.6305669999999997E-2</v>
      </c>
      <c r="L449" s="7">
        <v>0.112995019</v>
      </c>
      <c r="M449" s="7">
        <v>5.0862750999999998E-2</v>
      </c>
      <c r="N449" s="7">
        <v>7.3340077000000004E-2</v>
      </c>
      <c r="O449" s="7">
        <v>4.4214122000000002E-2</v>
      </c>
      <c r="P449" s="7">
        <v>0.12278349400000001</v>
      </c>
      <c r="Q449" s="7">
        <v>7.1990967000000003E-2</v>
      </c>
      <c r="R449" s="7">
        <v>7.7072258000000005E-2</v>
      </c>
      <c r="S449" s="7">
        <v>5.1266208000000001E-2</v>
      </c>
      <c r="T449" s="7">
        <v>0.14694258199999999</v>
      </c>
      <c r="U449" s="7">
        <v>5.4554419999999999E-2</v>
      </c>
      <c r="V449" s="7">
        <v>0.24555251971800129</v>
      </c>
      <c r="W449" s="7">
        <v>0.14288014019116341</v>
      </c>
      <c r="X449" s="7">
        <v>0.10380299657071415</v>
      </c>
      <c r="Y449" s="7">
        <v>0.2164743050820524</v>
      </c>
      <c r="Z449" s="7">
        <v>0.14247138299995352</v>
      </c>
      <c r="AA449" s="7">
        <v>0.10318458795251031</v>
      </c>
      <c r="AB449" s="4">
        <v>1</v>
      </c>
      <c r="AC449" s="4">
        <v>0</v>
      </c>
      <c r="AD449" s="4">
        <v>1</v>
      </c>
      <c r="AE449" s="4"/>
      <c r="AF449" s="4"/>
      <c r="AG449" s="4"/>
      <c r="AH449" s="4"/>
    </row>
    <row r="450" spans="1:34" x14ac:dyDescent="0.3">
      <c r="A450" s="1">
        <v>45239</v>
      </c>
      <c r="B450" s="7">
        <v>0.11705059800000001</v>
      </c>
      <c r="C450" s="7">
        <v>3.3322518000000002E-2</v>
      </c>
      <c r="D450" s="7">
        <v>0.18471032200000001</v>
      </c>
      <c r="E450" s="7">
        <v>0.117242653</v>
      </c>
      <c r="F450" s="7">
        <v>4.5251219000000002E-2</v>
      </c>
      <c r="G450" s="7">
        <v>6.4570016999999993E-2</v>
      </c>
      <c r="H450" s="7">
        <v>7.8077737999999994E-2</v>
      </c>
      <c r="I450" s="7">
        <v>6.1300731999999997E-2</v>
      </c>
      <c r="J450" s="7">
        <v>5.1354361000000001E-2</v>
      </c>
      <c r="K450" s="7">
        <v>5.1059475999999999E-2</v>
      </c>
      <c r="L450" s="7">
        <v>9.6793213000000003E-2</v>
      </c>
      <c r="M450" s="7">
        <v>6.2250967999999997E-2</v>
      </c>
      <c r="N450" s="7">
        <v>7.9885677000000002E-2</v>
      </c>
      <c r="O450" s="7">
        <v>6.6305669999999997E-2</v>
      </c>
      <c r="P450" s="7">
        <v>0.112995019</v>
      </c>
      <c r="Q450" s="7">
        <v>5.0862750999999998E-2</v>
      </c>
      <c r="R450" s="7">
        <v>7.3340077000000004E-2</v>
      </c>
      <c r="S450" s="7">
        <v>4.4214122000000002E-2</v>
      </c>
      <c r="T450" s="7">
        <v>0.12278349400000001</v>
      </c>
      <c r="U450" s="7">
        <v>7.1990967000000003E-2</v>
      </c>
      <c r="V450" s="7">
        <v>0.24555251971800129</v>
      </c>
      <c r="W450" s="7">
        <v>0.14166582691779567</v>
      </c>
      <c r="X450" s="7">
        <v>0.10342625453342746</v>
      </c>
      <c r="Y450" s="7">
        <v>0.19896146475163615</v>
      </c>
      <c r="Z450" s="7">
        <v>0.13987313441073651</v>
      </c>
      <c r="AA450" s="7">
        <v>0.10187967191695545</v>
      </c>
      <c r="AB450" s="4">
        <v>1</v>
      </c>
      <c r="AC450" s="4">
        <v>0</v>
      </c>
      <c r="AD450" s="4">
        <v>1</v>
      </c>
      <c r="AE450" s="4"/>
      <c r="AF450" s="4"/>
      <c r="AG450" s="4"/>
      <c r="AH450" s="4"/>
    </row>
    <row r="451" spans="1:34" x14ac:dyDescent="0.3">
      <c r="A451" s="1">
        <v>45240</v>
      </c>
      <c r="B451" s="7">
        <v>0.137495335</v>
      </c>
      <c r="C451" s="7">
        <v>5.2894489000000003E-2</v>
      </c>
      <c r="D451" s="7">
        <v>0.133077902</v>
      </c>
      <c r="E451" s="7">
        <v>6.3785135000000007E-2</v>
      </c>
      <c r="F451" s="7">
        <v>0.11705059800000001</v>
      </c>
      <c r="G451" s="7">
        <v>3.3322518000000002E-2</v>
      </c>
      <c r="H451" s="7">
        <v>0.18471032200000001</v>
      </c>
      <c r="I451" s="7">
        <v>0.117242653</v>
      </c>
      <c r="J451" s="7">
        <v>4.5251219000000002E-2</v>
      </c>
      <c r="K451" s="7">
        <v>6.4570016999999993E-2</v>
      </c>
      <c r="L451" s="7">
        <v>7.8077737999999994E-2</v>
      </c>
      <c r="M451" s="7">
        <v>6.1300731999999997E-2</v>
      </c>
      <c r="N451" s="7">
        <v>5.1354361000000001E-2</v>
      </c>
      <c r="O451" s="7">
        <v>5.1059475999999999E-2</v>
      </c>
      <c r="P451" s="7">
        <v>9.6793213000000003E-2</v>
      </c>
      <c r="Q451" s="7">
        <v>6.2250967999999997E-2</v>
      </c>
      <c r="R451" s="7">
        <v>7.9885677000000002E-2</v>
      </c>
      <c r="S451" s="7">
        <v>6.6305669999999997E-2</v>
      </c>
      <c r="T451" s="7">
        <v>0.112995019</v>
      </c>
      <c r="U451" s="7">
        <v>5.0862750999999998E-2</v>
      </c>
      <c r="V451" s="7">
        <v>0.2164743050820524</v>
      </c>
      <c r="W451" s="7">
        <v>0.14174174866319386</v>
      </c>
      <c r="X451" s="7">
        <v>0.1026464190594373</v>
      </c>
      <c r="Y451" s="7">
        <v>0.17739299914643283</v>
      </c>
      <c r="Z451" s="7">
        <v>0.13879469944510919</v>
      </c>
      <c r="AA451" s="7">
        <v>0.1008987970031697</v>
      </c>
      <c r="AB451" s="4">
        <v>1</v>
      </c>
      <c r="AC451" s="4">
        <v>0</v>
      </c>
      <c r="AD451" s="4">
        <v>1</v>
      </c>
      <c r="AE451" s="4"/>
      <c r="AF451" s="4"/>
      <c r="AG451" s="4"/>
      <c r="AH451" s="4"/>
    </row>
    <row r="452" spans="1:34" x14ac:dyDescent="0.3">
      <c r="A452" s="1">
        <v>45243</v>
      </c>
      <c r="B452" s="7">
        <v>0.19219855999999999</v>
      </c>
      <c r="C452" s="7">
        <v>8.9874564000000004E-2</v>
      </c>
      <c r="D452" s="7">
        <v>0.18640330099999999</v>
      </c>
      <c r="E452" s="7">
        <v>0.14438710599999999</v>
      </c>
      <c r="F452" s="7">
        <v>0.137495335</v>
      </c>
      <c r="G452" s="7">
        <v>5.2894489000000003E-2</v>
      </c>
      <c r="H452" s="7">
        <v>0.133077902</v>
      </c>
      <c r="I452" s="7">
        <v>6.3785135000000007E-2</v>
      </c>
      <c r="J452" s="7">
        <v>0.11705059800000001</v>
      </c>
      <c r="K452" s="7">
        <v>3.3322518000000002E-2</v>
      </c>
      <c r="L452" s="7">
        <v>0.18471032200000001</v>
      </c>
      <c r="M452" s="7">
        <v>0.117242653</v>
      </c>
      <c r="N452" s="7">
        <v>4.5251219000000002E-2</v>
      </c>
      <c r="O452" s="7">
        <v>6.4570016999999993E-2</v>
      </c>
      <c r="P452" s="7">
        <v>7.8077737999999994E-2</v>
      </c>
      <c r="Q452" s="7">
        <v>6.1300731999999997E-2</v>
      </c>
      <c r="R452" s="7">
        <v>5.1354361000000001E-2</v>
      </c>
      <c r="S452" s="7">
        <v>5.1059475999999999E-2</v>
      </c>
      <c r="T452" s="7">
        <v>9.6793213000000003E-2</v>
      </c>
      <c r="U452" s="7">
        <v>6.2250967999999997E-2</v>
      </c>
      <c r="V452" s="7">
        <v>0.24555251971800129</v>
      </c>
      <c r="W452" s="7">
        <v>0.14232023390862408</v>
      </c>
      <c r="X452" s="7">
        <v>0.1036184316355135</v>
      </c>
      <c r="Y452" s="7">
        <v>0.17739299914643283</v>
      </c>
      <c r="Z452" s="7">
        <v>0.13888493757655565</v>
      </c>
      <c r="AA452" s="7">
        <v>0.10097118990775651</v>
      </c>
      <c r="AB452" s="4">
        <v>1</v>
      </c>
      <c r="AC452" s="4">
        <v>0</v>
      </c>
      <c r="AD452" s="4">
        <v>1</v>
      </c>
      <c r="AE452" s="4"/>
      <c r="AF452" s="4"/>
      <c r="AG452" s="4"/>
      <c r="AH452" s="4"/>
    </row>
    <row r="453" spans="1:34" x14ac:dyDescent="0.3">
      <c r="A453" s="1">
        <v>45244</v>
      </c>
      <c r="B453" s="7">
        <v>0.21913989</v>
      </c>
      <c r="C453" s="7">
        <v>0.13174490699999999</v>
      </c>
      <c r="D453" s="7">
        <v>0.21116454200000001</v>
      </c>
      <c r="E453" s="7">
        <v>0.2156526</v>
      </c>
      <c r="F453" s="7">
        <v>0.19219855999999999</v>
      </c>
      <c r="G453" s="7">
        <v>8.9874564000000004E-2</v>
      </c>
      <c r="H453" s="7">
        <v>0.18640330099999999</v>
      </c>
      <c r="I453" s="7">
        <v>0.14438710599999999</v>
      </c>
      <c r="J453" s="7">
        <v>0.137495335</v>
      </c>
      <c r="K453" s="7">
        <v>5.2894489000000003E-2</v>
      </c>
      <c r="L453" s="7">
        <v>0.133077902</v>
      </c>
      <c r="M453" s="7">
        <v>6.3785135000000007E-2</v>
      </c>
      <c r="N453" s="7">
        <v>0.11705059800000001</v>
      </c>
      <c r="O453" s="7">
        <v>3.3322518000000002E-2</v>
      </c>
      <c r="P453" s="7">
        <v>0.18471032200000001</v>
      </c>
      <c r="Q453" s="7">
        <v>0.117242653</v>
      </c>
      <c r="R453" s="7">
        <v>4.5251219000000002E-2</v>
      </c>
      <c r="S453" s="7">
        <v>6.4570016999999993E-2</v>
      </c>
      <c r="T453" s="7">
        <v>7.8077737999999994E-2</v>
      </c>
      <c r="U453" s="7">
        <v>6.1300731999999997E-2</v>
      </c>
      <c r="V453" s="7">
        <v>0.24555251971800129</v>
      </c>
      <c r="W453" s="7">
        <v>0.14237202195705684</v>
      </c>
      <c r="X453" s="7">
        <v>0.10366673903856893</v>
      </c>
      <c r="Y453" s="7">
        <v>0.19896146475163615</v>
      </c>
      <c r="Z453" s="7">
        <v>0.13908378713071584</v>
      </c>
      <c r="AA453" s="7">
        <v>0.10133101965040865</v>
      </c>
      <c r="AB453" s="4">
        <v>1</v>
      </c>
      <c r="AC453" s="4">
        <v>0</v>
      </c>
      <c r="AD453" s="4">
        <v>1</v>
      </c>
      <c r="AE453" s="4"/>
      <c r="AF453" s="4"/>
      <c r="AG453" s="4"/>
      <c r="AH453" s="4"/>
    </row>
    <row r="454" spans="1:34" x14ac:dyDescent="0.3">
      <c r="A454" s="1">
        <v>45245</v>
      </c>
      <c r="B454" s="7">
        <v>1.8811993999999999E-2</v>
      </c>
      <c r="C454" s="7">
        <v>3.0622874000000001E-2</v>
      </c>
      <c r="D454" s="7">
        <v>4.1677868999999999E-2</v>
      </c>
      <c r="E454" s="7">
        <v>4.1672116000000002E-2</v>
      </c>
      <c r="F454" s="7">
        <v>0.21913989</v>
      </c>
      <c r="G454" s="7">
        <v>0.13174490699999999</v>
      </c>
      <c r="H454" s="7">
        <v>0.21116454200000001</v>
      </c>
      <c r="I454" s="7">
        <v>0.2156526</v>
      </c>
      <c r="J454" s="7">
        <v>0.19219855999999999</v>
      </c>
      <c r="K454" s="7">
        <v>8.9874564000000004E-2</v>
      </c>
      <c r="L454" s="7">
        <v>0.18640330099999999</v>
      </c>
      <c r="M454" s="7">
        <v>0.14438710599999999</v>
      </c>
      <c r="N454" s="7">
        <v>0.137495335</v>
      </c>
      <c r="O454" s="7">
        <v>5.2894489000000003E-2</v>
      </c>
      <c r="P454" s="7">
        <v>0.133077902</v>
      </c>
      <c r="Q454" s="7">
        <v>6.3785135000000007E-2</v>
      </c>
      <c r="R454" s="7">
        <v>0.11705059800000001</v>
      </c>
      <c r="S454" s="7">
        <v>3.3322518000000002E-2</v>
      </c>
      <c r="T454" s="7">
        <v>0.18471032200000001</v>
      </c>
      <c r="U454" s="7">
        <v>0.117242653</v>
      </c>
      <c r="V454" s="7">
        <v>0.44194584268602899</v>
      </c>
      <c r="W454" s="7">
        <v>0.14391569104494087</v>
      </c>
      <c r="X454" s="7">
        <v>0.10494422901664137</v>
      </c>
      <c r="Y454" s="7">
        <v>0.2164743050820524</v>
      </c>
      <c r="Z454" s="7">
        <v>0.14070648678424358</v>
      </c>
      <c r="AA454" s="7">
        <v>0.1023428849524488</v>
      </c>
      <c r="AB454" s="4">
        <v>0</v>
      </c>
      <c r="AC454" s="4">
        <v>0</v>
      </c>
      <c r="AD454" s="4">
        <v>0</v>
      </c>
      <c r="AE454" s="4"/>
      <c r="AF454" s="4"/>
      <c r="AG454" s="4"/>
      <c r="AH454" s="4"/>
    </row>
    <row r="455" spans="1:34" x14ac:dyDescent="0.3">
      <c r="A455" s="1">
        <v>45246</v>
      </c>
      <c r="B455" s="7">
        <v>5.7928654000000003E-2</v>
      </c>
      <c r="C455" s="7">
        <v>2.3320671000000001E-2</v>
      </c>
      <c r="D455" s="7">
        <v>7.9715103999999995E-2</v>
      </c>
      <c r="E455" s="7">
        <v>5.2200251000000003E-2</v>
      </c>
      <c r="F455" s="7">
        <v>1.8811993999999999E-2</v>
      </c>
      <c r="G455" s="7">
        <v>3.0622874000000001E-2</v>
      </c>
      <c r="H455" s="7">
        <v>4.1677868999999999E-2</v>
      </c>
      <c r="I455" s="7">
        <v>4.1672116000000002E-2</v>
      </c>
      <c r="J455" s="7">
        <v>0.21913989</v>
      </c>
      <c r="K455" s="7">
        <v>0.13174490699999999</v>
      </c>
      <c r="L455" s="7">
        <v>0.21116454200000001</v>
      </c>
      <c r="M455" s="7">
        <v>0.2156526</v>
      </c>
      <c r="N455" s="7">
        <v>0.19219855999999999</v>
      </c>
      <c r="O455" s="7">
        <v>8.9874564000000004E-2</v>
      </c>
      <c r="P455" s="7">
        <v>0.18640330099999999</v>
      </c>
      <c r="Q455" s="7">
        <v>0.14438710599999999</v>
      </c>
      <c r="R455" s="7">
        <v>0.137495335</v>
      </c>
      <c r="S455" s="7">
        <v>5.2894489000000003E-2</v>
      </c>
      <c r="T455" s="7">
        <v>0.133077902</v>
      </c>
      <c r="U455" s="7">
        <v>6.3785135000000007E-2</v>
      </c>
      <c r="V455" s="7">
        <v>0.6438928197066387</v>
      </c>
      <c r="W455" s="7">
        <v>0.1439817357635281</v>
      </c>
      <c r="X455" s="7">
        <v>0.105342408577702</v>
      </c>
      <c r="Y455" s="7">
        <v>0.24555251971800129</v>
      </c>
      <c r="Z455" s="7">
        <v>0.1407000071287568</v>
      </c>
      <c r="AA455" s="7">
        <v>0.10262798387834338</v>
      </c>
      <c r="AB455" s="4">
        <v>0</v>
      </c>
      <c r="AC455" s="4">
        <v>0</v>
      </c>
      <c r="AD455" s="4">
        <v>0</v>
      </c>
      <c r="AE455" s="4"/>
      <c r="AF455" s="4"/>
      <c r="AG455" s="4"/>
      <c r="AH455" s="4"/>
    </row>
    <row r="456" spans="1:34" x14ac:dyDescent="0.3">
      <c r="A456" s="1">
        <v>45247</v>
      </c>
      <c r="B456" s="7">
        <v>4.8747169E-2</v>
      </c>
      <c r="C456" s="7">
        <v>2.6017815E-2</v>
      </c>
      <c r="D456" s="7">
        <v>7.1647933999999996E-2</v>
      </c>
      <c r="E456" s="7">
        <v>3.9440905999999998E-2</v>
      </c>
      <c r="F456" s="7">
        <v>5.7928654000000003E-2</v>
      </c>
      <c r="G456" s="7">
        <v>2.3320671000000001E-2</v>
      </c>
      <c r="H456" s="7">
        <v>7.9715103999999995E-2</v>
      </c>
      <c r="I456" s="7">
        <v>5.2200251000000003E-2</v>
      </c>
      <c r="J456" s="7">
        <v>1.8811993999999999E-2</v>
      </c>
      <c r="K456" s="7">
        <v>3.0622874000000001E-2</v>
      </c>
      <c r="L456" s="7">
        <v>4.1677868999999999E-2</v>
      </c>
      <c r="M456" s="7">
        <v>4.1672116000000002E-2</v>
      </c>
      <c r="N456" s="7">
        <v>0.21913989</v>
      </c>
      <c r="O456" s="7">
        <v>0.13174490699999999</v>
      </c>
      <c r="P456" s="7">
        <v>0.21116454200000001</v>
      </c>
      <c r="Q456" s="7">
        <v>0.2156526</v>
      </c>
      <c r="R456" s="7">
        <v>0.19219855999999999</v>
      </c>
      <c r="S456" s="7">
        <v>8.9874564000000004E-2</v>
      </c>
      <c r="T456" s="7">
        <v>0.18640330099999999</v>
      </c>
      <c r="U456" s="7">
        <v>0.14438710599999999</v>
      </c>
      <c r="V456" s="7">
        <v>0.6438928197066387</v>
      </c>
      <c r="W456" s="7">
        <v>0.1438670472464546</v>
      </c>
      <c r="X456" s="7">
        <v>0.10513985770123284</v>
      </c>
      <c r="Y456" s="7">
        <v>0.24555251971800129</v>
      </c>
      <c r="Z456" s="7">
        <v>0.14007603019284365</v>
      </c>
      <c r="AA456" s="7">
        <v>0.10212773338962718</v>
      </c>
      <c r="AB456" s="4">
        <v>0</v>
      </c>
      <c r="AC456" s="4">
        <v>0</v>
      </c>
      <c r="AD456" s="4">
        <v>0</v>
      </c>
      <c r="AE456" s="4"/>
      <c r="AF456" s="4"/>
      <c r="AG456" s="4"/>
      <c r="AH456" s="4"/>
    </row>
    <row r="457" spans="1:34" x14ac:dyDescent="0.3">
      <c r="A457" s="1">
        <v>45250</v>
      </c>
      <c r="B457" s="7">
        <v>4.5401420999999997E-2</v>
      </c>
      <c r="C457" s="7">
        <v>2.7823359999999998E-2</v>
      </c>
      <c r="D457" s="7">
        <v>6.0109875E-2</v>
      </c>
      <c r="E457" s="7">
        <v>4.0429661999999998E-2</v>
      </c>
      <c r="F457" s="7">
        <v>4.8747169E-2</v>
      </c>
      <c r="G457" s="7">
        <v>2.6017815E-2</v>
      </c>
      <c r="H457" s="7">
        <v>7.1647933999999996E-2</v>
      </c>
      <c r="I457" s="7">
        <v>3.9440905999999998E-2</v>
      </c>
      <c r="J457" s="7">
        <v>5.7928654000000003E-2</v>
      </c>
      <c r="K457" s="7">
        <v>2.3320671000000001E-2</v>
      </c>
      <c r="L457" s="7">
        <v>7.9715103999999995E-2</v>
      </c>
      <c r="M457" s="7">
        <v>5.2200251000000003E-2</v>
      </c>
      <c r="N457" s="7">
        <v>1.8811993999999999E-2</v>
      </c>
      <c r="O457" s="7">
        <v>3.0622874000000001E-2</v>
      </c>
      <c r="P457" s="7">
        <v>4.1677868999999999E-2</v>
      </c>
      <c r="Q457" s="7">
        <v>4.1672116000000002E-2</v>
      </c>
      <c r="R457" s="7">
        <v>0.21913989</v>
      </c>
      <c r="S457" s="7">
        <v>0.13174490699999999</v>
      </c>
      <c r="T457" s="7">
        <v>0.21116454200000001</v>
      </c>
      <c r="U457" s="7">
        <v>0.2156526</v>
      </c>
      <c r="V457" s="7">
        <v>0.44194584268602899</v>
      </c>
      <c r="W457" s="7">
        <v>0.14252703846805384</v>
      </c>
      <c r="X457" s="7">
        <v>0.10376205615794915</v>
      </c>
      <c r="Y457" s="7">
        <v>0.2164743050820524</v>
      </c>
      <c r="Z457" s="7">
        <v>0.13831110048262976</v>
      </c>
      <c r="AA457" s="7">
        <v>0.10105158755013921</v>
      </c>
      <c r="AB457" s="4">
        <v>0</v>
      </c>
      <c r="AC457" s="4">
        <v>0</v>
      </c>
      <c r="AD457" s="4">
        <v>0</v>
      </c>
      <c r="AE457" s="4"/>
      <c r="AF457" s="4"/>
      <c r="AG457" s="4"/>
      <c r="AH457" s="4"/>
    </row>
    <row r="458" spans="1:34" x14ac:dyDescent="0.3">
      <c r="A458" s="1">
        <v>45251</v>
      </c>
      <c r="B458" s="7">
        <v>3.2333402999999997E-2</v>
      </c>
      <c r="C458" s="7">
        <v>4.4692796999999999E-2</v>
      </c>
      <c r="D458" s="7">
        <v>6.1047689000000002E-2</v>
      </c>
      <c r="E458" s="7">
        <v>3.9062223E-2</v>
      </c>
      <c r="F458" s="7">
        <v>4.5401420999999997E-2</v>
      </c>
      <c r="G458" s="7">
        <v>2.7823359999999998E-2</v>
      </c>
      <c r="H458" s="7">
        <v>6.0109875E-2</v>
      </c>
      <c r="I458" s="7">
        <v>4.0429661999999998E-2</v>
      </c>
      <c r="J458" s="7">
        <v>4.8747169E-2</v>
      </c>
      <c r="K458" s="7">
        <v>2.6017815E-2</v>
      </c>
      <c r="L458" s="7">
        <v>7.1647933999999996E-2</v>
      </c>
      <c r="M458" s="7">
        <v>3.9440905999999998E-2</v>
      </c>
      <c r="N458" s="7">
        <v>5.7928654000000003E-2</v>
      </c>
      <c r="O458" s="7">
        <v>2.3320671000000001E-2</v>
      </c>
      <c r="P458" s="7">
        <v>7.9715103999999995E-2</v>
      </c>
      <c r="Q458" s="7">
        <v>5.2200251000000003E-2</v>
      </c>
      <c r="R458" s="7">
        <v>1.8811993999999999E-2</v>
      </c>
      <c r="S458" s="7">
        <v>3.0622874000000001E-2</v>
      </c>
      <c r="T458" s="7">
        <v>4.1677868999999999E-2</v>
      </c>
      <c r="U458" s="7">
        <v>4.1672116000000002E-2</v>
      </c>
      <c r="V458" s="7">
        <v>0.44194584268602899</v>
      </c>
      <c r="W458" s="7">
        <v>0.14266339854955321</v>
      </c>
      <c r="X458" s="7">
        <v>0.10380790643114897</v>
      </c>
      <c r="Y458" s="7">
        <v>0.2164743050820524</v>
      </c>
      <c r="Z458" s="7">
        <v>0.13959618899794396</v>
      </c>
      <c r="AA458" s="7">
        <v>0.10166180144344455</v>
      </c>
      <c r="AB458" s="4">
        <v>0</v>
      </c>
      <c r="AC458" s="4">
        <v>0</v>
      </c>
      <c r="AD458" s="4">
        <v>0</v>
      </c>
      <c r="AE458" s="4"/>
      <c r="AF458" s="4"/>
      <c r="AG458" s="4"/>
      <c r="AH458" s="4"/>
    </row>
    <row r="459" spans="1:34" x14ac:dyDescent="0.3">
      <c r="A459" s="1">
        <v>45252</v>
      </c>
      <c r="B459" s="7">
        <v>2.6221583E-2</v>
      </c>
      <c r="C459" s="7">
        <v>2.9982018999999999E-2</v>
      </c>
      <c r="D459" s="7">
        <v>3.6220909000000003E-2</v>
      </c>
      <c r="E459" s="7">
        <v>4.1076296999999998E-2</v>
      </c>
      <c r="F459" s="7">
        <v>3.2333402999999997E-2</v>
      </c>
      <c r="G459" s="7">
        <v>4.4692796999999999E-2</v>
      </c>
      <c r="H459" s="7">
        <v>6.1047689000000002E-2</v>
      </c>
      <c r="I459" s="7">
        <v>3.9062223E-2</v>
      </c>
      <c r="J459" s="7">
        <v>4.5401420999999997E-2</v>
      </c>
      <c r="K459" s="7">
        <v>2.7823359999999998E-2</v>
      </c>
      <c r="L459" s="7">
        <v>6.0109875E-2</v>
      </c>
      <c r="M459" s="7">
        <v>4.0429661999999998E-2</v>
      </c>
      <c r="N459" s="7">
        <v>4.8747169E-2</v>
      </c>
      <c r="O459" s="7">
        <v>2.6017815E-2</v>
      </c>
      <c r="P459" s="7">
        <v>7.1647933999999996E-2</v>
      </c>
      <c r="Q459" s="7">
        <v>3.9440905999999998E-2</v>
      </c>
      <c r="R459" s="7">
        <v>5.7928654000000003E-2</v>
      </c>
      <c r="S459" s="7">
        <v>2.3320671000000001E-2</v>
      </c>
      <c r="T459" s="7">
        <v>7.9715103999999995E-2</v>
      </c>
      <c r="U459" s="7">
        <v>5.2200251000000003E-2</v>
      </c>
      <c r="V459" s="7">
        <v>0.44194584268602899</v>
      </c>
      <c r="W459" s="7">
        <v>0.13649949807133074</v>
      </c>
      <c r="X459" s="7">
        <v>9.7274229872238077E-2</v>
      </c>
      <c r="Y459" s="7">
        <v>0.2164743050820524</v>
      </c>
      <c r="Z459" s="7">
        <v>0.14003811372332214</v>
      </c>
      <c r="AA459" s="7">
        <v>0.10181965579249931</v>
      </c>
      <c r="AB459" s="4">
        <v>0</v>
      </c>
      <c r="AC459" s="4">
        <v>0</v>
      </c>
      <c r="AD459" s="4">
        <v>0</v>
      </c>
      <c r="AE459" s="4"/>
      <c r="AF459" s="4"/>
      <c r="AG459" s="4"/>
      <c r="AH459" s="4"/>
    </row>
    <row r="460" spans="1:34" x14ac:dyDescent="0.3">
      <c r="A460" s="1">
        <v>45253</v>
      </c>
      <c r="B460" s="7">
        <v>5.1765079999999998E-2</v>
      </c>
      <c r="C460" s="7">
        <v>1.8987587E-2</v>
      </c>
      <c r="D460" s="7">
        <v>6.5651809000000005E-2</v>
      </c>
      <c r="E460" s="7">
        <v>2.9079181999999999E-2</v>
      </c>
      <c r="F460" s="7">
        <v>2.6221583E-2</v>
      </c>
      <c r="G460" s="7">
        <v>2.9982018999999999E-2</v>
      </c>
      <c r="H460" s="7">
        <v>3.6220909000000003E-2</v>
      </c>
      <c r="I460" s="7">
        <v>4.1076296999999998E-2</v>
      </c>
      <c r="J460" s="7">
        <v>3.2333402999999997E-2</v>
      </c>
      <c r="K460" s="7">
        <v>4.4692796999999999E-2</v>
      </c>
      <c r="L460" s="7">
        <v>6.1047689000000002E-2</v>
      </c>
      <c r="M460" s="7">
        <v>3.9062223E-2</v>
      </c>
      <c r="N460" s="7">
        <v>4.5401420999999997E-2</v>
      </c>
      <c r="O460" s="7">
        <v>2.7823359999999998E-2</v>
      </c>
      <c r="P460" s="7">
        <v>6.0109875E-2</v>
      </c>
      <c r="Q460" s="7">
        <v>4.0429661999999998E-2</v>
      </c>
      <c r="R460" s="7">
        <v>4.8747169E-2</v>
      </c>
      <c r="S460" s="7">
        <v>2.6017815E-2</v>
      </c>
      <c r="T460" s="7">
        <v>7.1647933999999996E-2</v>
      </c>
      <c r="U460" s="7">
        <v>3.9440905999999998E-2</v>
      </c>
      <c r="V460" s="7">
        <v>0.44194584268602899</v>
      </c>
      <c r="W460" s="7">
        <v>0.13655247387846858</v>
      </c>
      <c r="X460" s="7">
        <v>9.7031735723191265E-2</v>
      </c>
      <c r="Y460" s="7">
        <v>0.2164743050820524</v>
      </c>
      <c r="Z460" s="7">
        <v>0.13995949015560241</v>
      </c>
      <c r="AA460" s="7">
        <v>0.10185733878767179</v>
      </c>
      <c r="AB460" s="4">
        <v>0</v>
      </c>
      <c r="AC460" s="4">
        <v>0</v>
      </c>
      <c r="AD460" s="4">
        <v>0</v>
      </c>
      <c r="AE460" s="4"/>
      <c r="AF460" s="4"/>
      <c r="AG460" s="4"/>
      <c r="AH460" s="4"/>
    </row>
    <row r="461" spans="1:34" x14ac:dyDescent="0.3">
      <c r="A461" s="1">
        <v>45254</v>
      </c>
      <c r="B461" s="7">
        <v>5.6961085000000002E-2</v>
      </c>
      <c r="C461" s="7">
        <v>2.219401E-2</v>
      </c>
      <c r="D461" s="7">
        <v>5.2231426999999997E-2</v>
      </c>
      <c r="E461" s="7">
        <v>2.8147340999999999E-2</v>
      </c>
      <c r="F461" s="7">
        <v>5.1765079999999998E-2</v>
      </c>
      <c r="G461" s="7">
        <v>1.8987587E-2</v>
      </c>
      <c r="H461" s="7">
        <v>6.5651809000000005E-2</v>
      </c>
      <c r="I461" s="7">
        <v>2.9079181999999999E-2</v>
      </c>
      <c r="J461" s="7">
        <v>2.6221583E-2</v>
      </c>
      <c r="K461" s="7">
        <v>2.9982018999999999E-2</v>
      </c>
      <c r="L461" s="7">
        <v>3.6220909000000003E-2</v>
      </c>
      <c r="M461" s="7">
        <v>4.1076296999999998E-2</v>
      </c>
      <c r="N461" s="7">
        <v>3.2333402999999997E-2</v>
      </c>
      <c r="O461" s="7">
        <v>4.4692796999999999E-2</v>
      </c>
      <c r="P461" s="7">
        <v>6.1047689000000002E-2</v>
      </c>
      <c r="Q461" s="7">
        <v>3.9062223E-2</v>
      </c>
      <c r="R461" s="7">
        <v>4.5401420999999997E-2</v>
      </c>
      <c r="S461" s="7">
        <v>2.7823359999999998E-2</v>
      </c>
      <c r="T461" s="7">
        <v>6.0109875E-2</v>
      </c>
      <c r="U461" s="7">
        <v>4.0429661999999998E-2</v>
      </c>
      <c r="V461" s="7">
        <v>0.24555251971800129</v>
      </c>
      <c r="W461" s="7">
        <v>0.13566461121344101</v>
      </c>
      <c r="X461" s="7">
        <v>9.5817153188150775E-2</v>
      </c>
      <c r="Y461" s="7">
        <v>0.2164743050820524</v>
      </c>
      <c r="Z461" s="7">
        <v>0.13975962077181717</v>
      </c>
      <c r="AA461" s="7">
        <v>0.10188505279289051</v>
      </c>
      <c r="AB461" s="4">
        <v>0</v>
      </c>
      <c r="AC461" s="4">
        <v>0</v>
      </c>
      <c r="AD461" s="4">
        <v>0</v>
      </c>
      <c r="AE461" s="4"/>
      <c r="AF461" s="4"/>
      <c r="AG461" s="4"/>
      <c r="AH461" s="4"/>
    </row>
    <row r="462" spans="1:34" x14ac:dyDescent="0.3">
      <c r="A462" s="1">
        <v>45257</v>
      </c>
      <c r="B462" s="7">
        <v>6.3247041000000004E-2</v>
      </c>
      <c r="C462" s="7">
        <v>2.7828176E-2</v>
      </c>
      <c r="D462" s="7">
        <v>2.4137774000000001E-2</v>
      </c>
      <c r="E462" s="7">
        <v>3.596096E-2</v>
      </c>
      <c r="F462" s="7">
        <v>5.6961085000000002E-2</v>
      </c>
      <c r="G462" s="7">
        <v>2.219401E-2</v>
      </c>
      <c r="H462" s="7">
        <v>5.2231426999999997E-2</v>
      </c>
      <c r="I462" s="7">
        <v>2.8147340999999999E-2</v>
      </c>
      <c r="J462" s="7">
        <v>5.1765079999999998E-2</v>
      </c>
      <c r="K462" s="7">
        <v>1.8987587E-2</v>
      </c>
      <c r="L462" s="7">
        <v>6.5651809000000005E-2</v>
      </c>
      <c r="M462" s="7">
        <v>2.9079181999999999E-2</v>
      </c>
      <c r="N462" s="7">
        <v>2.6221583E-2</v>
      </c>
      <c r="O462" s="7">
        <v>2.9982018999999999E-2</v>
      </c>
      <c r="P462" s="7">
        <v>3.6220909000000003E-2</v>
      </c>
      <c r="Q462" s="7">
        <v>4.1076296999999998E-2</v>
      </c>
      <c r="R462" s="7">
        <v>3.2333402999999997E-2</v>
      </c>
      <c r="S462" s="7">
        <v>4.4692796999999999E-2</v>
      </c>
      <c r="T462" s="7">
        <v>6.1047689000000002E-2</v>
      </c>
      <c r="U462" s="7">
        <v>3.9062223E-2</v>
      </c>
      <c r="V462" s="7">
        <v>0.21127400107735628</v>
      </c>
      <c r="W462" s="7">
        <v>0.13569280004473086</v>
      </c>
      <c r="X462" s="7">
        <v>9.4919308582533432E-2</v>
      </c>
      <c r="Y462" s="7">
        <v>0.19896146475163615</v>
      </c>
      <c r="Z462" s="7">
        <v>0.13863101550216289</v>
      </c>
      <c r="AA462" s="7">
        <v>0.10091432625273833</v>
      </c>
      <c r="AB462" s="4">
        <v>1</v>
      </c>
      <c r="AC462" s="4">
        <v>0</v>
      </c>
      <c r="AD462" s="4">
        <v>1</v>
      </c>
      <c r="AE462" s="4"/>
      <c r="AF462" s="4"/>
      <c r="AG462" s="4"/>
      <c r="AH462" s="4"/>
    </row>
    <row r="463" spans="1:34" x14ac:dyDescent="0.3">
      <c r="A463" s="1">
        <v>45258</v>
      </c>
      <c r="B463" s="7">
        <v>3.0801390000000001E-2</v>
      </c>
      <c r="C463" s="7">
        <v>3.2422139000000003E-2</v>
      </c>
      <c r="D463" s="7">
        <v>5.3884147E-2</v>
      </c>
      <c r="E463" s="7">
        <v>3.3311454999999997E-2</v>
      </c>
      <c r="F463" s="7">
        <v>6.3247041000000004E-2</v>
      </c>
      <c r="G463" s="7">
        <v>2.7828176E-2</v>
      </c>
      <c r="H463" s="7">
        <v>2.4137774000000001E-2</v>
      </c>
      <c r="I463" s="7">
        <v>3.596096E-2</v>
      </c>
      <c r="J463" s="7">
        <v>5.6961085000000002E-2</v>
      </c>
      <c r="K463" s="7">
        <v>2.219401E-2</v>
      </c>
      <c r="L463" s="7">
        <v>5.2231426999999997E-2</v>
      </c>
      <c r="M463" s="7">
        <v>2.8147340999999999E-2</v>
      </c>
      <c r="N463" s="7">
        <v>5.1765079999999998E-2</v>
      </c>
      <c r="O463" s="7">
        <v>1.8987587E-2</v>
      </c>
      <c r="P463" s="7">
        <v>6.5651809000000005E-2</v>
      </c>
      <c r="Q463" s="7">
        <v>2.9079181999999999E-2</v>
      </c>
      <c r="R463" s="7">
        <v>2.6221583E-2</v>
      </c>
      <c r="S463" s="7">
        <v>2.9982018999999999E-2</v>
      </c>
      <c r="T463" s="7">
        <v>3.6220909000000003E-2</v>
      </c>
      <c r="U463" s="7">
        <v>4.1076296999999998E-2</v>
      </c>
      <c r="V463" s="7">
        <v>0.24555251971800129</v>
      </c>
      <c r="W463" s="7">
        <v>0.13789691664495013</v>
      </c>
      <c r="X463" s="7">
        <v>9.6834420584232236E-2</v>
      </c>
      <c r="Y463" s="7">
        <v>0.2164743050820524</v>
      </c>
      <c r="Z463" s="7">
        <v>0.14010535524795784</v>
      </c>
      <c r="AA463" s="7">
        <v>0.1018810651153662</v>
      </c>
      <c r="AB463" s="4">
        <v>0</v>
      </c>
      <c r="AC463" s="4">
        <v>0</v>
      </c>
      <c r="AD463" s="4">
        <v>0</v>
      </c>
      <c r="AE463" s="4"/>
      <c r="AF463" s="4"/>
      <c r="AG463" s="4"/>
      <c r="AH463" s="4"/>
    </row>
    <row r="464" spans="1:34" x14ac:dyDescent="0.3">
      <c r="A464" s="1">
        <v>45259</v>
      </c>
      <c r="B464" s="7">
        <v>2.8034842000000001E-2</v>
      </c>
      <c r="C464" s="7">
        <v>3.6232717999999997E-2</v>
      </c>
      <c r="D464" s="7">
        <v>3.7331231999999999E-2</v>
      </c>
      <c r="E464" s="7">
        <v>3.6361631999999998E-2</v>
      </c>
      <c r="F464" s="7">
        <v>3.0801390000000001E-2</v>
      </c>
      <c r="G464" s="7">
        <v>3.2422139000000003E-2</v>
      </c>
      <c r="H464" s="7">
        <v>5.3884147E-2</v>
      </c>
      <c r="I464" s="7">
        <v>3.3311454999999997E-2</v>
      </c>
      <c r="J464" s="7">
        <v>6.3247041000000004E-2</v>
      </c>
      <c r="K464" s="7">
        <v>2.7828176E-2</v>
      </c>
      <c r="L464" s="7">
        <v>2.4137774000000001E-2</v>
      </c>
      <c r="M464" s="7">
        <v>3.596096E-2</v>
      </c>
      <c r="N464" s="7">
        <v>5.6961085000000002E-2</v>
      </c>
      <c r="O464" s="7">
        <v>2.219401E-2</v>
      </c>
      <c r="P464" s="7">
        <v>5.2231426999999997E-2</v>
      </c>
      <c r="Q464" s="7">
        <v>2.8147340999999999E-2</v>
      </c>
      <c r="R464" s="7">
        <v>5.1765079999999998E-2</v>
      </c>
      <c r="S464" s="7">
        <v>1.8987587E-2</v>
      </c>
      <c r="T464" s="7">
        <v>6.5651809000000005E-2</v>
      </c>
      <c r="U464" s="7">
        <v>2.9079181999999999E-2</v>
      </c>
      <c r="V464" s="7">
        <v>0.43935831255331265</v>
      </c>
      <c r="W464" s="7">
        <v>0.13792220557438847</v>
      </c>
      <c r="X464" s="7">
        <v>9.7016321732883118E-2</v>
      </c>
      <c r="Y464" s="7">
        <v>0.2164743050820524</v>
      </c>
      <c r="Z464" s="7">
        <v>0.14005665489339419</v>
      </c>
      <c r="AA464" s="7">
        <v>0.10178608037536532</v>
      </c>
      <c r="AB464" s="4">
        <v>0</v>
      </c>
      <c r="AC464" s="4">
        <v>0</v>
      </c>
      <c r="AD464" s="4">
        <v>0</v>
      </c>
      <c r="AE464" s="4"/>
      <c r="AF464" s="4"/>
      <c r="AG464" s="4"/>
      <c r="AH464" s="4"/>
    </row>
    <row r="465" spans="1:34" x14ac:dyDescent="0.3">
      <c r="A465" s="1">
        <v>45260</v>
      </c>
      <c r="B465" s="7">
        <v>5.7972047999999998E-2</v>
      </c>
      <c r="C465" s="7">
        <v>2.9022826000000002E-2</v>
      </c>
      <c r="D465" s="7">
        <v>8.9873241000000006E-2</v>
      </c>
      <c r="E465" s="7">
        <v>2.703467E-2</v>
      </c>
      <c r="F465" s="7">
        <v>2.8034842000000001E-2</v>
      </c>
      <c r="G465" s="7">
        <v>3.6232717999999997E-2</v>
      </c>
      <c r="H465" s="7">
        <v>3.7331231999999999E-2</v>
      </c>
      <c r="I465" s="7">
        <v>3.6361631999999998E-2</v>
      </c>
      <c r="J465" s="7">
        <v>3.0801390000000001E-2</v>
      </c>
      <c r="K465" s="7">
        <v>3.2422139000000003E-2</v>
      </c>
      <c r="L465" s="7">
        <v>5.3884147E-2</v>
      </c>
      <c r="M465" s="7">
        <v>3.3311454999999997E-2</v>
      </c>
      <c r="N465" s="7">
        <v>6.3247041000000004E-2</v>
      </c>
      <c r="O465" s="7">
        <v>2.7828176E-2</v>
      </c>
      <c r="P465" s="7">
        <v>2.4137774000000001E-2</v>
      </c>
      <c r="Q465" s="7">
        <v>3.596096E-2</v>
      </c>
      <c r="R465" s="7">
        <v>5.6961085000000002E-2</v>
      </c>
      <c r="S465" s="7">
        <v>2.219401E-2</v>
      </c>
      <c r="T465" s="7">
        <v>5.2231426999999997E-2</v>
      </c>
      <c r="U465" s="7">
        <v>2.8147340999999999E-2</v>
      </c>
      <c r="V465" s="7">
        <v>0.43935831255331265</v>
      </c>
      <c r="W465" s="7">
        <v>0.13769633465424158</v>
      </c>
      <c r="X465" s="7">
        <v>9.6783027647609279E-2</v>
      </c>
      <c r="Y465" s="7">
        <v>0.2164743050820524</v>
      </c>
      <c r="Z465" s="7">
        <v>0.13923468725778307</v>
      </c>
      <c r="AA465" s="7">
        <v>0.10129138922705742</v>
      </c>
      <c r="AB465" s="4">
        <v>0</v>
      </c>
      <c r="AC465" s="4">
        <v>0</v>
      </c>
      <c r="AD465" s="4">
        <v>0</v>
      </c>
      <c r="AE465" s="4"/>
      <c r="AF465" s="4"/>
      <c r="AG465" s="4"/>
      <c r="AH465" s="4"/>
    </row>
    <row r="466" spans="1:34" x14ac:dyDescent="0.3">
      <c r="A466" s="1">
        <v>45261</v>
      </c>
      <c r="B466" s="7">
        <v>5.5981930999999999E-2</v>
      </c>
      <c r="C466" s="7">
        <v>2.6246701000000001E-2</v>
      </c>
      <c r="D466" s="7">
        <v>8.7231712000000003E-2</v>
      </c>
      <c r="E466" s="7">
        <v>3.3063047999999998E-2</v>
      </c>
      <c r="F466" s="7">
        <v>5.7972047999999998E-2</v>
      </c>
      <c r="G466" s="7">
        <v>2.9022826000000002E-2</v>
      </c>
      <c r="H466" s="7">
        <v>8.9873241000000006E-2</v>
      </c>
      <c r="I466" s="7">
        <v>2.703467E-2</v>
      </c>
      <c r="J466" s="7">
        <v>2.8034842000000001E-2</v>
      </c>
      <c r="K466" s="7">
        <v>3.6232717999999997E-2</v>
      </c>
      <c r="L466" s="7">
        <v>3.7331231999999999E-2</v>
      </c>
      <c r="M466" s="7">
        <v>3.6361631999999998E-2</v>
      </c>
      <c r="N466" s="7">
        <v>3.0801390000000001E-2</v>
      </c>
      <c r="O466" s="7">
        <v>3.2422139000000003E-2</v>
      </c>
      <c r="P466" s="7">
        <v>5.3884147E-2</v>
      </c>
      <c r="Q466" s="7">
        <v>3.3311454999999997E-2</v>
      </c>
      <c r="R466" s="7">
        <v>6.3247041000000004E-2</v>
      </c>
      <c r="S466" s="7">
        <v>2.7828176E-2</v>
      </c>
      <c r="T466" s="7">
        <v>2.4137774000000001E-2</v>
      </c>
      <c r="U466" s="7">
        <v>3.596096E-2</v>
      </c>
      <c r="V466" s="7">
        <v>0.43935831255331265</v>
      </c>
      <c r="W466" s="7">
        <v>0.13769357034367208</v>
      </c>
      <c r="X466" s="7">
        <v>9.680374875818476E-2</v>
      </c>
      <c r="Y466" s="7">
        <v>0.2164743050820524</v>
      </c>
      <c r="Z466" s="7">
        <v>0.13776908870371252</v>
      </c>
      <c r="AA466" s="7">
        <v>0.10024864016861937</v>
      </c>
      <c r="AB466" s="4">
        <v>0</v>
      </c>
      <c r="AC466" s="4">
        <v>0</v>
      </c>
      <c r="AD466" s="4">
        <v>0</v>
      </c>
      <c r="AE466" s="4"/>
      <c r="AF466" s="4"/>
      <c r="AG466" s="4"/>
      <c r="AH466" s="4"/>
    </row>
    <row r="467" spans="1:34" x14ac:dyDescent="0.3">
      <c r="A467" s="1">
        <v>45264</v>
      </c>
      <c r="B467" s="7">
        <v>6.3085820000000001E-2</v>
      </c>
      <c r="C467" s="7">
        <v>2.7967313000000001E-2</v>
      </c>
      <c r="D467" s="7">
        <v>6.3514751999999994E-2</v>
      </c>
      <c r="E467" s="7">
        <v>3.3481193999999999E-2</v>
      </c>
      <c r="F467" s="7">
        <v>5.5981930999999999E-2</v>
      </c>
      <c r="G467" s="7">
        <v>2.6246701000000001E-2</v>
      </c>
      <c r="H467" s="7">
        <v>8.7231712000000003E-2</v>
      </c>
      <c r="I467" s="7">
        <v>3.3063047999999998E-2</v>
      </c>
      <c r="J467" s="7">
        <v>5.7972047999999998E-2</v>
      </c>
      <c r="K467" s="7">
        <v>2.9022826000000002E-2</v>
      </c>
      <c r="L467" s="7">
        <v>8.9873241000000006E-2</v>
      </c>
      <c r="M467" s="7">
        <v>2.703467E-2</v>
      </c>
      <c r="N467" s="7">
        <v>2.8034842000000001E-2</v>
      </c>
      <c r="O467" s="7">
        <v>3.6232717999999997E-2</v>
      </c>
      <c r="P467" s="7">
        <v>3.7331231999999999E-2</v>
      </c>
      <c r="Q467" s="7">
        <v>3.6361631999999998E-2</v>
      </c>
      <c r="R467" s="7">
        <v>3.0801390000000001E-2</v>
      </c>
      <c r="S467" s="7">
        <v>3.2422139000000003E-2</v>
      </c>
      <c r="T467" s="7">
        <v>5.3884147E-2</v>
      </c>
      <c r="U467" s="7">
        <v>3.3311454999999997E-2</v>
      </c>
      <c r="V467" s="7">
        <v>0.43935831255331265</v>
      </c>
      <c r="W467" s="7">
        <v>0.13739662135721303</v>
      </c>
      <c r="X467" s="7">
        <v>9.6836626210503193E-2</v>
      </c>
      <c r="Y467" s="7">
        <v>0.19896146475163615</v>
      </c>
      <c r="Z467" s="7">
        <v>0.13691425333512272</v>
      </c>
      <c r="AA467" s="7">
        <v>9.9462066514675554E-2</v>
      </c>
      <c r="AB467" s="4">
        <v>0</v>
      </c>
      <c r="AC467" s="4">
        <v>0</v>
      </c>
      <c r="AD467" s="4">
        <v>0</v>
      </c>
      <c r="AE467" s="4"/>
      <c r="AF467" s="4"/>
      <c r="AG467" s="4"/>
      <c r="AH467" s="4"/>
    </row>
    <row r="468" spans="1:34" x14ac:dyDescent="0.3">
      <c r="A468" s="1">
        <v>45265</v>
      </c>
      <c r="B468" s="7">
        <v>5.0588231999999997E-2</v>
      </c>
      <c r="C468" s="7">
        <v>3.3582440999999998E-2</v>
      </c>
      <c r="D468" s="7">
        <v>6.1069329999999998E-2</v>
      </c>
      <c r="E468" s="7">
        <v>3.3859360999999998E-2</v>
      </c>
      <c r="F468" s="7">
        <v>6.3085820000000001E-2</v>
      </c>
      <c r="G468" s="7">
        <v>2.7967313000000001E-2</v>
      </c>
      <c r="H468" s="7">
        <v>6.3514751999999994E-2</v>
      </c>
      <c r="I468" s="7">
        <v>3.3481193999999999E-2</v>
      </c>
      <c r="J468" s="7">
        <v>5.5981930999999999E-2</v>
      </c>
      <c r="K468" s="7">
        <v>2.6246701000000001E-2</v>
      </c>
      <c r="L468" s="7">
        <v>8.7231712000000003E-2</v>
      </c>
      <c r="M468" s="7">
        <v>3.3063047999999998E-2</v>
      </c>
      <c r="N468" s="7">
        <v>5.7972047999999998E-2</v>
      </c>
      <c r="O468" s="7">
        <v>2.9022826000000002E-2</v>
      </c>
      <c r="P468" s="7">
        <v>8.9873241000000006E-2</v>
      </c>
      <c r="Q468" s="7">
        <v>2.703467E-2</v>
      </c>
      <c r="R468" s="7">
        <v>2.8034842000000001E-2</v>
      </c>
      <c r="S468" s="7">
        <v>3.6232717999999997E-2</v>
      </c>
      <c r="T468" s="7">
        <v>3.7331231999999999E-2</v>
      </c>
      <c r="U468" s="7">
        <v>3.6361631999999998E-2</v>
      </c>
      <c r="V468" s="7">
        <v>0.43935831255331265</v>
      </c>
      <c r="W468" s="7">
        <v>0.13684731634855901</v>
      </c>
      <c r="X468" s="7">
        <v>9.6367558217602151E-2</v>
      </c>
      <c r="Y468" s="7">
        <v>0.16874300028685252</v>
      </c>
      <c r="Z468" s="7">
        <v>0.13721437890931604</v>
      </c>
      <c r="AA468" s="7">
        <v>9.9301016550532792E-2</v>
      </c>
      <c r="AB468" s="4">
        <v>0</v>
      </c>
      <c r="AC468" s="4">
        <v>0</v>
      </c>
      <c r="AD468" s="4">
        <v>0</v>
      </c>
      <c r="AE468" s="4"/>
      <c r="AF468" s="4"/>
      <c r="AG468" s="4"/>
      <c r="AH468" s="4"/>
    </row>
    <row r="469" spans="1:34" x14ac:dyDescent="0.3">
      <c r="A469" s="1">
        <v>45266</v>
      </c>
      <c r="B469" s="7">
        <v>4.1063969999999998E-2</v>
      </c>
      <c r="C469" s="7">
        <v>3.8456281000000002E-2</v>
      </c>
      <c r="D469" s="7">
        <v>4.3768563000000003E-2</v>
      </c>
      <c r="E469" s="7">
        <v>6.0349528999999999E-2</v>
      </c>
      <c r="F469" s="7">
        <v>5.0588231999999997E-2</v>
      </c>
      <c r="G469" s="7">
        <v>3.3582440999999998E-2</v>
      </c>
      <c r="H469" s="7">
        <v>6.1069329999999998E-2</v>
      </c>
      <c r="I469" s="7">
        <v>3.3859360999999998E-2</v>
      </c>
      <c r="J469" s="7">
        <v>6.3085820000000001E-2</v>
      </c>
      <c r="K469" s="7">
        <v>2.7967313000000001E-2</v>
      </c>
      <c r="L469" s="7">
        <v>6.3514751999999994E-2</v>
      </c>
      <c r="M469" s="7">
        <v>3.3481193999999999E-2</v>
      </c>
      <c r="N469" s="7">
        <v>5.5981930999999999E-2</v>
      </c>
      <c r="O469" s="7">
        <v>2.6246701000000001E-2</v>
      </c>
      <c r="P469" s="7">
        <v>8.7231712000000003E-2</v>
      </c>
      <c r="Q469" s="7">
        <v>3.3063047999999998E-2</v>
      </c>
      <c r="R469" s="7">
        <v>5.7972047999999998E-2</v>
      </c>
      <c r="S469" s="7">
        <v>2.9022826000000002E-2</v>
      </c>
      <c r="T469" s="7">
        <v>8.9873241000000006E-2</v>
      </c>
      <c r="U469" s="7">
        <v>2.703467E-2</v>
      </c>
      <c r="V469" s="7">
        <v>0.6189859572111116</v>
      </c>
      <c r="W469" s="7">
        <v>0.13662782430478565</v>
      </c>
      <c r="X469" s="7">
        <v>9.6774821636462394E-2</v>
      </c>
      <c r="Y469" s="7">
        <v>0.16874300028685252</v>
      </c>
      <c r="Z469" s="7">
        <v>0.1346574265309583</v>
      </c>
      <c r="AA469" s="7">
        <v>9.818993136531258E-2</v>
      </c>
      <c r="AB469" s="4">
        <v>0</v>
      </c>
      <c r="AC469" s="4">
        <v>0</v>
      </c>
      <c r="AD469" s="4">
        <v>0</v>
      </c>
      <c r="AE469" s="4"/>
      <c r="AF469" s="4"/>
      <c r="AG469" s="4"/>
      <c r="AH469" s="4"/>
    </row>
    <row r="470" spans="1:34" x14ac:dyDescent="0.3">
      <c r="A470" s="1">
        <v>45267</v>
      </c>
      <c r="B470" s="7">
        <v>0.103207972</v>
      </c>
      <c r="C470" s="7">
        <v>3.2172185999999998E-2</v>
      </c>
      <c r="D470" s="7">
        <v>8.0737428999999999E-2</v>
      </c>
      <c r="E470" s="7">
        <v>5.2058989999999999E-2</v>
      </c>
      <c r="F470" s="7">
        <v>4.1063969999999998E-2</v>
      </c>
      <c r="G470" s="7">
        <v>3.8456281000000002E-2</v>
      </c>
      <c r="H470" s="7">
        <v>4.3768563000000003E-2</v>
      </c>
      <c r="I470" s="7">
        <v>6.0349528999999999E-2</v>
      </c>
      <c r="J470" s="7">
        <v>5.0588231999999997E-2</v>
      </c>
      <c r="K470" s="7">
        <v>3.3582440999999998E-2</v>
      </c>
      <c r="L470" s="7">
        <v>6.1069329999999998E-2</v>
      </c>
      <c r="M470" s="7">
        <v>3.3859360999999998E-2</v>
      </c>
      <c r="N470" s="7">
        <v>6.3085820000000001E-2</v>
      </c>
      <c r="O470" s="7">
        <v>2.7967313000000001E-2</v>
      </c>
      <c r="P470" s="7">
        <v>6.3514751999999994E-2</v>
      </c>
      <c r="Q470" s="7">
        <v>3.3481193999999999E-2</v>
      </c>
      <c r="R470" s="7">
        <v>5.5981930999999999E-2</v>
      </c>
      <c r="S470" s="7">
        <v>2.6246701000000001E-2</v>
      </c>
      <c r="T470" s="7">
        <v>8.7231712000000003E-2</v>
      </c>
      <c r="U470" s="7">
        <v>3.3063047999999998E-2</v>
      </c>
      <c r="V470" s="7">
        <v>0.6189859572111116</v>
      </c>
      <c r="W470" s="7">
        <v>0.1365585420805856</v>
      </c>
      <c r="X470" s="7">
        <v>9.6724097434588041E-2</v>
      </c>
      <c r="Y470" s="7">
        <v>0.12865526869020594</v>
      </c>
      <c r="Z470" s="7">
        <v>0.13490169551378647</v>
      </c>
      <c r="AA470" s="7">
        <v>9.8048874253507959E-2</v>
      </c>
      <c r="AB470" s="4">
        <v>1</v>
      </c>
      <c r="AC470" s="4">
        <v>0</v>
      </c>
      <c r="AD470" s="4">
        <v>1</v>
      </c>
      <c r="AE470" s="4"/>
      <c r="AF470" s="4"/>
      <c r="AG470" s="4"/>
      <c r="AH470" s="4"/>
    </row>
    <row r="471" spans="1:34" x14ac:dyDescent="0.3">
      <c r="A471" s="1">
        <v>45268</v>
      </c>
      <c r="B471" s="7">
        <v>8.4169989000000001E-2</v>
      </c>
      <c r="C471" s="7">
        <v>3.3396586999999998E-2</v>
      </c>
      <c r="D471" s="7">
        <v>8.8877066000000005E-2</v>
      </c>
      <c r="E471" s="7">
        <v>3.2569802000000002E-2</v>
      </c>
      <c r="F471" s="7">
        <v>0.103207972</v>
      </c>
      <c r="G471" s="7">
        <v>3.2172185999999998E-2</v>
      </c>
      <c r="H471" s="7">
        <v>8.0737428999999999E-2</v>
      </c>
      <c r="I471" s="7">
        <v>5.2058989999999999E-2</v>
      </c>
      <c r="J471" s="7">
        <v>4.1063969999999998E-2</v>
      </c>
      <c r="K471" s="7">
        <v>3.8456281000000002E-2</v>
      </c>
      <c r="L471" s="7">
        <v>4.3768563000000003E-2</v>
      </c>
      <c r="M471" s="7">
        <v>6.0349528999999999E-2</v>
      </c>
      <c r="N471" s="7">
        <v>5.0588231999999997E-2</v>
      </c>
      <c r="O471" s="7">
        <v>3.3582440999999998E-2</v>
      </c>
      <c r="P471" s="7">
        <v>6.1069329999999998E-2</v>
      </c>
      <c r="Q471" s="7">
        <v>3.3859360999999998E-2</v>
      </c>
      <c r="R471" s="7">
        <v>6.3085820000000001E-2</v>
      </c>
      <c r="S471" s="7">
        <v>2.7967313000000001E-2</v>
      </c>
      <c r="T471" s="7">
        <v>6.3514751999999994E-2</v>
      </c>
      <c r="U471" s="7">
        <v>3.3481193999999999E-2</v>
      </c>
      <c r="V471" s="7">
        <v>0.6189859572111116</v>
      </c>
      <c r="W471" s="7">
        <v>0.1358486358659135</v>
      </c>
      <c r="X471" s="7">
        <v>9.6323571115969314E-2</v>
      </c>
      <c r="Y471" s="7">
        <v>0.12865526869020594</v>
      </c>
      <c r="Z471" s="7">
        <v>0.1349638496300391</v>
      </c>
      <c r="AA471" s="7">
        <v>9.8088061037510318E-2</v>
      </c>
      <c r="AB471" s="4">
        <v>1</v>
      </c>
      <c r="AC471" s="4">
        <v>0</v>
      </c>
      <c r="AD471" s="4">
        <v>1</v>
      </c>
      <c r="AE471" s="4"/>
      <c r="AF471" s="4"/>
      <c r="AG471" s="4"/>
      <c r="AH471" s="4"/>
    </row>
    <row r="472" spans="1:34" x14ac:dyDescent="0.3">
      <c r="A472" s="1">
        <v>45271</v>
      </c>
      <c r="B472" s="7">
        <v>7.1907556999999997E-2</v>
      </c>
      <c r="C472" s="7">
        <v>3.0408467000000002E-2</v>
      </c>
      <c r="D472" s="7">
        <v>9.7662941000000003E-2</v>
      </c>
      <c r="E472" s="7">
        <v>5.2430022E-2</v>
      </c>
      <c r="F472" s="7">
        <v>8.4169989000000001E-2</v>
      </c>
      <c r="G472" s="7">
        <v>3.3396586999999998E-2</v>
      </c>
      <c r="H472" s="7">
        <v>8.8877066000000005E-2</v>
      </c>
      <c r="I472" s="7">
        <v>3.2569802000000002E-2</v>
      </c>
      <c r="J472" s="7">
        <v>0.103207972</v>
      </c>
      <c r="K472" s="7">
        <v>3.2172185999999998E-2</v>
      </c>
      <c r="L472" s="7">
        <v>8.0737428999999999E-2</v>
      </c>
      <c r="M472" s="7">
        <v>5.2058989999999999E-2</v>
      </c>
      <c r="N472" s="7">
        <v>4.1063969999999998E-2</v>
      </c>
      <c r="O472" s="7">
        <v>3.8456281000000002E-2</v>
      </c>
      <c r="P472" s="7">
        <v>4.3768563000000003E-2</v>
      </c>
      <c r="Q472" s="7">
        <v>6.0349528999999999E-2</v>
      </c>
      <c r="R472" s="7">
        <v>5.0588231999999997E-2</v>
      </c>
      <c r="S472" s="7">
        <v>3.3582440999999998E-2</v>
      </c>
      <c r="T472" s="7">
        <v>6.1069329999999998E-2</v>
      </c>
      <c r="U472" s="7">
        <v>3.3859360999999998E-2</v>
      </c>
      <c r="V472" s="7">
        <v>0.6189859572111116</v>
      </c>
      <c r="W472" s="7">
        <v>0.13585147251763821</v>
      </c>
      <c r="X472" s="7">
        <v>9.6423871523040564E-2</v>
      </c>
      <c r="Y472" s="7">
        <v>0.16874300028685252</v>
      </c>
      <c r="Z472" s="7">
        <v>0.13489404702638191</v>
      </c>
      <c r="AA472" s="7">
        <v>9.8290058684742485E-2</v>
      </c>
      <c r="AB472" s="4">
        <v>0</v>
      </c>
      <c r="AC472" s="4">
        <v>0</v>
      </c>
      <c r="AD472" s="4">
        <v>0</v>
      </c>
      <c r="AE472" s="4"/>
      <c r="AF472" s="4"/>
      <c r="AG472" s="4"/>
      <c r="AH472" s="4"/>
    </row>
    <row r="473" spans="1:34" x14ac:dyDescent="0.3">
      <c r="A473" s="1">
        <v>45272</v>
      </c>
      <c r="B473" s="7">
        <v>8.0735371E-2</v>
      </c>
      <c r="C473" s="7">
        <v>4.6751519999999998E-2</v>
      </c>
      <c r="D473" s="7">
        <v>7.5037239000000006E-2</v>
      </c>
      <c r="E473" s="7">
        <v>6.1946378000000003E-2</v>
      </c>
      <c r="F473" s="7">
        <v>7.1907556999999997E-2</v>
      </c>
      <c r="G473" s="7">
        <v>3.0408467000000002E-2</v>
      </c>
      <c r="H473" s="7">
        <v>9.7662941000000003E-2</v>
      </c>
      <c r="I473" s="7">
        <v>5.2430022E-2</v>
      </c>
      <c r="J473" s="7">
        <v>8.4169989000000001E-2</v>
      </c>
      <c r="K473" s="7">
        <v>3.3396586999999998E-2</v>
      </c>
      <c r="L473" s="7">
        <v>8.8877066000000005E-2</v>
      </c>
      <c r="M473" s="7">
        <v>3.2569802000000002E-2</v>
      </c>
      <c r="N473" s="7">
        <v>0.103207972</v>
      </c>
      <c r="O473" s="7">
        <v>3.2172185999999998E-2</v>
      </c>
      <c r="P473" s="7">
        <v>8.0737428999999999E-2</v>
      </c>
      <c r="Q473" s="7">
        <v>5.2058989999999999E-2</v>
      </c>
      <c r="R473" s="7">
        <v>4.1063969999999998E-2</v>
      </c>
      <c r="S473" s="7">
        <v>3.8456281000000002E-2</v>
      </c>
      <c r="T473" s="7">
        <v>4.3768563000000003E-2</v>
      </c>
      <c r="U473" s="7">
        <v>6.0349528999999999E-2</v>
      </c>
      <c r="V473" s="7">
        <v>0.6189859572111116</v>
      </c>
      <c r="W473" s="7">
        <v>0.13204251845963846</v>
      </c>
      <c r="X473" s="7">
        <v>9.4487152865847537E-2</v>
      </c>
      <c r="Y473" s="7">
        <v>0.19896146475163615</v>
      </c>
      <c r="Z473" s="7">
        <v>0.13492657417506962</v>
      </c>
      <c r="AA473" s="7">
        <v>9.8478406159394072E-2</v>
      </c>
      <c r="AB473" s="4">
        <v>0</v>
      </c>
      <c r="AC473" s="4">
        <v>0</v>
      </c>
      <c r="AD473" s="4">
        <v>0</v>
      </c>
      <c r="AE473" s="4"/>
      <c r="AF473" s="4"/>
      <c r="AG473" s="4"/>
      <c r="AH473" s="4"/>
    </row>
    <row r="474" spans="1:34" x14ac:dyDescent="0.3">
      <c r="A474" s="1">
        <v>45273</v>
      </c>
      <c r="B474" s="7">
        <v>5.3135149999999999E-2</v>
      </c>
      <c r="C474" s="7">
        <v>4.8795658999999998E-2</v>
      </c>
      <c r="D474" s="7">
        <v>5.7410458999999997E-2</v>
      </c>
      <c r="E474" s="7">
        <v>5.2262532E-2</v>
      </c>
      <c r="F474" s="7">
        <v>8.0735371E-2</v>
      </c>
      <c r="G474" s="7">
        <v>4.6751519999999998E-2</v>
      </c>
      <c r="H474" s="7">
        <v>7.5037239000000006E-2</v>
      </c>
      <c r="I474" s="7">
        <v>6.1946378000000003E-2</v>
      </c>
      <c r="J474" s="7">
        <v>7.1907556999999997E-2</v>
      </c>
      <c r="K474" s="7">
        <v>3.0408467000000002E-2</v>
      </c>
      <c r="L474" s="7">
        <v>9.7662941000000003E-2</v>
      </c>
      <c r="M474" s="7">
        <v>5.2430022E-2</v>
      </c>
      <c r="N474" s="7">
        <v>8.4169989000000001E-2</v>
      </c>
      <c r="O474" s="7">
        <v>3.3396586999999998E-2</v>
      </c>
      <c r="P474" s="7">
        <v>8.8877066000000005E-2</v>
      </c>
      <c r="Q474" s="7">
        <v>3.2569802000000002E-2</v>
      </c>
      <c r="R474" s="7">
        <v>0.103207972</v>
      </c>
      <c r="S474" s="7">
        <v>3.2172185999999998E-2</v>
      </c>
      <c r="T474" s="7">
        <v>8.0737428999999999E-2</v>
      </c>
      <c r="U474" s="7">
        <v>5.2058989999999999E-2</v>
      </c>
      <c r="V474" s="7">
        <v>0.49948170998207886</v>
      </c>
      <c r="W474" s="7">
        <v>0.13113850624502463</v>
      </c>
      <c r="X474" s="7">
        <v>9.355633961931456E-2</v>
      </c>
      <c r="Y474" s="7">
        <v>0.2164743050820524</v>
      </c>
      <c r="Z474" s="7">
        <v>0.1346155637003931</v>
      </c>
      <c r="AA474" s="7">
        <v>9.8558158379718014E-2</v>
      </c>
      <c r="AB474" s="4">
        <v>0</v>
      </c>
      <c r="AC474" s="4">
        <v>0</v>
      </c>
      <c r="AD474" s="4">
        <v>0</v>
      </c>
      <c r="AE474" s="4"/>
      <c r="AF474" s="4"/>
      <c r="AG474" s="4"/>
      <c r="AH474" s="4"/>
    </row>
    <row r="475" spans="1:34" x14ac:dyDescent="0.3">
      <c r="A475" s="1">
        <v>45274</v>
      </c>
      <c r="B475" s="7">
        <v>9.4407630000000006E-2</v>
      </c>
      <c r="C475" s="7">
        <v>5.3481504999999999E-2</v>
      </c>
      <c r="D475" s="7">
        <v>0.16484162199999999</v>
      </c>
      <c r="E475" s="7">
        <v>0.11589408499999999</v>
      </c>
      <c r="F475" s="7">
        <v>5.3135149999999999E-2</v>
      </c>
      <c r="G475" s="7">
        <v>4.8795658999999998E-2</v>
      </c>
      <c r="H475" s="7">
        <v>5.7410458999999997E-2</v>
      </c>
      <c r="I475" s="7">
        <v>5.2262532E-2</v>
      </c>
      <c r="J475" s="7">
        <v>8.0735371E-2</v>
      </c>
      <c r="K475" s="7">
        <v>4.6751519999999998E-2</v>
      </c>
      <c r="L475" s="7">
        <v>7.5037239000000006E-2</v>
      </c>
      <c r="M475" s="7">
        <v>6.1946378000000003E-2</v>
      </c>
      <c r="N475" s="7">
        <v>7.1907556999999997E-2</v>
      </c>
      <c r="O475" s="7">
        <v>3.0408467000000002E-2</v>
      </c>
      <c r="P475" s="7">
        <v>9.7662941000000003E-2</v>
      </c>
      <c r="Q475" s="7">
        <v>5.2430022E-2</v>
      </c>
      <c r="R475" s="7">
        <v>8.4169989000000001E-2</v>
      </c>
      <c r="S475" s="7">
        <v>3.3396586999999998E-2</v>
      </c>
      <c r="T475" s="7">
        <v>8.8877066000000005E-2</v>
      </c>
      <c r="U475" s="7">
        <v>3.2569802000000002E-2</v>
      </c>
      <c r="V475" s="7">
        <v>0.6189859572111116</v>
      </c>
      <c r="W475" s="7">
        <v>0.13183826447778946</v>
      </c>
      <c r="X475" s="7">
        <v>9.4304428492718029E-2</v>
      </c>
      <c r="Y475" s="7">
        <v>0.2164743050820524</v>
      </c>
      <c r="Z475" s="7">
        <v>0.13581408026416208</v>
      </c>
      <c r="AA475" s="7">
        <v>9.9337569127293399E-2</v>
      </c>
      <c r="AB475" s="4">
        <v>0</v>
      </c>
      <c r="AC475" s="4">
        <v>0</v>
      </c>
      <c r="AD475" s="4">
        <v>0</v>
      </c>
      <c r="AE475" s="4"/>
      <c r="AF475" s="4"/>
      <c r="AG475" s="4"/>
      <c r="AH475" s="4"/>
    </row>
    <row r="476" spans="1:34" x14ac:dyDescent="0.3">
      <c r="A476" s="1">
        <v>45275</v>
      </c>
      <c r="B476" s="7">
        <v>0.124977993</v>
      </c>
      <c r="C476" s="7">
        <v>4.8633515000000002E-2</v>
      </c>
      <c r="D476" s="7">
        <v>0.118068859</v>
      </c>
      <c r="E476" s="7">
        <v>9.2906259000000005E-2</v>
      </c>
      <c r="F476" s="7">
        <v>9.4407630000000006E-2</v>
      </c>
      <c r="G476" s="7">
        <v>5.3481504999999999E-2</v>
      </c>
      <c r="H476" s="7">
        <v>0.16484162199999999</v>
      </c>
      <c r="I476" s="7">
        <v>0.11589408499999999</v>
      </c>
      <c r="J476" s="7">
        <v>5.3135149999999999E-2</v>
      </c>
      <c r="K476" s="7">
        <v>4.8795658999999998E-2</v>
      </c>
      <c r="L476" s="7">
        <v>5.7410458999999997E-2</v>
      </c>
      <c r="M476" s="7">
        <v>5.2262532E-2</v>
      </c>
      <c r="N476" s="7">
        <v>8.0735371E-2</v>
      </c>
      <c r="O476" s="7">
        <v>4.6751519999999998E-2</v>
      </c>
      <c r="P476" s="7">
        <v>7.5037239000000006E-2</v>
      </c>
      <c r="Q476" s="7">
        <v>6.1946378000000003E-2</v>
      </c>
      <c r="R476" s="7">
        <v>7.1907556999999997E-2</v>
      </c>
      <c r="S476" s="7">
        <v>3.0408467000000002E-2</v>
      </c>
      <c r="T476" s="7">
        <v>9.7662941000000003E-2</v>
      </c>
      <c r="U476" s="7">
        <v>5.2430022E-2</v>
      </c>
      <c r="V476" s="7">
        <v>0.6189859572111116</v>
      </c>
      <c r="W476" s="7">
        <v>0.13136432665884731</v>
      </c>
      <c r="X476" s="7">
        <v>9.4434981922928082E-2</v>
      </c>
      <c r="Y476" s="7">
        <v>0.23447881030587439</v>
      </c>
      <c r="Z476" s="7">
        <v>0.13564590159246379</v>
      </c>
      <c r="AA476" s="7">
        <v>9.9500255099332136E-2</v>
      </c>
      <c r="AB476" s="4">
        <v>0</v>
      </c>
      <c r="AC476" s="4">
        <v>0</v>
      </c>
      <c r="AD476" s="4">
        <v>0</v>
      </c>
      <c r="AE476" s="4"/>
      <c r="AF476" s="4"/>
      <c r="AG476" s="4"/>
      <c r="AH476" s="4"/>
    </row>
    <row r="477" spans="1:34" x14ac:dyDescent="0.3">
      <c r="A477" s="1">
        <v>45278</v>
      </c>
      <c r="B477" s="7">
        <v>0.148337687</v>
      </c>
      <c r="C477" s="7">
        <v>8.2925613999999995E-2</v>
      </c>
      <c r="D477" s="7">
        <v>0.17587544899999999</v>
      </c>
      <c r="E477" s="7">
        <v>0.100658108</v>
      </c>
      <c r="F477" s="7">
        <v>0.124977993</v>
      </c>
      <c r="G477" s="7">
        <v>4.8633515000000002E-2</v>
      </c>
      <c r="H477" s="7">
        <v>0.118068859</v>
      </c>
      <c r="I477" s="7">
        <v>9.2906259000000005E-2</v>
      </c>
      <c r="J477" s="7">
        <v>9.4407630000000006E-2</v>
      </c>
      <c r="K477" s="7">
        <v>5.3481504999999999E-2</v>
      </c>
      <c r="L477" s="7">
        <v>0.16484162199999999</v>
      </c>
      <c r="M477" s="7">
        <v>0.11589408499999999</v>
      </c>
      <c r="N477" s="7">
        <v>5.3135149999999999E-2</v>
      </c>
      <c r="O477" s="7">
        <v>4.8795658999999998E-2</v>
      </c>
      <c r="P477" s="7">
        <v>5.7410458999999997E-2</v>
      </c>
      <c r="Q477" s="7">
        <v>5.2262532E-2</v>
      </c>
      <c r="R477" s="7">
        <v>8.0735371E-2</v>
      </c>
      <c r="S477" s="7">
        <v>4.6751519999999998E-2</v>
      </c>
      <c r="T477" s="7">
        <v>7.5037239000000006E-2</v>
      </c>
      <c r="U477" s="7">
        <v>6.1946378000000003E-2</v>
      </c>
      <c r="V477" s="7">
        <v>0.6189859572111116</v>
      </c>
      <c r="W477" s="7">
        <v>0.13026505065468072</v>
      </c>
      <c r="X477" s="7">
        <v>9.3787663301117583E-2</v>
      </c>
      <c r="Y477" s="7">
        <v>0.23447881030587439</v>
      </c>
      <c r="Z477" s="7">
        <v>0.13443189076179232</v>
      </c>
      <c r="AA477" s="7">
        <v>9.8624913989364113E-2</v>
      </c>
      <c r="AB477" s="4">
        <v>0</v>
      </c>
      <c r="AC477" s="4">
        <v>0</v>
      </c>
      <c r="AD477" s="4">
        <v>0</v>
      </c>
      <c r="AE477" s="4"/>
      <c r="AF477" s="4"/>
      <c r="AG477" s="4"/>
      <c r="AH477" s="4"/>
    </row>
    <row r="478" spans="1:34" x14ac:dyDescent="0.3">
      <c r="A478" s="1">
        <v>45279</v>
      </c>
      <c r="B478" s="7">
        <v>0.166827471</v>
      </c>
      <c r="C478" s="7">
        <v>0.14604898299999999</v>
      </c>
      <c r="D478" s="7">
        <v>0.19415928199999999</v>
      </c>
      <c r="E478" s="7">
        <v>0.20795983300000001</v>
      </c>
      <c r="F478" s="7">
        <v>0.148337687</v>
      </c>
      <c r="G478" s="7">
        <v>8.2925613999999995E-2</v>
      </c>
      <c r="H478" s="7">
        <v>0.17587544899999999</v>
      </c>
      <c r="I478" s="7">
        <v>0.100658108</v>
      </c>
      <c r="J478" s="7">
        <v>0.124977993</v>
      </c>
      <c r="K478" s="7">
        <v>4.8633515000000002E-2</v>
      </c>
      <c r="L478" s="7">
        <v>0.118068859</v>
      </c>
      <c r="M478" s="7">
        <v>9.2906259000000005E-2</v>
      </c>
      <c r="N478" s="7">
        <v>9.4407630000000006E-2</v>
      </c>
      <c r="O478" s="7">
        <v>5.3481504999999999E-2</v>
      </c>
      <c r="P478" s="7">
        <v>0.16484162199999999</v>
      </c>
      <c r="Q478" s="7">
        <v>0.11589408499999999</v>
      </c>
      <c r="R478" s="7">
        <v>5.3135149999999999E-2</v>
      </c>
      <c r="S478" s="7">
        <v>4.8795658999999998E-2</v>
      </c>
      <c r="T478" s="7">
        <v>5.7410458999999997E-2</v>
      </c>
      <c r="U478" s="7">
        <v>5.2262532E-2</v>
      </c>
      <c r="V478" s="7">
        <v>0.6189859572111116</v>
      </c>
      <c r="W478" s="7">
        <v>0.12602013002823984</v>
      </c>
      <c r="X478" s="7">
        <v>8.9366915700392777E-2</v>
      </c>
      <c r="Y478" s="7">
        <v>0.2164743050820524</v>
      </c>
      <c r="Z478" s="7">
        <v>0.13459952347966977</v>
      </c>
      <c r="AA478" s="7">
        <v>9.8369868956299816E-2</v>
      </c>
      <c r="AB478" s="4">
        <v>0</v>
      </c>
      <c r="AC478" s="4">
        <v>0</v>
      </c>
      <c r="AD478" s="4">
        <v>0</v>
      </c>
      <c r="AE478" s="4"/>
      <c r="AF478" s="4"/>
      <c r="AG478" s="4"/>
      <c r="AH478" s="4"/>
    </row>
    <row r="479" spans="1:34" x14ac:dyDescent="0.3">
      <c r="A479" s="1">
        <v>45280</v>
      </c>
      <c r="B479" s="7">
        <v>1.5686823999999999E-2</v>
      </c>
      <c r="C479" s="7">
        <v>2.6512095999999999E-2</v>
      </c>
      <c r="D479" s="7">
        <v>3.0799079E-2</v>
      </c>
      <c r="E479" s="7">
        <v>2.8493069999999999E-2</v>
      </c>
      <c r="F479" s="7">
        <v>0.166827471</v>
      </c>
      <c r="G479" s="7">
        <v>0.14604898299999999</v>
      </c>
      <c r="H479" s="7">
        <v>0.19415928199999999</v>
      </c>
      <c r="I479" s="7">
        <v>0.20795983300000001</v>
      </c>
      <c r="J479" s="7">
        <v>0.148337687</v>
      </c>
      <c r="K479" s="7">
        <v>8.2925613999999995E-2</v>
      </c>
      <c r="L479" s="7">
        <v>0.17587544899999999</v>
      </c>
      <c r="M479" s="7">
        <v>0.100658108</v>
      </c>
      <c r="N479" s="7">
        <v>0.124977993</v>
      </c>
      <c r="O479" s="7">
        <v>4.8633515000000002E-2</v>
      </c>
      <c r="P479" s="7">
        <v>0.118068859</v>
      </c>
      <c r="Q479" s="7">
        <v>9.2906259000000005E-2</v>
      </c>
      <c r="R479" s="7">
        <v>9.4407630000000006E-2</v>
      </c>
      <c r="S479" s="7">
        <v>5.3481504999999999E-2</v>
      </c>
      <c r="T479" s="7">
        <v>0.16484162199999999</v>
      </c>
      <c r="U479" s="7">
        <v>0.11589408499999999</v>
      </c>
      <c r="V479" s="7">
        <v>0.64130528957392241</v>
      </c>
      <c r="W479" s="7">
        <v>0.12613447228491942</v>
      </c>
      <c r="X479" s="7">
        <v>8.9626081014360495E-2</v>
      </c>
      <c r="Y479" s="7">
        <v>0.23447881030587439</v>
      </c>
      <c r="Z479" s="7">
        <v>0.13470504360049038</v>
      </c>
      <c r="AA479" s="7">
        <v>9.861063648424738E-2</v>
      </c>
      <c r="AB479" s="4">
        <v>0</v>
      </c>
      <c r="AC479" s="4">
        <v>0</v>
      </c>
      <c r="AD479" s="4">
        <v>0</v>
      </c>
      <c r="AE479" s="4"/>
      <c r="AF479" s="4"/>
      <c r="AG479" s="4"/>
      <c r="AH479" s="4"/>
    </row>
    <row r="480" spans="1:34" x14ac:dyDescent="0.3">
      <c r="A480" s="1">
        <v>45281</v>
      </c>
      <c r="B480" s="7">
        <v>5.2342899999999998E-2</v>
      </c>
      <c r="C480" s="7">
        <v>3.4142487999999999E-2</v>
      </c>
      <c r="D480" s="7">
        <v>6.1199327999999997E-2</v>
      </c>
      <c r="E480" s="7">
        <v>4.250582E-2</v>
      </c>
      <c r="F480" s="7">
        <v>1.5686823999999999E-2</v>
      </c>
      <c r="G480" s="7">
        <v>2.6512095999999999E-2</v>
      </c>
      <c r="H480" s="7">
        <v>3.0799079E-2</v>
      </c>
      <c r="I480" s="7">
        <v>2.8493069999999999E-2</v>
      </c>
      <c r="J480" s="7">
        <v>0.166827471</v>
      </c>
      <c r="K480" s="7">
        <v>0.14604898299999999</v>
      </c>
      <c r="L480" s="7">
        <v>0.19415928199999999</v>
      </c>
      <c r="M480" s="7">
        <v>0.20795983300000001</v>
      </c>
      <c r="N480" s="7">
        <v>0.148337687</v>
      </c>
      <c r="O480" s="7">
        <v>8.2925613999999995E-2</v>
      </c>
      <c r="P480" s="7">
        <v>0.17587544899999999</v>
      </c>
      <c r="Q480" s="7">
        <v>0.100658108</v>
      </c>
      <c r="R480" s="7">
        <v>0.124977993</v>
      </c>
      <c r="S480" s="7">
        <v>4.8633515000000002E-2</v>
      </c>
      <c r="T480" s="7">
        <v>0.118068859</v>
      </c>
      <c r="U480" s="7">
        <v>9.2906259000000005E-2</v>
      </c>
      <c r="V480" s="7">
        <v>0.52269252353198681</v>
      </c>
      <c r="W480" s="7">
        <v>0.12689425917465061</v>
      </c>
      <c r="X480" s="7">
        <v>8.9496566300608982E-2</v>
      </c>
      <c r="Y480" s="7">
        <v>0.23447881030587439</v>
      </c>
      <c r="Z480" s="7">
        <v>0.13500736913209047</v>
      </c>
      <c r="AA480" s="7">
        <v>9.8722777467144876E-2</v>
      </c>
      <c r="AB480" s="4">
        <v>1</v>
      </c>
      <c r="AC480" s="4">
        <v>0</v>
      </c>
      <c r="AD480" s="4">
        <v>1</v>
      </c>
      <c r="AE480" s="4"/>
      <c r="AF480" s="4"/>
      <c r="AG480" s="4"/>
      <c r="AH480" s="4"/>
    </row>
    <row r="481" spans="1:34" x14ac:dyDescent="0.3">
      <c r="A481" s="1">
        <v>45282</v>
      </c>
      <c r="B481" s="7">
        <v>5.6626584000000001E-2</v>
      </c>
      <c r="C481" s="7">
        <v>6.9316180000000005E-2</v>
      </c>
      <c r="D481" s="7">
        <v>7.2722887999999999E-2</v>
      </c>
      <c r="E481" s="7">
        <v>5.6827593000000003E-2</v>
      </c>
      <c r="F481" s="7">
        <v>5.2342899999999998E-2</v>
      </c>
      <c r="G481" s="7">
        <v>3.4142487999999999E-2</v>
      </c>
      <c r="H481" s="7">
        <v>6.1199327999999997E-2</v>
      </c>
      <c r="I481" s="7">
        <v>4.250582E-2</v>
      </c>
      <c r="J481" s="7">
        <v>1.5686823999999999E-2</v>
      </c>
      <c r="K481" s="7">
        <v>2.6512095999999999E-2</v>
      </c>
      <c r="L481" s="7">
        <v>3.0799079E-2</v>
      </c>
      <c r="M481" s="7">
        <v>2.8493069999999999E-2</v>
      </c>
      <c r="N481" s="7">
        <v>0.166827471</v>
      </c>
      <c r="O481" s="7">
        <v>0.14604898299999999</v>
      </c>
      <c r="P481" s="7">
        <v>0.19415928199999999</v>
      </c>
      <c r="Q481" s="7">
        <v>0.20795983300000001</v>
      </c>
      <c r="R481" s="7">
        <v>0.148337687</v>
      </c>
      <c r="S481" s="7">
        <v>8.2925613999999995E-2</v>
      </c>
      <c r="T481" s="7">
        <v>0.17587544899999999</v>
      </c>
      <c r="U481" s="7">
        <v>0.100658108</v>
      </c>
      <c r="V481" s="7">
        <v>0.64130528957392241</v>
      </c>
      <c r="W481" s="7">
        <v>0.12353073795931764</v>
      </c>
      <c r="X481" s="7">
        <v>8.689138363877251E-2</v>
      </c>
      <c r="Y481" s="7">
        <v>0.23447881030587439</v>
      </c>
      <c r="Z481" s="7">
        <v>0.1347531735198986</v>
      </c>
      <c r="AA481" s="7">
        <v>9.8498878932440581E-2</v>
      </c>
      <c r="AB481" s="4">
        <v>1</v>
      </c>
      <c r="AC481" s="4">
        <v>0</v>
      </c>
      <c r="AD481" s="4">
        <v>1</v>
      </c>
      <c r="AE481" s="4"/>
      <c r="AF481" s="4"/>
      <c r="AG481" s="4"/>
      <c r="AH481" s="4"/>
    </row>
    <row r="482" spans="1:34" x14ac:dyDescent="0.3">
      <c r="A482" s="1">
        <v>45285</v>
      </c>
      <c r="B482" s="7">
        <v>3.7186484999999998E-2</v>
      </c>
      <c r="C482" s="7">
        <v>2.3093968999999999E-2</v>
      </c>
      <c r="D482" s="7">
        <v>4.9140523999999998E-2</v>
      </c>
      <c r="E482" s="7">
        <v>3.8834761000000002E-2</v>
      </c>
      <c r="F482" s="7">
        <v>5.6626584000000001E-2</v>
      </c>
      <c r="G482" s="7">
        <v>6.9316180000000005E-2</v>
      </c>
      <c r="H482" s="7">
        <v>7.2722887999999999E-2</v>
      </c>
      <c r="I482" s="7">
        <v>5.6827593000000003E-2</v>
      </c>
      <c r="J482" s="7">
        <v>5.2342899999999998E-2</v>
      </c>
      <c r="K482" s="7">
        <v>3.4142487999999999E-2</v>
      </c>
      <c r="L482" s="7">
        <v>6.1199327999999997E-2</v>
      </c>
      <c r="M482" s="7">
        <v>4.250582E-2</v>
      </c>
      <c r="N482" s="7">
        <v>1.5686823999999999E-2</v>
      </c>
      <c r="O482" s="7">
        <v>2.6512095999999999E-2</v>
      </c>
      <c r="P482" s="7">
        <v>3.0799079E-2</v>
      </c>
      <c r="Q482" s="7">
        <v>2.8493069999999999E-2</v>
      </c>
      <c r="R482" s="7">
        <v>0.166827471</v>
      </c>
      <c r="S482" s="7">
        <v>0.14604898299999999</v>
      </c>
      <c r="T482" s="7">
        <v>0.19415928199999999</v>
      </c>
      <c r="U482" s="7">
        <v>0.20795983300000001</v>
      </c>
      <c r="V482" s="7">
        <v>0.52269252353198681</v>
      </c>
      <c r="W482" s="7">
        <v>0.12352863207628371</v>
      </c>
      <c r="X482" s="7">
        <v>8.6624548392285727E-2</v>
      </c>
      <c r="Y482" s="7">
        <v>0.2164743050820524</v>
      </c>
      <c r="Z482" s="7">
        <v>0.13464564141463256</v>
      </c>
      <c r="AA482" s="7">
        <v>9.8249146643455937E-2</v>
      </c>
      <c r="AB482" s="4">
        <v>0</v>
      </c>
      <c r="AC482" s="4">
        <v>1</v>
      </c>
      <c r="AD482" s="4">
        <v>1</v>
      </c>
      <c r="AE482" s="4"/>
      <c r="AF482" s="4"/>
      <c r="AG482" s="4"/>
      <c r="AH482" s="4"/>
    </row>
    <row r="483" spans="1:34" x14ac:dyDescent="0.3">
      <c r="A483" s="1">
        <v>45286</v>
      </c>
      <c r="B483" s="7">
        <v>4.0629727999999997E-2</v>
      </c>
      <c r="C483" s="7">
        <v>5.8935387999999998E-2</v>
      </c>
      <c r="D483" s="7">
        <v>4.7726327999999998E-2</v>
      </c>
      <c r="E483" s="7">
        <v>3.8684323E-2</v>
      </c>
      <c r="F483" s="7">
        <v>3.7186484999999998E-2</v>
      </c>
      <c r="G483" s="7">
        <v>2.3093968999999999E-2</v>
      </c>
      <c r="H483" s="7">
        <v>4.9140523999999998E-2</v>
      </c>
      <c r="I483" s="7">
        <v>3.8834761000000002E-2</v>
      </c>
      <c r="J483" s="7">
        <v>5.6626584000000001E-2</v>
      </c>
      <c r="K483" s="7">
        <v>6.9316180000000005E-2</v>
      </c>
      <c r="L483" s="7">
        <v>7.2722887999999999E-2</v>
      </c>
      <c r="M483" s="7">
        <v>5.6827593000000003E-2</v>
      </c>
      <c r="N483" s="7">
        <v>5.2342899999999998E-2</v>
      </c>
      <c r="O483" s="7">
        <v>3.4142487999999999E-2</v>
      </c>
      <c r="P483" s="7">
        <v>6.1199327999999997E-2</v>
      </c>
      <c r="Q483" s="7">
        <v>4.250582E-2</v>
      </c>
      <c r="R483" s="7">
        <v>1.5686823999999999E-2</v>
      </c>
      <c r="S483" s="7">
        <v>2.6512095999999999E-2</v>
      </c>
      <c r="T483" s="7">
        <v>3.0799079E-2</v>
      </c>
      <c r="U483" s="7">
        <v>2.8493069999999999E-2</v>
      </c>
      <c r="V483" s="7">
        <v>0.52269252353198681</v>
      </c>
      <c r="W483" s="7">
        <v>0.12473634778702686</v>
      </c>
      <c r="X483" s="7">
        <v>8.7538732863119181E-2</v>
      </c>
      <c r="Y483" s="7">
        <v>0.23447881030587439</v>
      </c>
      <c r="Z483" s="7">
        <v>0.13507131847869108</v>
      </c>
      <c r="AA483" s="7">
        <v>9.8916625705466943E-2</v>
      </c>
      <c r="AB483" s="4">
        <v>0</v>
      </c>
      <c r="AC483" s="4">
        <v>1</v>
      </c>
      <c r="AD483" s="4">
        <v>1</v>
      </c>
      <c r="AE483" s="4"/>
      <c r="AF483" s="4"/>
      <c r="AG483" s="4"/>
      <c r="AH483" s="4"/>
    </row>
    <row r="484" spans="1:34" x14ac:dyDescent="0.3">
      <c r="A484" s="1">
        <v>45287</v>
      </c>
      <c r="B484" s="7">
        <v>2.2427132999999998E-2</v>
      </c>
      <c r="C484" s="7">
        <v>3.8100672000000002E-2</v>
      </c>
      <c r="D484" s="7">
        <v>4.8348055000000001E-2</v>
      </c>
      <c r="E484" s="7">
        <v>4.4926889999999997E-2</v>
      </c>
      <c r="F484" s="7">
        <v>4.0629727999999997E-2</v>
      </c>
      <c r="G484" s="7">
        <v>5.8935387999999998E-2</v>
      </c>
      <c r="H484" s="7">
        <v>4.7726327999999998E-2</v>
      </c>
      <c r="I484" s="7">
        <v>3.8684323E-2</v>
      </c>
      <c r="J484" s="7">
        <v>3.7186484999999998E-2</v>
      </c>
      <c r="K484" s="7">
        <v>2.3093968999999999E-2</v>
      </c>
      <c r="L484" s="7">
        <v>4.9140523999999998E-2</v>
      </c>
      <c r="M484" s="7">
        <v>3.8834761000000002E-2</v>
      </c>
      <c r="N484" s="7">
        <v>5.6626584000000001E-2</v>
      </c>
      <c r="O484" s="7">
        <v>6.9316180000000005E-2</v>
      </c>
      <c r="P484" s="7">
        <v>7.2722887999999999E-2</v>
      </c>
      <c r="Q484" s="7">
        <v>5.6827593000000003E-2</v>
      </c>
      <c r="R484" s="7">
        <v>5.2342899999999998E-2</v>
      </c>
      <c r="S484" s="7">
        <v>3.4142487999999999E-2</v>
      </c>
      <c r="T484" s="7">
        <v>6.1199327999999997E-2</v>
      </c>
      <c r="U484" s="7">
        <v>4.250582E-2</v>
      </c>
      <c r="V484" s="7">
        <v>0.52269252353198681</v>
      </c>
      <c r="W484" s="7">
        <v>0.12520866513199883</v>
      </c>
      <c r="X484" s="7">
        <v>8.7808420345787813E-2</v>
      </c>
      <c r="Y484" s="7">
        <v>0.25124448861610316</v>
      </c>
      <c r="Z484" s="7">
        <v>0.13204772119214386</v>
      </c>
      <c r="AA484" s="7">
        <v>9.6028672202607676E-2</v>
      </c>
      <c r="AB484" s="4">
        <v>0</v>
      </c>
      <c r="AC484" s="4">
        <v>1</v>
      </c>
      <c r="AD484" s="4">
        <v>1</v>
      </c>
      <c r="AE484" s="4"/>
      <c r="AF484" s="4"/>
      <c r="AG484" s="4"/>
      <c r="AH484" s="4"/>
    </row>
    <row r="485" spans="1:34" x14ac:dyDescent="0.3">
      <c r="A485" s="1">
        <v>45288</v>
      </c>
      <c r="B485" s="7">
        <v>5.4268447999999997E-2</v>
      </c>
      <c r="C485" s="7">
        <v>3.1834966999999999E-2</v>
      </c>
      <c r="D485" s="7">
        <v>9.2307193999999995E-2</v>
      </c>
      <c r="E485" s="7">
        <v>4.9542989000000003E-2</v>
      </c>
      <c r="F485" s="7">
        <v>2.2427132999999998E-2</v>
      </c>
      <c r="G485" s="7">
        <v>3.8100672000000002E-2</v>
      </c>
      <c r="H485" s="7">
        <v>4.8348055000000001E-2</v>
      </c>
      <c r="I485" s="7">
        <v>4.4926889999999997E-2</v>
      </c>
      <c r="J485" s="7">
        <v>4.0629727999999997E-2</v>
      </c>
      <c r="K485" s="7">
        <v>5.8935387999999998E-2</v>
      </c>
      <c r="L485" s="7">
        <v>4.7726327999999998E-2</v>
      </c>
      <c r="M485" s="7">
        <v>3.8684323E-2</v>
      </c>
      <c r="N485" s="7">
        <v>3.7186484999999998E-2</v>
      </c>
      <c r="O485" s="7">
        <v>2.3093968999999999E-2</v>
      </c>
      <c r="P485" s="7">
        <v>4.9140523999999998E-2</v>
      </c>
      <c r="Q485" s="7">
        <v>3.8834761000000002E-2</v>
      </c>
      <c r="R485" s="7">
        <v>5.6626584000000001E-2</v>
      </c>
      <c r="S485" s="7">
        <v>6.9316180000000005E-2</v>
      </c>
      <c r="T485" s="7">
        <v>7.2722887999999999E-2</v>
      </c>
      <c r="U485" s="7">
        <v>5.6827593000000003E-2</v>
      </c>
      <c r="V485" s="7">
        <v>0.52269252353198681</v>
      </c>
      <c r="W485" s="7">
        <v>0.12378689082704444</v>
      </c>
      <c r="X485" s="7">
        <v>8.6995479427693465E-2</v>
      </c>
      <c r="Y485" s="7">
        <v>0.30892512764331903</v>
      </c>
      <c r="Z485" s="7">
        <v>0.13156933130492338</v>
      </c>
      <c r="AA485" s="7">
        <v>9.5942619489510203E-2</v>
      </c>
      <c r="AB485" s="4">
        <v>0</v>
      </c>
      <c r="AC485" s="4">
        <v>1</v>
      </c>
      <c r="AD485" s="4">
        <v>1</v>
      </c>
      <c r="AE485" s="4"/>
      <c r="AF485" s="4"/>
      <c r="AG485" s="4"/>
      <c r="AH485" s="4"/>
    </row>
    <row r="486" spans="1:34" x14ac:dyDescent="0.3">
      <c r="A486" s="1">
        <v>45289</v>
      </c>
      <c r="B486" s="7">
        <v>4.4894617999999997E-2</v>
      </c>
      <c r="C486" s="7">
        <v>2.8247297000000001E-2</v>
      </c>
      <c r="D486" s="7">
        <v>7.5114649000000006E-2</v>
      </c>
      <c r="E486" s="7">
        <v>4.3910444E-2</v>
      </c>
      <c r="F486" s="7">
        <v>5.4268447999999997E-2</v>
      </c>
      <c r="G486" s="7">
        <v>3.1834966999999999E-2</v>
      </c>
      <c r="H486" s="7">
        <v>9.2307193999999995E-2</v>
      </c>
      <c r="I486" s="7">
        <v>4.9542989000000003E-2</v>
      </c>
      <c r="J486" s="7">
        <v>2.2427132999999998E-2</v>
      </c>
      <c r="K486" s="7">
        <v>3.8100672000000002E-2</v>
      </c>
      <c r="L486" s="7">
        <v>4.8348055000000001E-2</v>
      </c>
      <c r="M486" s="7">
        <v>4.4926889999999997E-2</v>
      </c>
      <c r="N486" s="7">
        <v>4.0629727999999997E-2</v>
      </c>
      <c r="O486" s="7">
        <v>5.8935387999999998E-2</v>
      </c>
      <c r="P486" s="7">
        <v>4.7726327999999998E-2</v>
      </c>
      <c r="Q486" s="7">
        <v>3.8684323E-2</v>
      </c>
      <c r="R486" s="7">
        <v>3.7186484999999998E-2</v>
      </c>
      <c r="S486" s="7">
        <v>2.3093968999999999E-2</v>
      </c>
      <c r="T486" s="7">
        <v>4.9140523999999998E-2</v>
      </c>
      <c r="U486" s="7">
        <v>3.8834761000000002E-2</v>
      </c>
      <c r="V486" s="7">
        <v>0.52269252353198681</v>
      </c>
      <c r="W486" s="7">
        <v>0.11978820539017346</v>
      </c>
      <c r="X486" s="7">
        <v>8.3324856512259293E-2</v>
      </c>
      <c r="Y486" s="7">
        <v>0.36904852507208524</v>
      </c>
      <c r="Z486" s="7">
        <v>0.13156102819808521</v>
      </c>
      <c r="AA486" s="7">
        <v>9.6052474348007857E-2</v>
      </c>
      <c r="AB486" s="4">
        <v>0</v>
      </c>
      <c r="AC486" s="4">
        <v>1</v>
      </c>
      <c r="AD486" s="4">
        <v>1</v>
      </c>
      <c r="AE486" s="4"/>
      <c r="AF486" s="4"/>
      <c r="AG486" s="4"/>
      <c r="AH486" s="4"/>
    </row>
    <row r="487" spans="1:34" x14ac:dyDescent="0.3">
      <c r="A487" s="8">
        <v>45293</v>
      </c>
      <c r="B487" s="9">
        <v>3.9710172000000002E-2</v>
      </c>
      <c r="C487" s="9">
        <v>2.8701719000000001E-2</v>
      </c>
      <c r="D487" s="9">
        <v>6.499365E-2</v>
      </c>
      <c r="E487" s="9">
        <v>6.6382773000000006E-2</v>
      </c>
      <c r="F487" s="7">
        <v>4.4894617999999997E-2</v>
      </c>
      <c r="G487" s="7">
        <v>2.8247297000000001E-2</v>
      </c>
      <c r="H487" s="7">
        <v>7.5114649000000006E-2</v>
      </c>
      <c r="I487" s="7">
        <v>4.3910444E-2</v>
      </c>
      <c r="J487" s="7">
        <v>5.4268447999999997E-2</v>
      </c>
      <c r="K487" s="7">
        <v>3.1834966999999999E-2</v>
      </c>
      <c r="L487" s="7">
        <v>9.2307193999999995E-2</v>
      </c>
      <c r="M487" s="7">
        <v>4.9542989000000003E-2</v>
      </c>
      <c r="N487" s="7">
        <v>2.2427132999999998E-2</v>
      </c>
      <c r="O487" s="7">
        <v>3.8100672000000002E-2</v>
      </c>
      <c r="P487" s="7">
        <v>4.8348055000000001E-2</v>
      </c>
      <c r="Q487" s="7">
        <v>4.4926889999999997E-2</v>
      </c>
      <c r="R487" s="7">
        <v>4.0629727999999997E-2</v>
      </c>
      <c r="S487" s="7">
        <v>5.8935387999999998E-2</v>
      </c>
      <c r="T487" s="7">
        <v>4.7726327999999998E-2</v>
      </c>
      <c r="U487" s="7">
        <v>3.8684323E-2</v>
      </c>
      <c r="AB487" s="16">
        <v>0</v>
      </c>
      <c r="AC487" s="16">
        <v>1</v>
      </c>
      <c r="AD487" s="16">
        <v>1</v>
      </c>
      <c r="AE487" s="16"/>
      <c r="AF487" s="16" t="s">
        <v>308</v>
      </c>
      <c r="AG487" s="16" t="s">
        <v>309</v>
      </c>
      <c r="AH487" s="16" t="s">
        <v>310</v>
      </c>
    </row>
    <row r="488" spans="1:34" x14ac:dyDescent="0.3">
      <c r="A488" s="8">
        <v>45294</v>
      </c>
      <c r="B488" s="9">
        <v>5.5514835999999998E-2</v>
      </c>
      <c r="C488" s="9">
        <v>3.9195120999999999E-2</v>
      </c>
      <c r="D488" s="9">
        <v>2.9748783000000001E-2</v>
      </c>
      <c r="E488" s="9">
        <v>5.3908866E-2</v>
      </c>
      <c r="F488" s="10">
        <v>3.9710172000000002E-2</v>
      </c>
      <c r="G488" s="10">
        <v>2.8701719000000001E-2</v>
      </c>
      <c r="H488" s="10">
        <v>6.499365E-2</v>
      </c>
      <c r="I488" s="10">
        <v>6.6382773000000006E-2</v>
      </c>
      <c r="J488" s="7">
        <v>4.4894617999999997E-2</v>
      </c>
      <c r="K488" s="7">
        <v>2.8247297000000001E-2</v>
      </c>
      <c r="L488" s="7">
        <v>7.5114649000000006E-2</v>
      </c>
      <c r="M488" s="7">
        <v>4.3910444E-2</v>
      </c>
      <c r="N488" s="7">
        <v>5.4268447999999997E-2</v>
      </c>
      <c r="O488" s="7">
        <v>3.1834966999999999E-2</v>
      </c>
      <c r="P488" s="7">
        <v>9.2307193999999995E-2</v>
      </c>
      <c r="Q488" s="7">
        <v>4.9542989000000003E-2</v>
      </c>
      <c r="R488" s="7">
        <v>2.2427132999999998E-2</v>
      </c>
      <c r="S488" s="7">
        <v>3.8100672000000002E-2</v>
      </c>
      <c r="T488" s="7">
        <v>4.8348055000000001E-2</v>
      </c>
      <c r="U488" s="7">
        <v>4.4926889999999997E-2</v>
      </c>
      <c r="AB488" s="16">
        <v>0</v>
      </c>
      <c r="AC488" s="16">
        <v>0</v>
      </c>
      <c r="AD488" s="16">
        <v>0</v>
      </c>
      <c r="AE488" s="16" t="s">
        <v>311</v>
      </c>
      <c r="AF488" s="16">
        <v>98</v>
      </c>
      <c r="AG488" s="16">
        <v>48</v>
      </c>
      <c r="AH488" s="16">
        <v>146</v>
      </c>
    </row>
    <row r="489" spans="1:34" x14ac:dyDescent="0.3">
      <c r="A489" s="8">
        <v>45295</v>
      </c>
      <c r="B489" s="9">
        <v>9.4236792E-2</v>
      </c>
      <c r="C489" s="9">
        <v>4.0751470999999997E-2</v>
      </c>
      <c r="D489" s="9">
        <v>0.115692117</v>
      </c>
      <c r="E489" s="9">
        <v>5.4674694000000003E-2</v>
      </c>
      <c r="F489" s="10">
        <v>5.5514835999999998E-2</v>
      </c>
      <c r="G489" s="10">
        <v>3.9195120999999999E-2</v>
      </c>
      <c r="H489" s="10">
        <v>2.9748783000000001E-2</v>
      </c>
      <c r="I489" s="10">
        <v>5.3908866E-2</v>
      </c>
      <c r="J489" s="11">
        <v>3.9710172000000002E-2</v>
      </c>
      <c r="K489" s="11">
        <v>2.8701719000000001E-2</v>
      </c>
      <c r="L489" s="11">
        <v>6.499365E-2</v>
      </c>
      <c r="M489" s="11">
        <v>6.6382773000000006E-2</v>
      </c>
      <c r="N489" s="7">
        <v>4.4894617999999997E-2</v>
      </c>
      <c r="O489" s="7">
        <v>2.8247297000000001E-2</v>
      </c>
      <c r="P489" s="7">
        <v>7.5114649000000006E-2</v>
      </c>
      <c r="Q489" s="7">
        <v>4.3910444E-2</v>
      </c>
      <c r="R489" s="7">
        <v>5.4268447999999997E-2</v>
      </c>
      <c r="S489" s="7">
        <v>3.1834966999999999E-2</v>
      </c>
      <c r="T489" s="7">
        <v>9.2307193999999995E-2</v>
      </c>
      <c r="U489" s="7">
        <v>4.9542989000000003E-2</v>
      </c>
      <c r="AB489" s="16">
        <v>0</v>
      </c>
      <c r="AC489" s="16">
        <v>0</v>
      </c>
      <c r="AD489" s="16">
        <v>0</v>
      </c>
      <c r="AE489" s="16" t="s">
        <v>312</v>
      </c>
      <c r="AF489" s="16">
        <v>143</v>
      </c>
      <c r="AG489" s="16">
        <v>194</v>
      </c>
      <c r="AH489" s="16">
        <v>96</v>
      </c>
    </row>
    <row r="490" spans="1:34" x14ac:dyDescent="0.3">
      <c r="A490" s="8">
        <v>45296</v>
      </c>
      <c r="B490" s="9">
        <v>9.6919545999999995E-2</v>
      </c>
      <c r="C490" s="9">
        <v>2.8727039999999999E-2</v>
      </c>
      <c r="D490" s="9">
        <v>7.9308442000000007E-2</v>
      </c>
      <c r="E490" s="9">
        <v>3.579065E-2</v>
      </c>
      <c r="F490" s="10">
        <v>9.4236792E-2</v>
      </c>
      <c r="G490" s="10">
        <v>4.0751470999999997E-2</v>
      </c>
      <c r="H490" s="10">
        <v>0.115692117</v>
      </c>
      <c r="I490" s="10">
        <v>5.4674694000000003E-2</v>
      </c>
      <c r="J490" s="11">
        <v>5.5514835999999998E-2</v>
      </c>
      <c r="K490" s="11">
        <v>3.9195120999999999E-2</v>
      </c>
      <c r="L490" s="11">
        <v>2.9748783000000001E-2</v>
      </c>
      <c r="M490" s="11">
        <v>5.3908866E-2</v>
      </c>
      <c r="N490" s="12">
        <v>3.9710172000000002E-2</v>
      </c>
      <c r="O490" s="12">
        <v>2.8701719000000001E-2</v>
      </c>
      <c r="P490" s="12">
        <v>6.499365E-2</v>
      </c>
      <c r="Q490" s="12">
        <v>6.6382773000000006E-2</v>
      </c>
      <c r="R490" s="7">
        <v>4.4894617999999997E-2</v>
      </c>
      <c r="S490" s="7">
        <v>2.8247297000000001E-2</v>
      </c>
      <c r="T490" s="7">
        <v>7.5114649000000006E-2</v>
      </c>
      <c r="U490" s="7">
        <v>4.3910444E-2</v>
      </c>
      <c r="AB490" s="16">
        <v>0</v>
      </c>
      <c r="AC490" s="16">
        <v>0</v>
      </c>
      <c r="AD490" s="16">
        <v>0</v>
      </c>
      <c r="AE490" s="16"/>
      <c r="AF490" s="16">
        <v>241</v>
      </c>
      <c r="AG490" s="16">
        <v>242</v>
      </c>
      <c r="AH490" s="16">
        <v>242</v>
      </c>
    </row>
    <row r="491" spans="1:34" x14ac:dyDescent="0.3">
      <c r="A491" s="8">
        <v>45299</v>
      </c>
      <c r="B491" s="9">
        <v>8.5439407999999994E-2</v>
      </c>
      <c r="C491" s="9">
        <v>3.6640204000000003E-2</v>
      </c>
      <c r="D491" s="9">
        <v>8.6862537000000004E-2</v>
      </c>
      <c r="E491" s="9">
        <v>5.1259002999999997E-2</v>
      </c>
      <c r="F491" s="10">
        <v>9.6919545999999995E-2</v>
      </c>
      <c r="G491" s="10">
        <v>2.8727039999999999E-2</v>
      </c>
      <c r="H491" s="10">
        <v>7.9308442000000007E-2</v>
      </c>
      <c r="I491" s="10">
        <v>3.579065E-2</v>
      </c>
      <c r="J491" s="11">
        <v>9.4236792E-2</v>
      </c>
      <c r="K491" s="11">
        <v>4.0751470999999997E-2</v>
      </c>
      <c r="L491" s="11">
        <v>0.115692117</v>
      </c>
      <c r="M491" s="11">
        <v>5.4674694000000003E-2</v>
      </c>
      <c r="N491" s="12">
        <v>5.5514835999999998E-2</v>
      </c>
      <c r="O491" s="12">
        <v>3.9195120999999999E-2</v>
      </c>
      <c r="P491" s="12">
        <v>2.9748783000000001E-2</v>
      </c>
      <c r="Q491" s="12">
        <v>5.3908866E-2</v>
      </c>
      <c r="R491" s="13">
        <v>3.9710172000000002E-2</v>
      </c>
      <c r="S491" s="13">
        <v>2.8701719000000001E-2</v>
      </c>
      <c r="T491" s="13">
        <v>6.499365E-2</v>
      </c>
      <c r="U491" s="13">
        <v>6.6382773000000006E-2</v>
      </c>
      <c r="AB491" s="16">
        <v>0</v>
      </c>
      <c r="AC491" s="16">
        <v>0</v>
      </c>
      <c r="AD491" s="16">
        <v>0</v>
      </c>
      <c r="AE491" s="16"/>
      <c r="AF491" s="16"/>
      <c r="AG491" s="16"/>
      <c r="AH491" s="16"/>
    </row>
    <row r="492" spans="1:34" x14ac:dyDescent="0.3">
      <c r="A492" s="8">
        <v>45300</v>
      </c>
      <c r="B492" s="9">
        <v>8.7263287999999994E-2</v>
      </c>
      <c r="C492" s="9">
        <v>4.1776028E-2</v>
      </c>
      <c r="D492" s="9">
        <v>4.5973346999999998E-2</v>
      </c>
      <c r="E492" s="9">
        <v>5.8049163000000001E-2</v>
      </c>
      <c r="F492" s="10">
        <v>8.5439407999999994E-2</v>
      </c>
      <c r="G492" s="10">
        <v>3.6640204000000003E-2</v>
      </c>
      <c r="H492" s="10">
        <v>8.6862537000000004E-2</v>
      </c>
      <c r="I492" s="10">
        <v>5.1259002999999997E-2</v>
      </c>
      <c r="J492" s="11">
        <v>9.6919545999999995E-2</v>
      </c>
      <c r="K492" s="11">
        <v>2.8727039999999999E-2</v>
      </c>
      <c r="L492" s="11">
        <v>7.9308442000000007E-2</v>
      </c>
      <c r="M492" s="11">
        <v>3.579065E-2</v>
      </c>
      <c r="N492" s="12">
        <v>9.4236792E-2</v>
      </c>
      <c r="O492" s="12">
        <v>4.0751470999999997E-2</v>
      </c>
      <c r="P492" s="12">
        <v>0.115692117</v>
      </c>
      <c r="Q492" s="12">
        <v>5.4674694000000003E-2</v>
      </c>
      <c r="R492" s="13">
        <v>5.5514835999999998E-2</v>
      </c>
      <c r="S492" s="13">
        <v>3.9195120999999999E-2</v>
      </c>
      <c r="T492" s="13">
        <v>2.9748783000000001E-2</v>
      </c>
      <c r="U492" s="13">
        <v>5.3908866E-2</v>
      </c>
      <c r="AB492" s="16">
        <v>0</v>
      </c>
      <c r="AC492" s="16">
        <v>0</v>
      </c>
      <c r="AD492" s="16">
        <v>0</v>
      </c>
      <c r="AE492" s="16"/>
      <c r="AF492" s="16"/>
      <c r="AG492" s="16"/>
      <c r="AH492" s="16"/>
    </row>
    <row r="493" spans="1:34" x14ac:dyDescent="0.3">
      <c r="A493" s="8">
        <v>45301</v>
      </c>
      <c r="B493" s="9">
        <v>6.3309223999999997E-2</v>
      </c>
      <c r="C493" s="9">
        <v>5.1928647000000001E-2</v>
      </c>
      <c r="D493" s="9">
        <v>5.6437434000000002E-2</v>
      </c>
      <c r="E493" s="9">
        <v>7.3707754E-2</v>
      </c>
      <c r="F493" s="10">
        <v>8.7263287999999994E-2</v>
      </c>
      <c r="G493" s="10">
        <v>4.1776028E-2</v>
      </c>
      <c r="H493" s="10">
        <v>4.5973346999999998E-2</v>
      </c>
      <c r="I493" s="10">
        <v>5.8049163000000001E-2</v>
      </c>
      <c r="J493" s="11">
        <v>8.5439407999999994E-2</v>
      </c>
      <c r="K493" s="11">
        <v>3.6640204000000003E-2</v>
      </c>
      <c r="L493" s="11">
        <v>8.6862537000000004E-2</v>
      </c>
      <c r="M493" s="11">
        <v>5.1259002999999997E-2</v>
      </c>
      <c r="N493" s="12">
        <v>9.6919545999999995E-2</v>
      </c>
      <c r="O493" s="12">
        <v>2.8727039999999999E-2</v>
      </c>
      <c r="P493" s="12">
        <v>7.9308442000000007E-2</v>
      </c>
      <c r="Q493" s="12">
        <v>3.579065E-2</v>
      </c>
      <c r="R493" s="13">
        <v>9.4236792E-2</v>
      </c>
      <c r="S493" s="13">
        <v>4.0751470999999997E-2</v>
      </c>
      <c r="T493" s="13">
        <v>0.115692117</v>
      </c>
      <c r="U493" s="13">
        <v>5.4674694000000003E-2</v>
      </c>
      <c r="AB493" s="16">
        <v>0</v>
      </c>
      <c r="AC493" s="16">
        <v>1</v>
      </c>
      <c r="AD493" s="16">
        <v>1</v>
      </c>
      <c r="AE493" s="16"/>
      <c r="AF493" s="16"/>
      <c r="AG493" s="16"/>
      <c r="AH493" s="16"/>
    </row>
    <row r="494" spans="1:34" x14ac:dyDescent="0.3">
      <c r="A494" s="8">
        <v>45302</v>
      </c>
      <c r="B494" s="9">
        <v>0.198619186</v>
      </c>
      <c r="C494" s="9">
        <v>9.9837549999999997E-2</v>
      </c>
      <c r="D494" s="9">
        <v>0.222400124</v>
      </c>
      <c r="E494" s="9">
        <v>5.3978643999999999E-2</v>
      </c>
      <c r="F494" s="10">
        <v>6.3309223999999997E-2</v>
      </c>
      <c r="G494" s="10">
        <v>5.1928647000000001E-2</v>
      </c>
      <c r="H494" s="10">
        <v>5.6437434000000002E-2</v>
      </c>
      <c r="I494" s="10">
        <v>7.3707754E-2</v>
      </c>
      <c r="J494" s="11">
        <v>8.7263287999999994E-2</v>
      </c>
      <c r="K494" s="11">
        <v>4.1776028E-2</v>
      </c>
      <c r="L494" s="11">
        <v>4.5973346999999998E-2</v>
      </c>
      <c r="M494" s="11">
        <v>5.8049163000000001E-2</v>
      </c>
      <c r="N494" s="12">
        <v>8.5439407999999994E-2</v>
      </c>
      <c r="O494" s="12">
        <v>3.6640204000000003E-2</v>
      </c>
      <c r="P494" s="12">
        <v>8.6862537000000004E-2</v>
      </c>
      <c r="Q494" s="12">
        <v>5.1259002999999997E-2</v>
      </c>
      <c r="R494" s="13">
        <v>9.6919545999999995E-2</v>
      </c>
      <c r="S494" s="13">
        <v>2.8727039999999999E-2</v>
      </c>
      <c r="T494" s="13">
        <v>7.9308442000000007E-2</v>
      </c>
      <c r="U494" s="13">
        <v>3.579065E-2</v>
      </c>
      <c r="AB494" s="16">
        <v>0</v>
      </c>
      <c r="AC494" s="16">
        <v>1</v>
      </c>
      <c r="AD494" s="16">
        <v>1</v>
      </c>
      <c r="AE494" s="16"/>
      <c r="AF494" s="16"/>
      <c r="AG494" s="16"/>
      <c r="AH494" s="16"/>
    </row>
    <row r="495" spans="1:34" x14ac:dyDescent="0.3">
      <c r="A495" s="8">
        <v>45303</v>
      </c>
      <c r="B495" s="9">
        <v>0.216694053</v>
      </c>
      <c r="C495" s="9">
        <v>6.8704821999999999E-2</v>
      </c>
      <c r="D495" s="9">
        <v>0.25347420700000001</v>
      </c>
      <c r="E495" s="9">
        <v>7.5970282E-2</v>
      </c>
      <c r="F495" s="10">
        <v>0.198619186</v>
      </c>
      <c r="G495" s="10">
        <v>9.9837549999999997E-2</v>
      </c>
      <c r="H495" s="10">
        <v>0.222400124</v>
      </c>
      <c r="I495" s="10">
        <v>5.3978643999999999E-2</v>
      </c>
      <c r="J495" s="11">
        <v>6.3309223999999997E-2</v>
      </c>
      <c r="K495" s="11">
        <v>5.1928647000000001E-2</v>
      </c>
      <c r="L495" s="11">
        <v>5.6437434000000002E-2</v>
      </c>
      <c r="M495" s="11">
        <v>7.3707754E-2</v>
      </c>
      <c r="N495" s="12">
        <v>8.7263287999999994E-2</v>
      </c>
      <c r="O495" s="12">
        <v>4.1776028E-2</v>
      </c>
      <c r="P495" s="12">
        <v>4.5973346999999998E-2</v>
      </c>
      <c r="Q495" s="12">
        <v>5.8049163000000001E-2</v>
      </c>
      <c r="R495" s="13">
        <v>8.5439407999999994E-2</v>
      </c>
      <c r="S495" s="13">
        <v>3.6640204000000003E-2</v>
      </c>
      <c r="T495" s="13">
        <v>8.6862537000000004E-2</v>
      </c>
      <c r="U495" s="13">
        <v>5.1259002999999997E-2</v>
      </c>
      <c r="AB495" s="16">
        <v>0</v>
      </c>
      <c r="AC495" s="16">
        <v>0</v>
      </c>
      <c r="AD495" s="16">
        <v>0</v>
      </c>
      <c r="AE495" s="16"/>
      <c r="AF495" s="16"/>
      <c r="AG495" s="16"/>
      <c r="AH495" s="16"/>
    </row>
    <row r="496" spans="1:34" x14ac:dyDescent="0.3">
      <c r="A496" s="8">
        <v>45306</v>
      </c>
      <c r="B496" s="9">
        <v>0.20691504699999999</v>
      </c>
      <c r="C496" s="9">
        <v>8.3684486000000002E-2</v>
      </c>
      <c r="D496" s="9">
        <v>0.23358148100000001</v>
      </c>
      <c r="E496" s="9">
        <v>0.15584545799999999</v>
      </c>
      <c r="F496" s="10">
        <v>0.216694053</v>
      </c>
      <c r="G496" s="10">
        <v>6.8704821999999999E-2</v>
      </c>
      <c r="H496" s="10">
        <v>0.25347420700000001</v>
      </c>
      <c r="I496" s="10">
        <v>7.5970282E-2</v>
      </c>
      <c r="J496" s="11">
        <v>0.198619186</v>
      </c>
      <c r="K496" s="11">
        <v>9.9837549999999997E-2</v>
      </c>
      <c r="L496" s="11">
        <v>0.222400124</v>
      </c>
      <c r="M496" s="11">
        <v>5.3978643999999999E-2</v>
      </c>
      <c r="N496" s="12">
        <v>6.3309223999999997E-2</v>
      </c>
      <c r="O496" s="12">
        <v>5.1928647000000001E-2</v>
      </c>
      <c r="P496" s="12">
        <v>5.6437434000000002E-2</v>
      </c>
      <c r="Q496" s="12">
        <v>7.3707754E-2</v>
      </c>
      <c r="R496" s="13">
        <v>8.7263287999999994E-2</v>
      </c>
      <c r="S496" s="13">
        <v>4.1776028E-2</v>
      </c>
      <c r="T496" s="13">
        <v>4.5973346999999998E-2</v>
      </c>
      <c r="U496" s="13">
        <v>5.8049163000000001E-2</v>
      </c>
      <c r="AB496" s="16">
        <v>1</v>
      </c>
      <c r="AC496" s="16">
        <v>0</v>
      </c>
      <c r="AD496" s="16">
        <v>1</v>
      </c>
      <c r="AE496" s="16"/>
      <c r="AF496" s="16"/>
      <c r="AG496" s="16"/>
      <c r="AH496" s="16"/>
    </row>
    <row r="497" spans="1:34" x14ac:dyDescent="0.3">
      <c r="A497" s="8">
        <v>45307</v>
      </c>
      <c r="B497" s="9">
        <v>0.244746621</v>
      </c>
      <c r="C497" s="9">
        <v>0.134444496</v>
      </c>
      <c r="D497" s="9">
        <v>0.17208348100000001</v>
      </c>
      <c r="E497" s="9">
        <v>0.17588584299999999</v>
      </c>
      <c r="F497" s="10">
        <v>0.20691504699999999</v>
      </c>
      <c r="G497" s="10">
        <v>8.3684486000000002E-2</v>
      </c>
      <c r="H497" s="10">
        <v>0.23358148100000001</v>
      </c>
      <c r="I497" s="10">
        <v>0.15584545799999999</v>
      </c>
      <c r="J497" s="11">
        <v>0.216694053</v>
      </c>
      <c r="K497" s="11">
        <v>6.8704821999999999E-2</v>
      </c>
      <c r="L497" s="11">
        <v>0.25347420700000001</v>
      </c>
      <c r="M497" s="11">
        <v>7.5970282E-2</v>
      </c>
      <c r="N497" s="12">
        <v>0.198619186</v>
      </c>
      <c r="O497" s="12">
        <v>9.9837549999999997E-2</v>
      </c>
      <c r="P497" s="12">
        <v>0.222400124</v>
      </c>
      <c r="Q497" s="12">
        <v>5.3978643999999999E-2</v>
      </c>
      <c r="R497" s="13">
        <v>6.3309223999999997E-2</v>
      </c>
      <c r="S497" s="13">
        <v>5.1928647000000001E-2</v>
      </c>
      <c r="T497" s="13">
        <v>5.6437434000000002E-2</v>
      </c>
      <c r="U497" s="13">
        <v>7.3707754E-2</v>
      </c>
      <c r="AB497" s="16">
        <v>1</v>
      </c>
      <c r="AC497" s="16">
        <v>0</v>
      </c>
      <c r="AD497" s="16">
        <v>1</v>
      </c>
      <c r="AE497" s="16"/>
      <c r="AF497" s="16"/>
      <c r="AG497" s="16"/>
      <c r="AH497" s="16"/>
    </row>
    <row r="498" spans="1:34" x14ac:dyDescent="0.3">
      <c r="A498" s="8">
        <v>45308</v>
      </c>
      <c r="B498" s="9">
        <v>3.6566003999999999E-2</v>
      </c>
      <c r="C498" s="9">
        <v>2.9511638E-2</v>
      </c>
      <c r="D498" s="9">
        <v>2.3375652E-2</v>
      </c>
      <c r="E498" s="9">
        <v>3.9390776000000002E-2</v>
      </c>
      <c r="F498" s="10">
        <v>0.244746621</v>
      </c>
      <c r="G498" s="10">
        <v>0.134444496</v>
      </c>
      <c r="H498" s="10">
        <v>0.17208348100000001</v>
      </c>
      <c r="I498" s="10">
        <v>0.17588584299999999</v>
      </c>
      <c r="J498" s="11">
        <v>0.20691504699999999</v>
      </c>
      <c r="K498" s="11">
        <v>8.3684486000000002E-2</v>
      </c>
      <c r="L498" s="11">
        <v>0.23358148100000001</v>
      </c>
      <c r="M498" s="11">
        <v>0.15584545799999999</v>
      </c>
      <c r="N498" s="12">
        <v>0.216694053</v>
      </c>
      <c r="O498" s="12">
        <v>6.8704821999999999E-2</v>
      </c>
      <c r="P498" s="12">
        <v>0.25347420700000001</v>
      </c>
      <c r="Q498" s="12">
        <v>7.5970282E-2</v>
      </c>
      <c r="R498" s="13">
        <v>0.198619186</v>
      </c>
      <c r="S498" s="13">
        <v>9.9837549999999997E-2</v>
      </c>
      <c r="T498" s="13">
        <v>0.222400124</v>
      </c>
      <c r="U498" s="13">
        <v>5.3978643999999999E-2</v>
      </c>
      <c r="AB498" s="16">
        <v>1</v>
      </c>
      <c r="AC498" s="16">
        <v>0</v>
      </c>
      <c r="AD498" s="16">
        <v>1</v>
      </c>
      <c r="AE498" s="16"/>
      <c r="AF498" s="16"/>
      <c r="AG498" s="16"/>
      <c r="AH498" s="16"/>
    </row>
    <row r="499" spans="1:34" x14ac:dyDescent="0.3">
      <c r="A499" s="8">
        <v>45309</v>
      </c>
      <c r="B499" s="9">
        <v>6.4189426999999993E-2</v>
      </c>
      <c r="C499" s="9">
        <v>2.6652822E-2</v>
      </c>
      <c r="D499" s="9">
        <v>8.0072178999999993E-2</v>
      </c>
      <c r="E499" s="9">
        <v>3.0471328999999998E-2</v>
      </c>
      <c r="F499" s="10">
        <v>3.6566003999999999E-2</v>
      </c>
      <c r="G499" s="10">
        <v>2.9511638E-2</v>
      </c>
      <c r="H499" s="10">
        <v>2.3375652E-2</v>
      </c>
      <c r="I499" s="10">
        <v>3.9390776000000002E-2</v>
      </c>
      <c r="J499" s="11">
        <v>0.244746621</v>
      </c>
      <c r="K499" s="11">
        <v>0.134444496</v>
      </c>
      <c r="L499" s="11">
        <v>0.17208348100000001</v>
      </c>
      <c r="M499" s="11">
        <v>0.17588584299999999</v>
      </c>
      <c r="N499" s="12">
        <v>0.20691504699999999</v>
      </c>
      <c r="O499" s="12">
        <v>8.3684486000000002E-2</v>
      </c>
      <c r="P499" s="12">
        <v>0.23358148100000001</v>
      </c>
      <c r="Q499" s="12">
        <v>0.15584545799999999</v>
      </c>
      <c r="R499" s="13">
        <v>0.216694053</v>
      </c>
      <c r="S499" s="13">
        <v>6.8704821999999999E-2</v>
      </c>
      <c r="T499" s="13">
        <v>0.25347420700000001</v>
      </c>
      <c r="U499" s="13">
        <v>7.5970282E-2</v>
      </c>
      <c r="AB499" s="16">
        <v>1</v>
      </c>
      <c r="AC499" s="16">
        <v>0</v>
      </c>
      <c r="AD499" s="16">
        <v>1</v>
      </c>
      <c r="AE499" s="16"/>
      <c r="AF499" s="16"/>
      <c r="AG499" s="16"/>
      <c r="AH499" s="16"/>
    </row>
    <row r="500" spans="1:34" x14ac:dyDescent="0.3">
      <c r="A500" s="8">
        <v>45310</v>
      </c>
      <c r="B500" s="9">
        <v>2.4304791999999999E-2</v>
      </c>
      <c r="C500" s="9">
        <v>2.8693189000000001E-2</v>
      </c>
      <c r="D500" s="9">
        <v>8.7973692000000006E-2</v>
      </c>
      <c r="E500" s="9">
        <v>3.3951231999999998E-2</v>
      </c>
      <c r="F500" s="10">
        <v>6.4189426999999993E-2</v>
      </c>
      <c r="G500" s="10">
        <v>2.6652822E-2</v>
      </c>
      <c r="H500" s="10">
        <v>8.0072178999999993E-2</v>
      </c>
      <c r="I500" s="10">
        <v>3.0471328999999998E-2</v>
      </c>
      <c r="J500" s="11">
        <v>3.6566003999999999E-2</v>
      </c>
      <c r="K500" s="11">
        <v>2.9511638E-2</v>
      </c>
      <c r="L500" s="11">
        <v>2.3375652E-2</v>
      </c>
      <c r="M500" s="11">
        <v>3.9390776000000002E-2</v>
      </c>
      <c r="N500" s="12">
        <v>0.244746621</v>
      </c>
      <c r="O500" s="12">
        <v>0.134444496</v>
      </c>
      <c r="P500" s="12">
        <v>0.17208348100000001</v>
      </c>
      <c r="Q500" s="12">
        <v>0.17588584299999999</v>
      </c>
      <c r="R500" s="13">
        <v>0.20691504699999999</v>
      </c>
      <c r="S500" s="13">
        <v>8.3684486000000002E-2</v>
      </c>
      <c r="T500" s="13">
        <v>0.23358148100000001</v>
      </c>
      <c r="U500" s="13">
        <v>0.15584545799999999</v>
      </c>
      <c r="AB500" s="16">
        <v>1</v>
      </c>
      <c r="AC500" s="16">
        <v>0</v>
      </c>
      <c r="AD500" s="16">
        <v>1</v>
      </c>
      <c r="AE500" s="16"/>
      <c r="AF500" s="16"/>
      <c r="AG500" s="16"/>
      <c r="AH500" s="16"/>
    </row>
    <row r="501" spans="1:34" x14ac:dyDescent="0.3">
      <c r="A501" s="8">
        <v>45313</v>
      </c>
      <c r="B501" s="9">
        <v>3.9687707000000003E-2</v>
      </c>
      <c r="C501" s="9">
        <v>3.3681556000000001E-2</v>
      </c>
      <c r="D501" s="9">
        <v>6.6291454999999999E-2</v>
      </c>
      <c r="E501" s="9">
        <v>3.3593986999999999E-2</v>
      </c>
      <c r="F501" s="10">
        <v>2.4304791999999999E-2</v>
      </c>
      <c r="G501" s="10">
        <v>2.8693189000000001E-2</v>
      </c>
      <c r="H501" s="10">
        <v>8.7973692000000006E-2</v>
      </c>
      <c r="I501" s="10">
        <v>3.3951231999999998E-2</v>
      </c>
      <c r="J501" s="11">
        <v>6.4189426999999993E-2</v>
      </c>
      <c r="K501" s="11">
        <v>2.6652822E-2</v>
      </c>
      <c r="L501" s="11">
        <v>8.0072178999999993E-2</v>
      </c>
      <c r="M501" s="11">
        <v>3.0471328999999998E-2</v>
      </c>
      <c r="N501" s="12">
        <v>3.6566003999999999E-2</v>
      </c>
      <c r="O501" s="12">
        <v>2.9511638E-2</v>
      </c>
      <c r="P501" s="12">
        <v>2.3375652E-2</v>
      </c>
      <c r="Q501" s="12">
        <v>3.9390776000000002E-2</v>
      </c>
      <c r="R501" s="13">
        <v>0.244746621</v>
      </c>
      <c r="S501" s="13">
        <v>0.134444496</v>
      </c>
      <c r="T501" s="13">
        <v>0.17208348100000001</v>
      </c>
      <c r="U501" s="13">
        <v>0.17588584299999999</v>
      </c>
      <c r="AB501" s="16">
        <v>1</v>
      </c>
      <c r="AC501" s="16">
        <v>0</v>
      </c>
      <c r="AD501" s="16">
        <v>1</v>
      </c>
      <c r="AE501" s="16"/>
      <c r="AF501" s="16"/>
      <c r="AG501" s="16"/>
      <c r="AH501" s="16"/>
    </row>
    <row r="502" spans="1:34" x14ac:dyDescent="0.3">
      <c r="A502" s="8">
        <v>45314</v>
      </c>
      <c r="B502" s="9">
        <v>1.8291519999999999E-2</v>
      </c>
      <c r="C502" s="9">
        <v>2.4834377000000001E-2</v>
      </c>
      <c r="D502" s="9">
        <v>5.0050303999999997E-2</v>
      </c>
      <c r="E502" s="9">
        <v>2.6178516999999998E-2</v>
      </c>
      <c r="F502" s="10">
        <v>3.9687707000000003E-2</v>
      </c>
      <c r="G502" s="10">
        <v>3.3681556000000001E-2</v>
      </c>
      <c r="H502" s="10">
        <v>6.6291454999999999E-2</v>
      </c>
      <c r="I502" s="10">
        <v>3.3593986999999999E-2</v>
      </c>
      <c r="J502" s="11">
        <v>2.4304791999999999E-2</v>
      </c>
      <c r="K502" s="11">
        <v>2.8693189000000001E-2</v>
      </c>
      <c r="L502" s="11">
        <v>8.7973692000000006E-2</v>
      </c>
      <c r="M502" s="11">
        <v>3.3951231999999998E-2</v>
      </c>
      <c r="N502" s="12">
        <v>6.4189426999999993E-2</v>
      </c>
      <c r="O502" s="12">
        <v>2.6652822E-2</v>
      </c>
      <c r="P502" s="12">
        <v>8.0072178999999993E-2</v>
      </c>
      <c r="Q502" s="12">
        <v>3.0471328999999998E-2</v>
      </c>
      <c r="R502" s="13">
        <v>3.6566003999999999E-2</v>
      </c>
      <c r="S502" s="13">
        <v>2.9511638E-2</v>
      </c>
      <c r="T502" s="13">
        <v>2.3375652E-2</v>
      </c>
      <c r="U502" s="13">
        <v>3.9390776000000002E-2</v>
      </c>
      <c r="AB502" s="16">
        <v>0</v>
      </c>
      <c r="AC502" s="16">
        <v>0</v>
      </c>
      <c r="AD502" s="16">
        <v>0</v>
      </c>
    </row>
    <row r="503" spans="1:34" x14ac:dyDescent="0.3">
      <c r="A503" s="8">
        <v>45315</v>
      </c>
      <c r="B503" s="9">
        <v>2.5824324999999999E-2</v>
      </c>
      <c r="C503" s="9">
        <v>2.5767926999999999E-2</v>
      </c>
      <c r="D503" s="9">
        <v>3.3027441999999997E-2</v>
      </c>
      <c r="E503" s="9">
        <v>3.5579909999999999E-2</v>
      </c>
      <c r="F503" s="10">
        <v>1.8291519999999999E-2</v>
      </c>
      <c r="G503" s="10">
        <v>2.4834377000000001E-2</v>
      </c>
      <c r="H503" s="10">
        <v>5.0050303999999997E-2</v>
      </c>
      <c r="I503" s="10">
        <v>2.6178516999999998E-2</v>
      </c>
      <c r="J503" s="11">
        <v>3.9687707000000003E-2</v>
      </c>
      <c r="K503" s="11">
        <v>3.3681556000000001E-2</v>
      </c>
      <c r="L503" s="11">
        <v>6.6291454999999999E-2</v>
      </c>
      <c r="M503" s="11">
        <v>3.3593986999999999E-2</v>
      </c>
      <c r="N503" s="12">
        <v>2.4304791999999999E-2</v>
      </c>
      <c r="O503" s="12">
        <v>2.8693189000000001E-2</v>
      </c>
      <c r="P503" s="12">
        <v>8.7973692000000006E-2</v>
      </c>
      <c r="Q503" s="12">
        <v>3.3951231999999998E-2</v>
      </c>
      <c r="R503" s="13">
        <v>6.4189426999999993E-2</v>
      </c>
      <c r="S503" s="13">
        <v>2.6652822E-2</v>
      </c>
      <c r="T503" s="13">
        <v>8.0072178999999993E-2</v>
      </c>
      <c r="U503" s="13">
        <v>3.0471328999999998E-2</v>
      </c>
      <c r="AB503" s="16">
        <v>0</v>
      </c>
      <c r="AC503" s="16">
        <v>0</v>
      </c>
      <c r="AD503" s="16">
        <v>0</v>
      </c>
    </row>
    <row r="504" spans="1:34" x14ac:dyDescent="0.3">
      <c r="A504" s="8">
        <v>45316</v>
      </c>
      <c r="B504" s="9">
        <v>5.4970115999999999E-2</v>
      </c>
      <c r="C504" s="9">
        <v>2.5035427999999998E-2</v>
      </c>
      <c r="D504" s="9">
        <v>8.5279285999999996E-2</v>
      </c>
      <c r="E504" s="9">
        <v>2.7947955999999999E-2</v>
      </c>
      <c r="F504" s="10">
        <v>2.5824324999999999E-2</v>
      </c>
      <c r="G504" s="10">
        <v>2.5767926999999999E-2</v>
      </c>
      <c r="H504" s="10">
        <v>3.3027441999999997E-2</v>
      </c>
      <c r="I504" s="10">
        <v>3.5579909999999999E-2</v>
      </c>
      <c r="J504" s="11">
        <v>1.8291519999999999E-2</v>
      </c>
      <c r="K504" s="11">
        <v>2.4834377000000001E-2</v>
      </c>
      <c r="L504" s="11">
        <v>5.0050303999999997E-2</v>
      </c>
      <c r="M504" s="11">
        <v>2.6178516999999998E-2</v>
      </c>
      <c r="N504" s="12">
        <v>3.9687707000000003E-2</v>
      </c>
      <c r="O504" s="12">
        <v>3.3681556000000001E-2</v>
      </c>
      <c r="P504" s="12">
        <v>6.6291454999999999E-2</v>
      </c>
      <c r="Q504" s="12">
        <v>3.3593986999999999E-2</v>
      </c>
      <c r="R504" s="13">
        <v>2.4304791999999999E-2</v>
      </c>
      <c r="S504" s="13">
        <v>2.8693189000000001E-2</v>
      </c>
      <c r="T504" s="13">
        <v>8.7973692000000006E-2</v>
      </c>
      <c r="U504" s="13">
        <v>3.3951231999999998E-2</v>
      </c>
      <c r="AB504" s="16">
        <v>0</v>
      </c>
      <c r="AC504" s="16">
        <v>0</v>
      </c>
      <c r="AD504" s="16">
        <v>0</v>
      </c>
    </row>
    <row r="505" spans="1:34" x14ac:dyDescent="0.3">
      <c r="A505" s="8">
        <v>45317</v>
      </c>
      <c r="B505" s="9">
        <v>6.0663158000000002E-2</v>
      </c>
      <c r="C505" s="9">
        <v>3.2661930999999998E-2</v>
      </c>
      <c r="D505" s="9">
        <v>7.2366627000000003E-2</v>
      </c>
      <c r="E505" s="9">
        <v>2.6394514000000001E-2</v>
      </c>
      <c r="F505" s="10">
        <v>5.4970115999999999E-2</v>
      </c>
      <c r="G505" s="10">
        <v>2.5035427999999998E-2</v>
      </c>
      <c r="H505" s="10">
        <v>8.5279285999999996E-2</v>
      </c>
      <c r="I505" s="10">
        <v>2.7947955999999999E-2</v>
      </c>
      <c r="J505" s="11">
        <v>2.5824324999999999E-2</v>
      </c>
      <c r="K505" s="11">
        <v>2.5767926999999999E-2</v>
      </c>
      <c r="L505" s="11">
        <v>3.3027441999999997E-2</v>
      </c>
      <c r="M505" s="11">
        <v>3.5579909999999999E-2</v>
      </c>
      <c r="N505" s="12">
        <v>1.8291519999999999E-2</v>
      </c>
      <c r="O505" s="12">
        <v>2.4834377000000001E-2</v>
      </c>
      <c r="P505" s="12">
        <v>5.0050303999999997E-2</v>
      </c>
      <c r="Q505" s="12">
        <v>2.6178516999999998E-2</v>
      </c>
      <c r="R505" s="13">
        <v>3.9687707000000003E-2</v>
      </c>
      <c r="S505" s="13">
        <v>3.3681556000000001E-2</v>
      </c>
      <c r="T505" s="13">
        <v>6.6291454999999999E-2</v>
      </c>
      <c r="U505" s="13">
        <v>3.3593986999999999E-2</v>
      </c>
      <c r="AB505" s="16">
        <v>0</v>
      </c>
      <c r="AC505" s="16">
        <v>0</v>
      </c>
      <c r="AD505" s="16">
        <v>0</v>
      </c>
    </row>
    <row r="506" spans="1:34" x14ac:dyDescent="0.3">
      <c r="A506" s="8">
        <v>45320</v>
      </c>
      <c r="B506" s="9">
        <v>3.193998E-2</v>
      </c>
      <c r="C506" s="9">
        <v>3.2217091000000003E-2</v>
      </c>
      <c r="D506" s="9">
        <v>6.6722523000000006E-2</v>
      </c>
      <c r="E506" s="9">
        <v>4.4352822E-2</v>
      </c>
      <c r="F506" s="10">
        <v>6.0663158000000002E-2</v>
      </c>
      <c r="G506" s="10">
        <v>3.2661930999999998E-2</v>
      </c>
      <c r="H506" s="10">
        <v>7.2366627000000003E-2</v>
      </c>
      <c r="I506" s="10">
        <v>2.6394514000000001E-2</v>
      </c>
      <c r="J506" s="11">
        <v>5.4970115999999999E-2</v>
      </c>
      <c r="K506" s="11">
        <v>2.5035427999999998E-2</v>
      </c>
      <c r="L506" s="11">
        <v>8.5279285999999996E-2</v>
      </c>
      <c r="M506" s="11">
        <v>2.7947955999999999E-2</v>
      </c>
      <c r="N506" s="12">
        <v>2.5824324999999999E-2</v>
      </c>
      <c r="O506" s="12">
        <v>2.5767926999999999E-2</v>
      </c>
      <c r="P506" s="12">
        <v>3.3027441999999997E-2</v>
      </c>
      <c r="Q506" s="12">
        <v>3.5579909999999999E-2</v>
      </c>
      <c r="R506" s="13">
        <v>1.8291519999999999E-2</v>
      </c>
      <c r="S506" s="13">
        <v>2.4834377000000001E-2</v>
      </c>
      <c r="T506" s="13">
        <v>5.0050303999999997E-2</v>
      </c>
      <c r="U506" s="13">
        <v>2.6178516999999998E-2</v>
      </c>
      <c r="AB506" s="16">
        <v>0</v>
      </c>
      <c r="AC506" s="16">
        <v>0</v>
      </c>
      <c r="AD506" s="16">
        <v>0</v>
      </c>
    </row>
    <row r="507" spans="1:34" x14ac:dyDescent="0.3">
      <c r="A507" s="8">
        <v>45321</v>
      </c>
      <c r="B507" s="9">
        <v>4.5770867999999999E-2</v>
      </c>
      <c r="C507" s="9">
        <v>2.6051527000000001E-2</v>
      </c>
      <c r="D507" s="9">
        <v>3.7180732000000001E-2</v>
      </c>
      <c r="E507" s="9">
        <v>3.8991831999999997E-2</v>
      </c>
      <c r="F507" s="10">
        <v>3.193998E-2</v>
      </c>
      <c r="G507" s="10">
        <v>3.2217091000000003E-2</v>
      </c>
      <c r="H507" s="10">
        <v>6.6722523000000006E-2</v>
      </c>
      <c r="I507" s="10">
        <v>4.4352822E-2</v>
      </c>
      <c r="J507" s="11">
        <v>6.0663158000000002E-2</v>
      </c>
      <c r="K507" s="11">
        <v>3.2661930999999998E-2</v>
      </c>
      <c r="L507" s="11">
        <v>7.2366627000000003E-2</v>
      </c>
      <c r="M507" s="11">
        <v>2.6394514000000001E-2</v>
      </c>
      <c r="N507" s="12">
        <v>5.4970115999999999E-2</v>
      </c>
      <c r="O507" s="12">
        <v>2.5035427999999998E-2</v>
      </c>
      <c r="P507" s="12">
        <v>8.5279285999999996E-2</v>
      </c>
      <c r="Q507" s="12">
        <v>2.7947955999999999E-2</v>
      </c>
      <c r="R507" s="13">
        <v>2.5824324999999999E-2</v>
      </c>
      <c r="S507" s="13">
        <v>2.5767926999999999E-2</v>
      </c>
      <c r="T507" s="13">
        <v>3.3027441999999997E-2</v>
      </c>
      <c r="U507" s="13">
        <v>3.5579909999999999E-2</v>
      </c>
      <c r="AB507" s="16">
        <v>1</v>
      </c>
      <c r="AC507" s="16">
        <v>0</v>
      </c>
      <c r="AD507" s="16">
        <v>1</v>
      </c>
    </row>
    <row r="508" spans="1:34" x14ac:dyDescent="0.3">
      <c r="A508" s="8">
        <v>45322</v>
      </c>
      <c r="B508" s="9">
        <v>3.6932655000000002E-2</v>
      </c>
      <c r="C508" s="9">
        <v>3.4019973000000002E-2</v>
      </c>
      <c r="D508" s="9">
        <v>3.1064214999999999E-2</v>
      </c>
      <c r="E508" s="9">
        <v>5.3284689000000003E-2</v>
      </c>
      <c r="F508" s="10">
        <v>4.5770867999999999E-2</v>
      </c>
      <c r="G508" s="10">
        <v>2.6051527000000001E-2</v>
      </c>
      <c r="H508" s="10">
        <v>3.7180732000000001E-2</v>
      </c>
      <c r="I508" s="10">
        <v>3.8991831999999997E-2</v>
      </c>
      <c r="J508" s="11">
        <v>3.193998E-2</v>
      </c>
      <c r="K508" s="11">
        <v>3.2217091000000003E-2</v>
      </c>
      <c r="L508" s="11">
        <v>6.6722523000000006E-2</v>
      </c>
      <c r="M508" s="11">
        <v>4.4352822E-2</v>
      </c>
      <c r="N508" s="12">
        <v>6.0663158000000002E-2</v>
      </c>
      <c r="O508" s="12">
        <v>3.2661930999999998E-2</v>
      </c>
      <c r="P508" s="12">
        <v>7.2366627000000003E-2</v>
      </c>
      <c r="Q508" s="12">
        <v>2.6394514000000001E-2</v>
      </c>
      <c r="R508" s="13">
        <v>5.4970115999999999E-2</v>
      </c>
      <c r="S508" s="13">
        <v>2.5035427999999998E-2</v>
      </c>
      <c r="T508" s="13">
        <v>8.5279285999999996E-2</v>
      </c>
      <c r="U508" s="13">
        <v>2.7947955999999999E-2</v>
      </c>
      <c r="AB508" s="16">
        <v>1</v>
      </c>
      <c r="AC508" s="16">
        <v>0</v>
      </c>
      <c r="AD508" s="16">
        <v>1</v>
      </c>
    </row>
    <row r="509" spans="1:34" x14ac:dyDescent="0.3">
      <c r="A509" s="8">
        <v>45323</v>
      </c>
      <c r="B509" s="9">
        <v>8.9069019999999999E-2</v>
      </c>
      <c r="C509" s="9">
        <v>1.4761912E-2</v>
      </c>
      <c r="D509" s="9">
        <v>0.12710579</v>
      </c>
      <c r="E509" s="9">
        <v>3.8169038000000002E-2</v>
      </c>
      <c r="F509" s="10">
        <v>3.6932655000000002E-2</v>
      </c>
      <c r="G509" s="10">
        <v>3.4019973000000002E-2</v>
      </c>
      <c r="H509" s="10">
        <v>3.1064214999999999E-2</v>
      </c>
      <c r="I509" s="10">
        <v>5.3284689000000003E-2</v>
      </c>
      <c r="J509" s="11">
        <v>4.5770867999999999E-2</v>
      </c>
      <c r="K509" s="11">
        <v>2.6051527000000001E-2</v>
      </c>
      <c r="L509" s="11">
        <v>3.7180732000000001E-2</v>
      </c>
      <c r="M509" s="11">
        <v>3.8991831999999997E-2</v>
      </c>
      <c r="N509" s="12">
        <v>3.193998E-2</v>
      </c>
      <c r="O509" s="12">
        <v>3.2217091000000003E-2</v>
      </c>
      <c r="P509" s="12">
        <v>6.6722523000000006E-2</v>
      </c>
      <c r="Q509" s="12">
        <v>4.4352822E-2</v>
      </c>
      <c r="R509" s="13">
        <v>6.0663158000000002E-2</v>
      </c>
      <c r="S509" s="13">
        <v>3.2661930999999998E-2</v>
      </c>
      <c r="T509" s="13">
        <v>7.2366627000000003E-2</v>
      </c>
      <c r="U509" s="13">
        <v>2.6394514000000001E-2</v>
      </c>
      <c r="AB509" s="16">
        <v>1</v>
      </c>
      <c r="AC509" s="16">
        <v>0</v>
      </c>
      <c r="AD509" s="16">
        <v>1</v>
      </c>
    </row>
    <row r="510" spans="1:34" x14ac:dyDescent="0.3">
      <c r="A510" s="8">
        <v>45324</v>
      </c>
      <c r="B510" s="9">
        <v>8.9016812000000001E-2</v>
      </c>
      <c r="C510" s="9">
        <v>2.6085951999999999E-2</v>
      </c>
      <c r="D510" s="9">
        <v>0.120276991</v>
      </c>
      <c r="E510" s="9">
        <v>4.0183123000000001E-2</v>
      </c>
      <c r="F510" s="10">
        <v>8.9069019999999999E-2</v>
      </c>
      <c r="G510" s="10">
        <v>1.4761912E-2</v>
      </c>
      <c r="H510" s="10">
        <v>0.12710579</v>
      </c>
      <c r="I510" s="10">
        <v>3.8169038000000002E-2</v>
      </c>
      <c r="J510" s="11">
        <v>3.6932655000000002E-2</v>
      </c>
      <c r="K510" s="11">
        <v>3.4019973000000002E-2</v>
      </c>
      <c r="L510" s="11">
        <v>3.1064214999999999E-2</v>
      </c>
      <c r="M510" s="11">
        <v>5.3284689000000003E-2</v>
      </c>
      <c r="N510" s="12">
        <v>4.5770867999999999E-2</v>
      </c>
      <c r="O510" s="12">
        <v>2.6051527000000001E-2</v>
      </c>
      <c r="P510" s="12">
        <v>3.7180732000000001E-2</v>
      </c>
      <c r="Q510" s="12">
        <v>3.8991831999999997E-2</v>
      </c>
      <c r="R510" s="13">
        <v>3.193998E-2</v>
      </c>
      <c r="S510" s="13">
        <v>3.2217091000000003E-2</v>
      </c>
      <c r="T510" s="13">
        <v>6.6722523000000006E-2</v>
      </c>
      <c r="U510" s="13">
        <v>4.4352822E-2</v>
      </c>
      <c r="AB510" s="16">
        <v>1</v>
      </c>
      <c r="AC510" s="16">
        <v>0</v>
      </c>
      <c r="AD510" s="16">
        <v>1</v>
      </c>
    </row>
    <row r="511" spans="1:34" x14ac:dyDescent="0.3">
      <c r="A511" s="8">
        <v>45327</v>
      </c>
      <c r="B511" s="9">
        <v>7.9856218000000007E-2</v>
      </c>
      <c r="C511" s="9">
        <v>1.8972214000000001E-2</v>
      </c>
      <c r="D511" s="9">
        <v>0.12616723199999999</v>
      </c>
      <c r="E511" s="9">
        <v>4.9940114000000001E-2</v>
      </c>
      <c r="F511" s="10">
        <v>8.9016812000000001E-2</v>
      </c>
      <c r="G511" s="10">
        <v>2.6085951999999999E-2</v>
      </c>
      <c r="H511" s="10">
        <v>0.120276991</v>
      </c>
      <c r="I511" s="10">
        <v>4.0183123000000001E-2</v>
      </c>
      <c r="J511" s="11">
        <v>8.9069019999999999E-2</v>
      </c>
      <c r="K511" s="11">
        <v>1.4761912E-2</v>
      </c>
      <c r="L511" s="11">
        <v>0.12710579</v>
      </c>
      <c r="M511" s="11">
        <v>3.8169038000000002E-2</v>
      </c>
      <c r="N511" s="12">
        <v>3.6932655000000002E-2</v>
      </c>
      <c r="O511" s="12">
        <v>3.4019973000000002E-2</v>
      </c>
      <c r="P511" s="12">
        <v>3.1064214999999999E-2</v>
      </c>
      <c r="Q511" s="12">
        <v>5.3284689000000003E-2</v>
      </c>
      <c r="R511" s="13">
        <v>4.5770867999999999E-2</v>
      </c>
      <c r="S511" s="13">
        <v>2.6051527000000001E-2</v>
      </c>
      <c r="T511" s="13">
        <v>3.7180732000000001E-2</v>
      </c>
      <c r="U511" s="13">
        <v>3.8991831999999997E-2</v>
      </c>
      <c r="AB511" s="16">
        <v>1</v>
      </c>
      <c r="AC511" s="16">
        <v>0</v>
      </c>
      <c r="AD511" s="16">
        <v>1</v>
      </c>
    </row>
    <row r="512" spans="1:34" x14ac:dyDescent="0.3">
      <c r="A512" s="8">
        <v>45337</v>
      </c>
      <c r="B512" s="9">
        <v>3.2367716999999997E-2</v>
      </c>
      <c r="C512" s="9">
        <v>6.2816866999999998E-2</v>
      </c>
      <c r="D512" s="9">
        <v>0.10914497300000001</v>
      </c>
      <c r="E512" s="9">
        <v>9.8103593000000003E-2</v>
      </c>
      <c r="F512" s="10">
        <v>7.9856218000000007E-2</v>
      </c>
      <c r="G512" s="10">
        <v>1.8972214000000001E-2</v>
      </c>
      <c r="H512" s="10">
        <v>0.12616723199999999</v>
      </c>
      <c r="I512" s="10">
        <v>4.9940114000000001E-2</v>
      </c>
      <c r="J512" s="11">
        <v>8.9016812000000001E-2</v>
      </c>
      <c r="K512" s="11">
        <v>2.6085951999999999E-2</v>
      </c>
      <c r="L512" s="11">
        <v>0.120276991</v>
      </c>
      <c r="M512" s="11">
        <v>4.0183123000000001E-2</v>
      </c>
      <c r="N512" s="12">
        <v>8.9069019999999999E-2</v>
      </c>
      <c r="O512" s="12">
        <v>1.4761912E-2</v>
      </c>
      <c r="P512" s="12">
        <v>0.12710579</v>
      </c>
      <c r="Q512" s="12">
        <v>3.8169038000000002E-2</v>
      </c>
      <c r="R512" s="13">
        <v>3.6932655000000002E-2</v>
      </c>
      <c r="S512" s="13">
        <v>3.4019973000000002E-2</v>
      </c>
      <c r="T512" s="13">
        <v>3.1064214999999999E-2</v>
      </c>
      <c r="U512" s="13">
        <v>5.3284689000000003E-2</v>
      </c>
      <c r="AB512" s="16">
        <v>0</v>
      </c>
      <c r="AC512" s="16">
        <v>0</v>
      </c>
      <c r="AD512" s="16">
        <v>0</v>
      </c>
    </row>
    <row r="513" spans="1:30" x14ac:dyDescent="0.3">
      <c r="A513" s="8">
        <v>45338</v>
      </c>
      <c r="B513" s="9">
        <v>0.168233717</v>
      </c>
      <c r="C513" s="9">
        <v>5.9518354000000002E-2</v>
      </c>
      <c r="D513" s="9">
        <v>0.152847971</v>
      </c>
      <c r="E513" s="9">
        <v>0.117275611</v>
      </c>
      <c r="F513" s="10">
        <v>3.2367716999999997E-2</v>
      </c>
      <c r="G513" s="10">
        <v>6.2816866999999998E-2</v>
      </c>
      <c r="H513" s="10">
        <v>0.10914497300000001</v>
      </c>
      <c r="I513" s="10">
        <v>9.8103593000000003E-2</v>
      </c>
      <c r="J513" s="11">
        <v>7.9856218000000007E-2</v>
      </c>
      <c r="K513" s="11">
        <v>1.8972214000000001E-2</v>
      </c>
      <c r="L513" s="11">
        <v>0.12616723199999999</v>
      </c>
      <c r="M513" s="11">
        <v>4.9940114000000001E-2</v>
      </c>
      <c r="N513" s="12">
        <v>8.9016812000000001E-2</v>
      </c>
      <c r="O513" s="12">
        <v>2.6085951999999999E-2</v>
      </c>
      <c r="P513" s="12">
        <v>0.120276991</v>
      </c>
      <c r="Q513" s="12">
        <v>4.0183123000000001E-2</v>
      </c>
      <c r="R513" s="13">
        <v>8.9069019999999999E-2</v>
      </c>
      <c r="S513" s="13">
        <v>1.4761912E-2</v>
      </c>
      <c r="T513" s="13">
        <v>0.12710579</v>
      </c>
      <c r="U513" s="13">
        <v>3.8169038000000002E-2</v>
      </c>
      <c r="AB513" s="16">
        <v>1</v>
      </c>
      <c r="AC513" s="16">
        <v>0</v>
      </c>
      <c r="AD513" s="16">
        <v>1</v>
      </c>
    </row>
    <row r="514" spans="1:30" x14ac:dyDescent="0.3">
      <c r="A514" s="8">
        <v>45341</v>
      </c>
      <c r="B514" s="9">
        <v>0.16786359300000001</v>
      </c>
      <c r="C514" s="9">
        <v>8.5037452999999999E-2</v>
      </c>
      <c r="D514" s="9">
        <v>0.165256442</v>
      </c>
      <c r="E514" s="9">
        <v>0.11792322399999999</v>
      </c>
      <c r="F514" s="10">
        <v>0.168233717</v>
      </c>
      <c r="G514" s="10">
        <v>5.9518354000000002E-2</v>
      </c>
      <c r="H514" s="10">
        <v>0.152847971</v>
      </c>
      <c r="I514" s="10">
        <v>0.117275611</v>
      </c>
      <c r="J514" s="11">
        <v>3.2367716999999997E-2</v>
      </c>
      <c r="K514" s="11">
        <v>6.2816866999999998E-2</v>
      </c>
      <c r="L514" s="11">
        <v>0.10914497300000001</v>
      </c>
      <c r="M514" s="11">
        <v>9.8103593000000003E-2</v>
      </c>
      <c r="N514" s="12">
        <v>7.9856218000000007E-2</v>
      </c>
      <c r="O514" s="12">
        <v>1.8972214000000001E-2</v>
      </c>
      <c r="P514" s="12">
        <v>0.12616723199999999</v>
      </c>
      <c r="Q514" s="12">
        <v>4.9940114000000001E-2</v>
      </c>
      <c r="R514" s="13">
        <v>8.9016812000000001E-2</v>
      </c>
      <c r="S514" s="13">
        <v>2.6085951999999999E-2</v>
      </c>
      <c r="T514" s="13">
        <v>0.120276991</v>
      </c>
      <c r="U514" s="13">
        <v>4.0183123000000001E-2</v>
      </c>
      <c r="AB514" s="16">
        <v>1</v>
      </c>
      <c r="AC514" s="16">
        <v>0</v>
      </c>
      <c r="AD514" s="16">
        <v>1</v>
      </c>
    </row>
    <row r="515" spans="1:30" x14ac:dyDescent="0.3">
      <c r="A515" s="8">
        <v>45342</v>
      </c>
      <c r="B515" s="9">
        <v>0.123375021</v>
      </c>
      <c r="C515" s="9">
        <v>0.17347329</v>
      </c>
      <c r="D515" s="9">
        <v>0.230665708</v>
      </c>
      <c r="E515" s="9">
        <v>0.2285017</v>
      </c>
      <c r="F515" s="10">
        <v>0.16786359300000001</v>
      </c>
      <c r="G515" s="10">
        <v>8.5037452999999999E-2</v>
      </c>
      <c r="H515" s="10">
        <v>0.165256442</v>
      </c>
      <c r="I515" s="10">
        <v>0.11792322399999999</v>
      </c>
      <c r="J515" s="11">
        <v>0.168233717</v>
      </c>
      <c r="K515" s="11">
        <v>5.9518354000000002E-2</v>
      </c>
      <c r="L515" s="11">
        <v>0.152847971</v>
      </c>
      <c r="M515" s="11">
        <v>0.117275611</v>
      </c>
      <c r="N515" s="12">
        <v>3.2367716999999997E-2</v>
      </c>
      <c r="O515" s="12">
        <v>6.2816866999999998E-2</v>
      </c>
      <c r="P515" s="12">
        <v>0.10914497300000001</v>
      </c>
      <c r="Q515" s="12">
        <v>9.8103593000000003E-2</v>
      </c>
      <c r="R515" s="13">
        <v>7.9856218000000007E-2</v>
      </c>
      <c r="S515" s="13">
        <v>1.8972214000000001E-2</v>
      </c>
      <c r="T515" s="13">
        <v>0.12616723199999999</v>
      </c>
      <c r="U515" s="13">
        <v>4.9940114000000001E-2</v>
      </c>
      <c r="AB515" s="16">
        <v>0</v>
      </c>
      <c r="AC515" s="16">
        <v>0</v>
      </c>
      <c r="AD515" s="16">
        <v>0</v>
      </c>
    </row>
    <row r="516" spans="1:30" x14ac:dyDescent="0.3">
      <c r="A516" s="8">
        <v>45343</v>
      </c>
      <c r="B516" s="9">
        <v>2.9527798000000001E-2</v>
      </c>
      <c r="C516" s="9">
        <v>3.0713636999999998E-2</v>
      </c>
      <c r="D516" s="9">
        <v>2.6835455000000001E-2</v>
      </c>
      <c r="E516" s="9">
        <v>3.4487043000000002E-2</v>
      </c>
      <c r="F516" s="10">
        <v>0.123375021</v>
      </c>
      <c r="G516" s="10">
        <v>0.17347329</v>
      </c>
      <c r="H516" s="10">
        <v>0.230665708</v>
      </c>
      <c r="I516" s="10">
        <v>0.2285017</v>
      </c>
      <c r="J516" s="11">
        <v>0.16786359300000001</v>
      </c>
      <c r="K516" s="11">
        <v>8.5037452999999999E-2</v>
      </c>
      <c r="L516" s="11">
        <v>0.165256442</v>
      </c>
      <c r="M516" s="11">
        <v>0.11792322399999999</v>
      </c>
      <c r="N516" s="12">
        <v>0.168233717</v>
      </c>
      <c r="O516" s="12">
        <v>5.9518354000000002E-2</v>
      </c>
      <c r="P516" s="12">
        <v>0.152847971</v>
      </c>
      <c r="Q516" s="12">
        <v>0.117275611</v>
      </c>
      <c r="R516" s="13">
        <v>3.2367716999999997E-2</v>
      </c>
      <c r="S516" s="13">
        <v>6.2816866999999998E-2</v>
      </c>
      <c r="T516" s="13">
        <v>0.10914497300000001</v>
      </c>
      <c r="U516" s="13">
        <v>9.8103593000000003E-2</v>
      </c>
      <c r="AB516" s="16">
        <v>1</v>
      </c>
      <c r="AC516" s="16">
        <v>0</v>
      </c>
      <c r="AD516" s="16">
        <v>1</v>
      </c>
    </row>
    <row r="517" spans="1:30" x14ac:dyDescent="0.3">
      <c r="A517" s="8">
        <v>45344</v>
      </c>
      <c r="B517" s="9">
        <v>5.3616727000000003E-2</v>
      </c>
      <c r="C517" s="9">
        <v>2.3525971999999999E-2</v>
      </c>
      <c r="D517" s="9">
        <v>7.8388700000000006E-2</v>
      </c>
      <c r="E517" s="9">
        <v>3.0144266999999999E-2</v>
      </c>
      <c r="F517" s="10">
        <v>2.9527798000000001E-2</v>
      </c>
      <c r="G517" s="10">
        <v>3.0713636999999998E-2</v>
      </c>
      <c r="H517" s="10">
        <v>2.6835455000000001E-2</v>
      </c>
      <c r="I517" s="10">
        <v>3.4487043000000002E-2</v>
      </c>
      <c r="J517" s="11">
        <v>0.123375021</v>
      </c>
      <c r="K517" s="11">
        <v>0.17347329</v>
      </c>
      <c r="L517" s="11">
        <v>0.230665708</v>
      </c>
      <c r="M517" s="11">
        <v>0.2285017</v>
      </c>
      <c r="N517" s="12">
        <v>0.16786359300000001</v>
      </c>
      <c r="O517" s="12">
        <v>8.5037452999999999E-2</v>
      </c>
      <c r="P517" s="12">
        <v>0.165256442</v>
      </c>
      <c r="Q517" s="12">
        <v>0.11792322399999999</v>
      </c>
      <c r="R517" s="13">
        <v>0.168233717</v>
      </c>
      <c r="S517" s="13">
        <v>5.9518354000000002E-2</v>
      </c>
      <c r="T517" s="13">
        <v>0.152847971</v>
      </c>
      <c r="U517" s="13">
        <v>0.117275611</v>
      </c>
      <c r="AB517" s="16">
        <v>0</v>
      </c>
      <c r="AC517" s="16">
        <v>0</v>
      </c>
      <c r="AD517" s="16">
        <v>0</v>
      </c>
    </row>
    <row r="518" spans="1:30" x14ac:dyDescent="0.3">
      <c r="A518" s="8">
        <v>45345</v>
      </c>
      <c r="B518" s="9">
        <v>6.8629447999999996E-2</v>
      </c>
      <c r="C518" s="9">
        <v>3.1832361000000003E-2</v>
      </c>
      <c r="D518" s="9">
        <v>6.6505378000000004E-2</v>
      </c>
      <c r="E518" s="9">
        <v>4.2687220999999997E-2</v>
      </c>
      <c r="F518" s="10">
        <v>5.3616727000000003E-2</v>
      </c>
      <c r="G518" s="10">
        <v>2.3525971999999999E-2</v>
      </c>
      <c r="H518" s="10">
        <v>7.8388700000000006E-2</v>
      </c>
      <c r="I518" s="10">
        <v>3.0144266999999999E-2</v>
      </c>
      <c r="J518" s="11">
        <v>2.9527798000000001E-2</v>
      </c>
      <c r="K518" s="11">
        <v>3.0713636999999998E-2</v>
      </c>
      <c r="L518" s="11">
        <v>2.6835455000000001E-2</v>
      </c>
      <c r="M518" s="11">
        <v>3.4487043000000002E-2</v>
      </c>
      <c r="N518" s="12">
        <v>0.123375021</v>
      </c>
      <c r="O518" s="12">
        <v>0.17347329</v>
      </c>
      <c r="P518" s="12">
        <v>0.230665708</v>
      </c>
      <c r="Q518" s="12">
        <v>0.2285017</v>
      </c>
      <c r="R518" s="13">
        <v>0.16786359300000001</v>
      </c>
      <c r="S518" s="13">
        <v>8.5037452999999999E-2</v>
      </c>
      <c r="T518" s="13">
        <v>0.165256442</v>
      </c>
      <c r="U518" s="13">
        <v>0.11792322399999999</v>
      </c>
      <c r="AB518" s="16">
        <v>1</v>
      </c>
      <c r="AC518" s="16">
        <v>0</v>
      </c>
      <c r="AD518" s="16">
        <v>1</v>
      </c>
    </row>
    <row r="519" spans="1:30" x14ac:dyDescent="0.3">
      <c r="A519" s="8">
        <v>45348</v>
      </c>
      <c r="B519" s="9">
        <v>3.5637707999999997E-2</v>
      </c>
      <c r="C519" s="9">
        <v>2.2599629E-2</v>
      </c>
      <c r="D519" s="9">
        <v>6.3430537999999995E-2</v>
      </c>
      <c r="E519" s="9">
        <v>4.5245163999999997E-2</v>
      </c>
      <c r="F519" s="10">
        <v>6.8629447999999996E-2</v>
      </c>
      <c r="G519" s="10">
        <v>3.1832361000000003E-2</v>
      </c>
      <c r="H519" s="10">
        <v>6.6505378000000004E-2</v>
      </c>
      <c r="I519" s="10">
        <v>4.2687220999999997E-2</v>
      </c>
      <c r="J519" s="11">
        <v>5.3616727000000003E-2</v>
      </c>
      <c r="K519" s="11">
        <v>2.3525971999999999E-2</v>
      </c>
      <c r="L519" s="11">
        <v>7.8388700000000006E-2</v>
      </c>
      <c r="M519" s="11">
        <v>3.0144266999999999E-2</v>
      </c>
      <c r="N519" s="12">
        <v>2.9527798000000001E-2</v>
      </c>
      <c r="O519" s="12">
        <v>3.0713636999999998E-2</v>
      </c>
      <c r="P519" s="12">
        <v>2.6835455000000001E-2</v>
      </c>
      <c r="Q519" s="12">
        <v>3.4487043000000002E-2</v>
      </c>
      <c r="R519" s="13">
        <v>0.123375021</v>
      </c>
      <c r="S519" s="13">
        <v>0.17347329</v>
      </c>
      <c r="T519" s="13">
        <v>0.230665708</v>
      </c>
      <c r="U519" s="13">
        <v>0.2285017</v>
      </c>
      <c r="AB519" s="16">
        <v>1</v>
      </c>
      <c r="AC519" s="16">
        <v>0</v>
      </c>
      <c r="AD519" s="16">
        <v>1</v>
      </c>
    </row>
    <row r="520" spans="1:30" x14ac:dyDescent="0.3">
      <c r="A520" s="8">
        <v>45349</v>
      </c>
      <c r="B520" s="9">
        <v>4.090746E-2</v>
      </c>
      <c r="C520" s="9">
        <v>3.0589966999999999E-2</v>
      </c>
      <c r="D520" s="9">
        <v>5.049932E-2</v>
      </c>
      <c r="E520" s="9">
        <v>4.4251260000000001E-2</v>
      </c>
      <c r="F520" s="10">
        <v>3.5637707999999997E-2</v>
      </c>
      <c r="G520" s="10">
        <v>2.2599629E-2</v>
      </c>
      <c r="H520" s="10">
        <v>6.3430537999999995E-2</v>
      </c>
      <c r="I520" s="10">
        <v>4.5245163999999997E-2</v>
      </c>
      <c r="J520" s="11">
        <v>6.8629447999999996E-2</v>
      </c>
      <c r="K520" s="11">
        <v>3.1832361000000003E-2</v>
      </c>
      <c r="L520" s="11">
        <v>6.6505378000000004E-2</v>
      </c>
      <c r="M520" s="11">
        <v>4.2687220999999997E-2</v>
      </c>
      <c r="N520" s="12">
        <v>5.3616727000000003E-2</v>
      </c>
      <c r="O520" s="12">
        <v>2.3525971999999999E-2</v>
      </c>
      <c r="P520" s="12">
        <v>7.8388700000000006E-2</v>
      </c>
      <c r="Q520" s="12">
        <v>3.0144266999999999E-2</v>
      </c>
      <c r="R520" s="13">
        <v>2.9527798000000001E-2</v>
      </c>
      <c r="S520" s="13">
        <v>3.0713636999999998E-2</v>
      </c>
      <c r="T520" s="13">
        <v>2.6835455000000001E-2</v>
      </c>
      <c r="U520" s="13">
        <v>3.4487043000000002E-2</v>
      </c>
      <c r="AB520" s="16">
        <v>1</v>
      </c>
      <c r="AC520" s="16">
        <v>0</v>
      </c>
      <c r="AD520" s="16">
        <v>1</v>
      </c>
    </row>
    <row r="521" spans="1:30" x14ac:dyDescent="0.3">
      <c r="A521" s="8">
        <v>45351</v>
      </c>
      <c r="B521" s="9">
        <v>1.5157014E-2</v>
      </c>
      <c r="C521" s="9">
        <v>2.4878618000000002E-2</v>
      </c>
      <c r="D521" s="9">
        <v>4.8189956999999999E-2</v>
      </c>
      <c r="E521" s="9">
        <v>3.7352635000000002E-2</v>
      </c>
      <c r="F521" s="10">
        <v>4.090746E-2</v>
      </c>
      <c r="G521" s="10">
        <v>3.0589966999999999E-2</v>
      </c>
      <c r="H521" s="10">
        <v>5.049932E-2</v>
      </c>
      <c r="I521" s="10">
        <v>4.4251260000000001E-2</v>
      </c>
      <c r="J521" s="11">
        <v>3.5637707999999997E-2</v>
      </c>
      <c r="K521" s="11">
        <v>2.2599629E-2</v>
      </c>
      <c r="L521" s="11">
        <v>6.3430537999999995E-2</v>
      </c>
      <c r="M521" s="11">
        <v>4.5245163999999997E-2</v>
      </c>
      <c r="N521" s="12">
        <v>6.8629447999999996E-2</v>
      </c>
      <c r="O521" s="12">
        <v>3.1832361000000003E-2</v>
      </c>
      <c r="P521" s="12">
        <v>6.6505378000000004E-2</v>
      </c>
      <c r="Q521" s="12">
        <v>4.2687220999999997E-2</v>
      </c>
      <c r="R521" s="13">
        <v>5.3616727000000003E-2</v>
      </c>
      <c r="S521" s="13">
        <v>2.3525971999999999E-2</v>
      </c>
      <c r="T521" s="13">
        <v>7.8388700000000006E-2</v>
      </c>
      <c r="U521" s="13">
        <v>3.0144266999999999E-2</v>
      </c>
      <c r="AB521" s="16">
        <v>1</v>
      </c>
      <c r="AC521" s="16">
        <v>0</v>
      </c>
      <c r="AD521" s="16">
        <v>1</v>
      </c>
    </row>
    <row r="522" spans="1:30" x14ac:dyDescent="0.3">
      <c r="A522" s="8">
        <v>45352</v>
      </c>
      <c r="B522" s="9">
        <v>6.6805692E-2</v>
      </c>
      <c r="C522" s="9">
        <v>2.9801405E-2</v>
      </c>
      <c r="D522" s="9">
        <v>8.5912153000000005E-2</v>
      </c>
      <c r="E522" s="9">
        <v>5.7035671000000003E-2</v>
      </c>
      <c r="F522" s="10">
        <v>1.5157014E-2</v>
      </c>
      <c r="G522" s="10">
        <v>2.4878618000000002E-2</v>
      </c>
      <c r="H522" s="10">
        <v>4.8189956999999999E-2</v>
      </c>
      <c r="I522" s="10">
        <v>3.7352635000000002E-2</v>
      </c>
      <c r="J522" s="11">
        <v>4.090746E-2</v>
      </c>
      <c r="K522" s="11">
        <v>3.0589966999999999E-2</v>
      </c>
      <c r="L522" s="11">
        <v>5.049932E-2</v>
      </c>
      <c r="M522" s="11">
        <v>4.4251260000000001E-2</v>
      </c>
      <c r="N522" s="12">
        <v>3.5637707999999997E-2</v>
      </c>
      <c r="O522" s="12">
        <v>2.2599629E-2</v>
      </c>
      <c r="P522" s="12">
        <v>6.3430537999999995E-2</v>
      </c>
      <c r="Q522" s="12">
        <v>4.5245163999999997E-2</v>
      </c>
      <c r="R522" s="13">
        <v>6.8629447999999996E-2</v>
      </c>
      <c r="S522" s="13">
        <v>3.1832361000000003E-2</v>
      </c>
      <c r="T522" s="13">
        <v>6.6505378000000004E-2</v>
      </c>
      <c r="U522" s="13">
        <v>4.2687220999999997E-2</v>
      </c>
      <c r="AB522" s="16">
        <v>1</v>
      </c>
      <c r="AC522" s="16">
        <v>0</v>
      </c>
      <c r="AD522" s="16">
        <v>1</v>
      </c>
    </row>
    <row r="523" spans="1:30" x14ac:dyDescent="0.3">
      <c r="A523" s="8">
        <v>45355</v>
      </c>
      <c r="B523" s="9">
        <v>4.0175126999999998E-2</v>
      </c>
      <c r="C523" s="9">
        <v>4.5203344999999999E-2</v>
      </c>
      <c r="D523" s="9">
        <v>0.101082531</v>
      </c>
      <c r="E523" s="9">
        <v>6.4047942999999996E-2</v>
      </c>
      <c r="F523" s="10">
        <v>6.6805692E-2</v>
      </c>
      <c r="G523" s="10">
        <v>2.9801405E-2</v>
      </c>
      <c r="H523" s="10">
        <v>8.5912153000000005E-2</v>
      </c>
      <c r="I523" s="10">
        <v>5.7035671000000003E-2</v>
      </c>
      <c r="J523" s="11">
        <v>1.5157014E-2</v>
      </c>
      <c r="K523" s="11">
        <v>2.4878618000000002E-2</v>
      </c>
      <c r="L523" s="11">
        <v>4.8189956999999999E-2</v>
      </c>
      <c r="M523" s="11">
        <v>3.7352635000000002E-2</v>
      </c>
      <c r="N523" s="12">
        <v>4.090746E-2</v>
      </c>
      <c r="O523" s="12">
        <v>3.0589966999999999E-2</v>
      </c>
      <c r="P523" s="12">
        <v>5.049932E-2</v>
      </c>
      <c r="Q523" s="12">
        <v>4.4251260000000001E-2</v>
      </c>
      <c r="R523" s="13">
        <v>3.5637707999999997E-2</v>
      </c>
      <c r="S523" s="13">
        <v>2.2599629E-2</v>
      </c>
      <c r="T523" s="13">
        <v>6.3430537999999995E-2</v>
      </c>
      <c r="U523" s="13">
        <v>4.5245163999999997E-2</v>
      </c>
      <c r="AB523" s="16">
        <v>1</v>
      </c>
      <c r="AC523" s="16">
        <v>0</v>
      </c>
      <c r="AD523" s="16">
        <v>1</v>
      </c>
    </row>
    <row r="524" spans="1:30" x14ac:dyDescent="0.3">
      <c r="A524" s="8">
        <v>45356</v>
      </c>
      <c r="B524" s="9">
        <v>5.0784624E-2</v>
      </c>
      <c r="C524" s="9">
        <v>3.8594014000000003E-2</v>
      </c>
      <c r="D524" s="9">
        <v>7.5303155999999996E-2</v>
      </c>
      <c r="E524" s="9">
        <v>5.9048372000000002E-2</v>
      </c>
      <c r="F524" s="10">
        <v>4.0175126999999998E-2</v>
      </c>
      <c r="G524" s="10">
        <v>4.5203344999999999E-2</v>
      </c>
      <c r="H524" s="10">
        <v>0.101082531</v>
      </c>
      <c r="I524" s="10">
        <v>6.4047942999999996E-2</v>
      </c>
      <c r="J524" s="11">
        <v>6.6805692E-2</v>
      </c>
      <c r="K524" s="11">
        <v>2.9801405E-2</v>
      </c>
      <c r="L524" s="11">
        <v>8.5912153000000005E-2</v>
      </c>
      <c r="M524" s="11">
        <v>5.7035671000000003E-2</v>
      </c>
      <c r="N524" s="12">
        <v>1.5157014E-2</v>
      </c>
      <c r="O524" s="12">
        <v>2.4878618000000002E-2</v>
      </c>
      <c r="P524" s="12">
        <v>4.8189956999999999E-2</v>
      </c>
      <c r="Q524" s="12">
        <v>3.7352635000000002E-2</v>
      </c>
      <c r="R524" s="13">
        <v>4.090746E-2</v>
      </c>
      <c r="S524" s="13">
        <v>3.0589966999999999E-2</v>
      </c>
      <c r="T524" s="13">
        <v>5.049932E-2</v>
      </c>
      <c r="U524" s="13">
        <v>4.4251260000000001E-2</v>
      </c>
      <c r="AB524" s="16">
        <v>1</v>
      </c>
      <c r="AC524" s="16">
        <v>0</v>
      </c>
      <c r="AD524" s="16">
        <v>1</v>
      </c>
    </row>
    <row r="525" spans="1:30" x14ac:dyDescent="0.3">
      <c r="A525" s="8">
        <v>45357</v>
      </c>
      <c r="B525" s="9">
        <v>1.7843096999999999E-2</v>
      </c>
      <c r="C525" s="9">
        <v>3.7018292000000001E-2</v>
      </c>
      <c r="D525" s="9">
        <v>6.7681328999999998E-2</v>
      </c>
      <c r="E525" s="9">
        <v>5.5540952999999997E-2</v>
      </c>
      <c r="F525" s="10">
        <v>5.0784624E-2</v>
      </c>
      <c r="G525" s="10">
        <v>3.8594014000000003E-2</v>
      </c>
      <c r="H525" s="10">
        <v>7.5303155999999996E-2</v>
      </c>
      <c r="I525" s="10">
        <v>5.9048372000000002E-2</v>
      </c>
      <c r="J525" s="11">
        <v>4.0175126999999998E-2</v>
      </c>
      <c r="K525" s="11">
        <v>4.5203344999999999E-2</v>
      </c>
      <c r="L525" s="11">
        <v>0.101082531</v>
      </c>
      <c r="M525" s="11">
        <v>6.4047942999999996E-2</v>
      </c>
      <c r="N525" s="12">
        <v>6.6805692E-2</v>
      </c>
      <c r="O525" s="12">
        <v>2.9801405E-2</v>
      </c>
      <c r="P525" s="12">
        <v>8.5912153000000005E-2</v>
      </c>
      <c r="Q525" s="12">
        <v>5.7035671000000003E-2</v>
      </c>
      <c r="R525" s="13">
        <v>1.5157014E-2</v>
      </c>
      <c r="S525" s="13">
        <v>2.4878618000000002E-2</v>
      </c>
      <c r="T525" s="13">
        <v>4.8189956999999999E-2</v>
      </c>
      <c r="U525" s="13">
        <v>3.7352635000000002E-2</v>
      </c>
      <c r="AB525" s="16">
        <v>1</v>
      </c>
      <c r="AC525" s="16">
        <v>0</v>
      </c>
      <c r="AD525" s="16">
        <v>1</v>
      </c>
    </row>
    <row r="526" spans="1:30" x14ac:dyDescent="0.3">
      <c r="A526" s="8">
        <v>45358</v>
      </c>
      <c r="B526" s="9">
        <v>0.10411786100000001</v>
      </c>
      <c r="C526" s="9">
        <v>4.8256070999999998E-2</v>
      </c>
      <c r="D526" s="9">
        <v>0.15299143700000001</v>
      </c>
      <c r="E526" s="9">
        <v>7.2798873E-2</v>
      </c>
      <c r="F526" s="10">
        <v>1.7843096999999999E-2</v>
      </c>
      <c r="G526" s="10">
        <v>3.7018292000000001E-2</v>
      </c>
      <c r="H526" s="10">
        <v>6.7681328999999998E-2</v>
      </c>
      <c r="I526" s="10">
        <v>5.5540952999999997E-2</v>
      </c>
      <c r="J526" s="11">
        <v>5.0784624E-2</v>
      </c>
      <c r="K526" s="11">
        <v>3.8594014000000003E-2</v>
      </c>
      <c r="L526" s="11">
        <v>7.5303155999999996E-2</v>
      </c>
      <c r="M526" s="11">
        <v>5.9048372000000002E-2</v>
      </c>
      <c r="N526" s="12">
        <v>4.0175126999999998E-2</v>
      </c>
      <c r="O526" s="12">
        <v>4.5203344999999999E-2</v>
      </c>
      <c r="P526" s="12">
        <v>0.101082531</v>
      </c>
      <c r="Q526" s="12">
        <v>6.4047942999999996E-2</v>
      </c>
      <c r="R526" s="13">
        <v>6.6805692E-2</v>
      </c>
      <c r="S526" s="13">
        <v>2.9801405E-2</v>
      </c>
      <c r="T526" s="13">
        <v>8.5912153000000005E-2</v>
      </c>
      <c r="U526" s="13">
        <v>5.7035671000000003E-2</v>
      </c>
      <c r="AB526" s="16">
        <v>0</v>
      </c>
      <c r="AC526" s="16">
        <v>0</v>
      </c>
      <c r="AD526" s="16">
        <v>0</v>
      </c>
    </row>
    <row r="527" spans="1:30" x14ac:dyDescent="0.3">
      <c r="A527" s="8">
        <v>45359</v>
      </c>
      <c r="B527" s="9">
        <v>0.12728772599999999</v>
      </c>
      <c r="C527" s="9">
        <v>4.7317303999999998E-2</v>
      </c>
      <c r="D527" s="9">
        <v>0.12846960499999999</v>
      </c>
      <c r="E527" s="9">
        <v>5.8029574E-2</v>
      </c>
      <c r="F527" s="10">
        <v>0.10411786100000001</v>
      </c>
      <c r="G527" s="10">
        <v>4.8256070999999998E-2</v>
      </c>
      <c r="H527" s="10">
        <v>0.15299143700000001</v>
      </c>
      <c r="I527" s="10">
        <v>7.2798873E-2</v>
      </c>
      <c r="J527" s="11">
        <v>1.7843096999999999E-2</v>
      </c>
      <c r="K527" s="11">
        <v>3.7018292000000001E-2</v>
      </c>
      <c r="L527" s="11">
        <v>6.7681328999999998E-2</v>
      </c>
      <c r="M527" s="11">
        <v>5.5540952999999997E-2</v>
      </c>
      <c r="N527" s="12">
        <v>5.0784624E-2</v>
      </c>
      <c r="O527" s="12">
        <v>3.8594014000000003E-2</v>
      </c>
      <c r="P527" s="12">
        <v>7.5303155999999996E-2</v>
      </c>
      <c r="Q527" s="12">
        <v>5.9048372000000002E-2</v>
      </c>
      <c r="R527" s="13">
        <v>4.0175126999999998E-2</v>
      </c>
      <c r="S527" s="13">
        <v>4.5203344999999999E-2</v>
      </c>
      <c r="T527" s="13">
        <v>0.101082531</v>
      </c>
      <c r="U527" s="13">
        <v>6.4047942999999996E-2</v>
      </c>
      <c r="AB527" s="16">
        <v>0</v>
      </c>
      <c r="AC527" s="16">
        <v>0</v>
      </c>
      <c r="AD527" s="16">
        <v>0</v>
      </c>
    </row>
    <row r="528" spans="1:30" x14ac:dyDescent="0.3">
      <c r="A528" s="8">
        <v>45362</v>
      </c>
      <c r="B528" s="9">
        <v>0.136081069</v>
      </c>
      <c r="C528" s="9">
        <v>4.8776079999999999E-2</v>
      </c>
      <c r="D528" s="9">
        <v>0.116371422</v>
      </c>
      <c r="E528" s="9">
        <v>5.3447379000000003E-2</v>
      </c>
      <c r="F528" s="10">
        <v>0.12728772599999999</v>
      </c>
      <c r="G528" s="10">
        <v>4.7317303999999998E-2</v>
      </c>
      <c r="H528" s="10">
        <v>0.12846960499999999</v>
      </c>
      <c r="I528" s="10">
        <v>5.8029574E-2</v>
      </c>
      <c r="J528" s="11">
        <v>0.10411786100000001</v>
      </c>
      <c r="K528" s="11">
        <v>4.8256070999999998E-2</v>
      </c>
      <c r="L528" s="11">
        <v>0.15299143700000001</v>
      </c>
      <c r="M528" s="11">
        <v>7.2798873E-2</v>
      </c>
      <c r="N528" s="12">
        <v>1.7843096999999999E-2</v>
      </c>
      <c r="O528" s="12">
        <v>3.7018292000000001E-2</v>
      </c>
      <c r="P528" s="12">
        <v>6.7681328999999998E-2</v>
      </c>
      <c r="Q528" s="12">
        <v>5.5540952999999997E-2</v>
      </c>
      <c r="R528" s="13">
        <v>5.0784624E-2</v>
      </c>
      <c r="S528" s="13">
        <v>3.8594014000000003E-2</v>
      </c>
      <c r="T528" s="13">
        <v>7.5303155999999996E-2</v>
      </c>
      <c r="U528" s="13">
        <v>5.9048372000000002E-2</v>
      </c>
      <c r="AB528" s="16">
        <v>0</v>
      </c>
      <c r="AC528" s="16">
        <v>0</v>
      </c>
      <c r="AD528" s="16">
        <v>0</v>
      </c>
    </row>
    <row r="529" spans="1:30" x14ac:dyDescent="0.3">
      <c r="A529" s="8">
        <v>45363</v>
      </c>
      <c r="B529" s="9">
        <v>6.6782800000000003E-2</v>
      </c>
      <c r="C529" s="9">
        <v>5.4295947999999997E-2</v>
      </c>
      <c r="D529" s="9">
        <v>0.13198385500000001</v>
      </c>
      <c r="E529" s="9">
        <v>9.1027006999999993E-2</v>
      </c>
      <c r="F529" s="10">
        <v>0.136081069</v>
      </c>
      <c r="G529" s="10">
        <v>4.8776079999999999E-2</v>
      </c>
      <c r="H529" s="10">
        <v>0.116371422</v>
      </c>
      <c r="I529" s="10">
        <v>5.3447379000000003E-2</v>
      </c>
      <c r="J529" s="11">
        <v>0.12728772599999999</v>
      </c>
      <c r="K529" s="11">
        <v>4.7317303999999998E-2</v>
      </c>
      <c r="L529" s="11">
        <v>0.12846960499999999</v>
      </c>
      <c r="M529" s="11">
        <v>5.8029574E-2</v>
      </c>
      <c r="N529" s="12">
        <v>0.10411786100000001</v>
      </c>
      <c r="O529" s="12">
        <v>4.8256070999999998E-2</v>
      </c>
      <c r="P529" s="12">
        <v>0.15299143700000001</v>
      </c>
      <c r="Q529" s="12">
        <v>7.2798873E-2</v>
      </c>
      <c r="R529" s="13">
        <v>1.7843096999999999E-2</v>
      </c>
      <c r="S529" s="13">
        <v>3.7018292000000001E-2</v>
      </c>
      <c r="T529" s="13">
        <v>6.7681328999999998E-2</v>
      </c>
      <c r="U529" s="13">
        <v>5.5540952999999997E-2</v>
      </c>
      <c r="AB529" s="16">
        <v>0</v>
      </c>
      <c r="AC529" s="16">
        <v>0</v>
      </c>
      <c r="AD529" s="16">
        <v>0</v>
      </c>
    </row>
    <row r="530" spans="1:30" x14ac:dyDescent="0.3">
      <c r="A530" s="8">
        <v>45364</v>
      </c>
      <c r="B530" s="9">
        <v>6.2524157999999996E-2</v>
      </c>
      <c r="C530" s="9">
        <v>9.1191491E-2</v>
      </c>
      <c r="D530" s="9">
        <v>6.8045894999999995E-2</v>
      </c>
      <c r="E530" s="9">
        <v>7.1475934000000005E-2</v>
      </c>
      <c r="F530" s="10">
        <v>6.6782800000000003E-2</v>
      </c>
      <c r="G530" s="10">
        <v>5.4295947999999997E-2</v>
      </c>
      <c r="H530" s="10">
        <v>0.13198385500000001</v>
      </c>
      <c r="I530" s="10">
        <v>9.1027006999999993E-2</v>
      </c>
      <c r="J530" s="11">
        <v>0.136081069</v>
      </c>
      <c r="K530" s="11">
        <v>4.8776079999999999E-2</v>
      </c>
      <c r="L530" s="11">
        <v>0.116371422</v>
      </c>
      <c r="M530" s="11">
        <v>5.3447379000000003E-2</v>
      </c>
      <c r="N530" s="12">
        <v>0.12728772599999999</v>
      </c>
      <c r="O530" s="12">
        <v>4.7317303999999998E-2</v>
      </c>
      <c r="P530" s="12">
        <v>0.12846960499999999</v>
      </c>
      <c r="Q530" s="12">
        <v>5.8029574E-2</v>
      </c>
      <c r="R530" s="13">
        <v>0.10411786100000001</v>
      </c>
      <c r="S530" s="13">
        <v>4.8256070999999998E-2</v>
      </c>
      <c r="T530" s="13">
        <v>0.15299143700000001</v>
      </c>
      <c r="U530" s="13">
        <v>7.2798873E-2</v>
      </c>
      <c r="AB530" s="16">
        <v>0</v>
      </c>
      <c r="AC530" s="16">
        <v>0</v>
      </c>
      <c r="AD530" s="16">
        <v>0</v>
      </c>
    </row>
    <row r="531" spans="1:30" x14ac:dyDescent="0.3">
      <c r="A531" s="8">
        <v>45365</v>
      </c>
      <c r="B531" s="9">
        <v>0.13781816899999999</v>
      </c>
      <c r="C531" s="9">
        <v>7.8554149000000004E-2</v>
      </c>
      <c r="D531" s="9">
        <v>0.182347965</v>
      </c>
      <c r="E531" s="9">
        <v>7.9050400000000007E-2</v>
      </c>
      <c r="F531" s="10">
        <v>6.2524157999999996E-2</v>
      </c>
      <c r="G531" s="10">
        <v>9.1191491E-2</v>
      </c>
      <c r="H531" s="10">
        <v>6.8045894999999995E-2</v>
      </c>
      <c r="I531" s="10">
        <v>7.1475934000000005E-2</v>
      </c>
      <c r="J531" s="11">
        <v>6.6782800000000003E-2</v>
      </c>
      <c r="K531" s="11">
        <v>5.4295947999999997E-2</v>
      </c>
      <c r="L531" s="11">
        <v>0.13198385500000001</v>
      </c>
      <c r="M531" s="11">
        <v>9.1027006999999993E-2</v>
      </c>
      <c r="N531" s="12">
        <v>0.136081069</v>
      </c>
      <c r="O531" s="12">
        <v>4.8776079999999999E-2</v>
      </c>
      <c r="P531" s="12">
        <v>0.116371422</v>
      </c>
      <c r="Q531" s="12">
        <v>5.3447379000000003E-2</v>
      </c>
      <c r="R531" s="13">
        <v>0.12728772599999999</v>
      </c>
      <c r="S531" s="13">
        <v>4.7317303999999998E-2</v>
      </c>
      <c r="T531" s="13">
        <v>0.12846960499999999</v>
      </c>
      <c r="U531" s="13">
        <v>5.8029574E-2</v>
      </c>
      <c r="AB531" s="16">
        <v>0</v>
      </c>
      <c r="AC531" s="16">
        <v>0</v>
      </c>
      <c r="AD531" s="16">
        <v>0</v>
      </c>
    </row>
    <row r="532" spans="1:30" x14ac:dyDescent="0.3">
      <c r="A532" s="8">
        <v>45366</v>
      </c>
      <c r="B532" s="9">
        <v>0.190178287</v>
      </c>
      <c r="C532" s="9">
        <v>5.7911913000000002E-2</v>
      </c>
      <c r="D532" s="9">
        <v>0.10931026100000001</v>
      </c>
      <c r="E532" s="9">
        <v>8.5477250000000005E-2</v>
      </c>
      <c r="F532" s="10">
        <v>0.13781816899999999</v>
      </c>
      <c r="G532" s="10">
        <v>7.8554149000000004E-2</v>
      </c>
      <c r="H532" s="10">
        <v>0.182347965</v>
      </c>
      <c r="I532" s="10">
        <v>7.9050400000000007E-2</v>
      </c>
      <c r="J532" s="11">
        <v>6.2524157999999996E-2</v>
      </c>
      <c r="K532" s="11">
        <v>9.1191491E-2</v>
      </c>
      <c r="L532" s="11">
        <v>6.8045894999999995E-2</v>
      </c>
      <c r="M532" s="11">
        <v>7.1475934000000005E-2</v>
      </c>
      <c r="N532" s="12">
        <v>6.6782800000000003E-2</v>
      </c>
      <c r="O532" s="12">
        <v>5.4295947999999997E-2</v>
      </c>
      <c r="P532" s="12">
        <v>0.13198385500000001</v>
      </c>
      <c r="Q532" s="12">
        <v>9.1027006999999993E-2</v>
      </c>
      <c r="R532" s="13">
        <v>0.136081069</v>
      </c>
      <c r="S532" s="13">
        <v>4.8776079999999999E-2</v>
      </c>
      <c r="T532" s="13">
        <v>0.116371422</v>
      </c>
      <c r="U532" s="13">
        <v>5.3447379000000003E-2</v>
      </c>
      <c r="AB532" s="16">
        <v>1</v>
      </c>
      <c r="AC532" s="16">
        <v>0</v>
      </c>
      <c r="AD532" s="16">
        <v>1</v>
      </c>
    </row>
    <row r="533" spans="1:30" x14ac:dyDescent="0.3">
      <c r="A533" s="8">
        <v>45369</v>
      </c>
      <c r="B533" s="9">
        <v>0.14085025700000001</v>
      </c>
      <c r="C533" s="9">
        <v>6.5119050999999997E-2</v>
      </c>
      <c r="D533" s="9">
        <v>0.24146942900000001</v>
      </c>
      <c r="E533" s="9">
        <v>0.19152001399999999</v>
      </c>
      <c r="F533" s="10">
        <v>0.190178287</v>
      </c>
      <c r="G533" s="10">
        <v>5.7911913000000002E-2</v>
      </c>
      <c r="H533" s="10">
        <v>0.10931026100000001</v>
      </c>
      <c r="I533" s="10">
        <v>8.5477250000000005E-2</v>
      </c>
      <c r="J533" s="11">
        <v>0.13781816899999999</v>
      </c>
      <c r="K533" s="11">
        <v>7.8554149000000004E-2</v>
      </c>
      <c r="L533" s="11">
        <v>0.182347965</v>
      </c>
      <c r="M533" s="11">
        <v>7.9050400000000007E-2</v>
      </c>
      <c r="N533" s="12">
        <v>6.2524157999999996E-2</v>
      </c>
      <c r="O533" s="12">
        <v>9.1191491E-2</v>
      </c>
      <c r="P533" s="12">
        <v>6.8045894999999995E-2</v>
      </c>
      <c r="Q533" s="12">
        <v>7.1475934000000005E-2</v>
      </c>
      <c r="R533" s="13">
        <v>6.6782800000000003E-2</v>
      </c>
      <c r="S533" s="13">
        <v>5.4295947999999997E-2</v>
      </c>
      <c r="T533" s="13">
        <v>0.13198385500000001</v>
      </c>
      <c r="U533" s="13">
        <v>9.1027006999999993E-2</v>
      </c>
      <c r="AB533" s="16">
        <v>1</v>
      </c>
      <c r="AC533" s="16">
        <v>0</v>
      </c>
      <c r="AD533" s="16">
        <v>1</v>
      </c>
    </row>
    <row r="534" spans="1:30" x14ac:dyDescent="0.3">
      <c r="A534" s="8">
        <v>45370</v>
      </c>
      <c r="B534" s="9">
        <v>0.20160302999999999</v>
      </c>
      <c r="C534" s="9">
        <v>0.11102574</v>
      </c>
      <c r="D534" s="9">
        <v>0.21970472999999999</v>
      </c>
      <c r="E534" s="9">
        <v>0.16450008199999999</v>
      </c>
      <c r="F534" s="10">
        <v>0.14085025700000001</v>
      </c>
      <c r="G534" s="10">
        <v>6.5119050999999997E-2</v>
      </c>
      <c r="H534" s="10">
        <v>0.24146942900000001</v>
      </c>
      <c r="I534" s="10">
        <v>0.19152001399999999</v>
      </c>
      <c r="J534" s="11">
        <v>0.190178287</v>
      </c>
      <c r="K534" s="11">
        <v>5.7911913000000002E-2</v>
      </c>
      <c r="L534" s="11">
        <v>0.10931026100000001</v>
      </c>
      <c r="M534" s="11">
        <v>8.5477250000000005E-2</v>
      </c>
      <c r="N534" s="12">
        <v>0.13781816899999999</v>
      </c>
      <c r="O534" s="12">
        <v>7.8554149000000004E-2</v>
      </c>
      <c r="P534" s="12">
        <v>0.182347965</v>
      </c>
      <c r="Q534" s="12">
        <v>7.9050400000000007E-2</v>
      </c>
      <c r="R534" s="13">
        <v>6.2524157999999996E-2</v>
      </c>
      <c r="S534" s="13">
        <v>9.1191491E-2</v>
      </c>
      <c r="T534" s="13">
        <v>6.8045894999999995E-2</v>
      </c>
      <c r="U534" s="13">
        <v>7.1475934000000005E-2</v>
      </c>
      <c r="AB534" s="16">
        <v>0</v>
      </c>
      <c r="AC534" s="16">
        <v>0</v>
      </c>
      <c r="AD534" s="16">
        <v>0</v>
      </c>
    </row>
    <row r="535" spans="1:30" x14ac:dyDescent="0.3">
      <c r="A535" s="8">
        <v>45371</v>
      </c>
      <c r="B535" s="9">
        <v>3.1604478999999998E-2</v>
      </c>
      <c r="C535" s="9">
        <v>2.4805913999999998E-2</v>
      </c>
      <c r="D535" s="9">
        <v>2.3171291E-2</v>
      </c>
      <c r="E535" s="9">
        <v>3.6138425000000002E-2</v>
      </c>
      <c r="F535" s="10">
        <v>0.20160302999999999</v>
      </c>
      <c r="G535" s="10">
        <v>0.11102574</v>
      </c>
      <c r="H535" s="10">
        <v>0.21970472999999999</v>
      </c>
      <c r="I535" s="10">
        <v>0.16450008199999999</v>
      </c>
      <c r="J535" s="11">
        <v>0.14085025700000001</v>
      </c>
      <c r="K535" s="11">
        <v>6.5119050999999997E-2</v>
      </c>
      <c r="L535" s="11">
        <v>0.24146942900000001</v>
      </c>
      <c r="M535" s="11">
        <v>0.19152001399999999</v>
      </c>
      <c r="N535" s="12">
        <v>0.190178287</v>
      </c>
      <c r="O535" s="12">
        <v>5.7911913000000002E-2</v>
      </c>
      <c r="P535" s="12">
        <v>0.10931026100000001</v>
      </c>
      <c r="Q535" s="12">
        <v>8.5477250000000005E-2</v>
      </c>
      <c r="R535" s="13">
        <v>0.13781816899999999</v>
      </c>
      <c r="S535" s="13">
        <v>7.8554149000000004E-2</v>
      </c>
      <c r="T535" s="13">
        <v>0.182347965</v>
      </c>
      <c r="U535" s="13">
        <v>7.9050400000000007E-2</v>
      </c>
      <c r="AB535" s="16">
        <v>1</v>
      </c>
      <c r="AC535" s="16">
        <v>0</v>
      </c>
      <c r="AD535" s="16">
        <v>1</v>
      </c>
    </row>
    <row r="536" spans="1:30" x14ac:dyDescent="0.3">
      <c r="A536" s="8">
        <v>45372</v>
      </c>
      <c r="B536" s="9">
        <v>5.8978428999999999E-2</v>
      </c>
      <c r="C536" s="9">
        <v>5.0716273999999999E-2</v>
      </c>
      <c r="D536" s="9">
        <v>9.2260463000000001E-2</v>
      </c>
      <c r="E536" s="9">
        <v>3.1881900999999997E-2</v>
      </c>
      <c r="F536" s="10">
        <v>3.1604478999999998E-2</v>
      </c>
      <c r="G536" s="10">
        <v>2.4805913999999998E-2</v>
      </c>
      <c r="H536" s="10">
        <v>2.3171291E-2</v>
      </c>
      <c r="I536" s="10">
        <v>3.6138425000000002E-2</v>
      </c>
      <c r="J536" s="11">
        <v>0.20160302999999999</v>
      </c>
      <c r="K536" s="11">
        <v>0.11102574</v>
      </c>
      <c r="L536" s="11">
        <v>0.21970472999999999</v>
      </c>
      <c r="M536" s="11">
        <v>0.16450008199999999</v>
      </c>
      <c r="N536" s="12">
        <v>0.14085025700000001</v>
      </c>
      <c r="O536" s="12">
        <v>6.5119050999999997E-2</v>
      </c>
      <c r="P536" s="12">
        <v>0.24146942900000001</v>
      </c>
      <c r="Q536" s="12">
        <v>0.19152001399999999</v>
      </c>
      <c r="R536" s="13">
        <v>0.190178287</v>
      </c>
      <c r="S536" s="13">
        <v>5.7911913000000002E-2</v>
      </c>
      <c r="T536" s="13">
        <v>0.10931026100000001</v>
      </c>
      <c r="U536" s="13">
        <v>8.5477250000000005E-2</v>
      </c>
      <c r="AB536" s="16">
        <v>0</v>
      </c>
      <c r="AC536" s="16">
        <v>0</v>
      </c>
      <c r="AD536" s="16">
        <v>0</v>
      </c>
    </row>
    <row r="537" spans="1:30" x14ac:dyDescent="0.3">
      <c r="A537" s="8">
        <v>45373</v>
      </c>
      <c r="B537" s="9">
        <v>6.4028084999999998E-2</v>
      </c>
      <c r="C537" s="9">
        <v>3.3635076E-2</v>
      </c>
      <c r="D537" s="9">
        <v>7.6581439000000001E-2</v>
      </c>
      <c r="E537" s="9">
        <v>4.3930663000000002E-2</v>
      </c>
      <c r="F537" s="10">
        <v>5.8978428999999999E-2</v>
      </c>
      <c r="G537" s="10">
        <v>5.0716273999999999E-2</v>
      </c>
      <c r="H537" s="10">
        <v>9.2260463000000001E-2</v>
      </c>
      <c r="I537" s="10">
        <v>3.1881900999999997E-2</v>
      </c>
      <c r="J537" s="11">
        <v>3.1604478999999998E-2</v>
      </c>
      <c r="K537" s="11">
        <v>2.4805913999999998E-2</v>
      </c>
      <c r="L537" s="11">
        <v>2.3171291E-2</v>
      </c>
      <c r="M537" s="11">
        <v>3.6138425000000002E-2</v>
      </c>
      <c r="N537" s="12">
        <v>0.20160302999999999</v>
      </c>
      <c r="O537" s="12">
        <v>0.11102574</v>
      </c>
      <c r="P537" s="12">
        <v>0.21970472999999999</v>
      </c>
      <c r="Q537" s="12">
        <v>0.16450008199999999</v>
      </c>
      <c r="R537" s="13">
        <v>0.14085025700000001</v>
      </c>
      <c r="S537" s="13">
        <v>6.5119050999999997E-2</v>
      </c>
      <c r="T537" s="13">
        <v>0.24146942900000001</v>
      </c>
      <c r="U537" s="13">
        <v>0.19152001399999999</v>
      </c>
      <c r="AB537" s="16">
        <v>0</v>
      </c>
      <c r="AC537" s="16">
        <v>0</v>
      </c>
      <c r="AD537" s="16">
        <v>0</v>
      </c>
    </row>
    <row r="538" spans="1:30" x14ac:dyDescent="0.3">
      <c r="A538" s="8">
        <v>45376</v>
      </c>
      <c r="B538" s="9">
        <v>5.4219320000000001E-2</v>
      </c>
      <c r="C538" s="9">
        <v>2.3277367E-2</v>
      </c>
      <c r="D538" s="9">
        <v>6.6362799E-2</v>
      </c>
      <c r="E538" s="9">
        <v>0.11284781000000001</v>
      </c>
      <c r="F538" s="10">
        <v>6.4028084999999998E-2</v>
      </c>
      <c r="G538" s="10">
        <v>3.3635076E-2</v>
      </c>
      <c r="H538" s="10">
        <v>7.6581439000000001E-2</v>
      </c>
      <c r="I538" s="10">
        <v>4.3930663000000002E-2</v>
      </c>
      <c r="J538" s="11">
        <v>5.8978428999999999E-2</v>
      </c>
      <c r="K538" s="11">
        <v>5.0716273999999999E-2</v>
      </c>
      <c r="L538" s="11">
        <v>9.2260463000000001E-2</v>
      </c>
      <c r="M538" s="11">
        <v>3.1881900999999997E-2</v>
      </c>
      <c r="N538" s="12">
        <v>3.1604478999999998E-2</v>
      </c>
      <c r="O538" s="12">
        <v>2.4805913999999998E-2</v>
      </c>
      <c r="P538" s="12">
        <v>2.3171291E-2</v>
      </c>
      <c r="Q538" s="12">
        <v>3.6138425000000002E-2</v>
      </c>
      <c r="R538" s="13">
        <v>0.20160302999999999</v>
      </c>
      <c r="S538" s="13">
        <v>0.11102574</v>
      </c>
      <c r="T538" s="13">
        <v>0.21970472999999999</v>
      </c>
      <c r="U538" s="13">
        <v>0.16450008199999999</v>
      </c>
      <c r="AB538" s="16">
        <v>0</v>
      </c>
      <c r="AC538" s="16">
        <v>0</v>
      </c>
      <c r="AD538" s="16">
        <v>0</v>
      </c>
    </row>
    <row r="539" spans="1:30" x14ac:dyDescent="0.3">
      <c r="A539" s="8">
        <v>45377</v>
      </c>
      <c r="B539" s="9">
        <v>5.8271165999999999E-2</v>
      </c>
      <c r="C539" s="9">
        <v>4.8384310999999999E-2</v>
      </c>
      <c r="D539" s="9">
        <v>3.4915859E-2</v>
      </c>
      <c r="E539" s="9">
        <v>3.5305156999999997E-2</v>
      </c>
      <c r="F539" s="10">
        <v>5.4219320000000001E-2</v>
      </c>
      <c r="G539" s="10">
        <v>2.3277367E-2</v>
      </c>
      <c r="H539" s="10">
        <v>6.6362799E-2</v>
      </c>
      <c r="I539" s="10">
        <v>0.11284781000000001</v>
      </c>
      <c r="J539" s="11">
        <v>6.4028084999999998E-2</v>
      </c>
      <c r="K539" s="11">
        <v>3.3635076E-2</v>
      </c>
      <c r="L539" s="11">
        <v>7.6581439000000001E-2</v>
      </c>
      <c r="M539" s="11">
        <v>4.3930663000000002E-2</v>
      </c>
      <c r="N539" s="12">
        <v>5.8978428999999999E-2</v>
      </c>
      <c r="O539" s="12">
        <v>5.0716273999999999E-2</v>
      </c>
      <c r="P539" s="12">
        <v>9.2260463000000001E-2</v>
      </c>
      <c r="Q539" s="12">
        <v>3.1881900999999997E-2</v>
      </c>
      <c r="R539" s="13">
        <v>3.1604478999999998E-2</v>
      </c>
      <c r="S539" s="13">
        <v>2.4805913999999998E-2</v>
      </c>
      <c r="T539" s="13">
        <v>2.3171291E-2</v>
      </c>
      <c r="U539" s="13">
        <v>3.6138425000000002E-2</v>
      </c>
      <c r="AB539" s="16">
        <v>1</v>
      </c>
      <c r="AC539" s="16">
        <v>0</v>
      </c>
      <c r="AD539" s="16">
        <v>1</v>
      </c>
    </row>
    <row r="540" spans="1:30" x14ac:dyDescent="0.3">
      <c r="A540" s="8">
        <v>45378</v>
      </c>
      <c r="B540" s="9">
        <v>2.4455893999999999E-2</v>
      </c>
      <c r="C540" s="9">
        <v>3.2642035E-2</v>
      </c>
      <c r="D540" s="9">
        <v>3.5296764000000001E-2</v>
      </c>
      <c r="E540" s="9">
        <v>3.3248476999999999E-2</v>
      </c>
      <c r="F540" s="10">
        <v>5.8271165999999999E-2</v>
      </c>
      <c r="G540" s="10">
        <v>4.8384310999999999E-2</v>
      </c>
      <c r="H540" s="10">
        <v>3.4915859E-2</v>
      </c>
      <c r="I540" s="10">
        <v>3.5305156999999997E-2</v>
      </c>
      <c r="J540" s="11">
        <v>5.4219320000000001E-2</v>
      </c>
      <c r="K540" s="11">
        <v>2.3277367E-2</v>
      </c>
      <c r="L540" s="11">
        <v>6.6362799E-2</v>
      </c>
      <c r="M540" s="11">
        <v>0.11284781000000001</v>
      </c>
      <c r="N540" s="12">
        <v>6.4028084999999998E-2</v>
      </c>
      <c r="O540" s="12">
        <v>3.3635076E-2</v>
      </c>
      <c r="P540" s="12">
        <v>7.6581439000000001E-2</v>
      </c>
      <c r="Q540" s="12">
        <v>4.3930663000000002E-2</v>
      </c>
      <c r="R540" s="13">
        <v>5.8978428999999999E-2</v>
      </c>
      <c r="S540" s="13">
        <v>5.0716273999999999E-2</v>
      </c>
      <c r="T540" s="13">
        <v>9.2260463000000001E-2</v>
      </c>
      <c r="U540" s="13">
        <v>3.1881900999999997E-2</v>
      </c>
      <c r="AB540" s="16">
        <v>0</v>
      </c>
      <c r="AC540" s="16">
        <v>0</v>
      </c>
      <c r="AD540" s="16">
        <v>0</v>
      </c>
    </row>
    <row r="541" spans="1:30" x14ac:dyDescent="0.3">
      <c r="A541" s="8">
        <v>45379</v>
      </c>
      <c r="B541" s="9">
        <v>8.1685691000000005E-2</v>
      </c>
      <c r="C541" s="9">
        <v>1.8670208000000001E-2</v>
      </c>
      <c r="D541" s="9">
        <v>7.5074512999999995E-2</v>
      </c>
      <c r="E541" s="9">
        <v>2.5674717E-2</v>
      </c>
      <c r="F541" s="10">
        <v>2.4455893999999999E-2</v>
      </c>
      <c r="G541" s="10">
        <v>3.2642035E-2</v>
      </c>
      <c r="H541" s="10">
        <v>3.5296764000000001E-2</v>
      </c>
      <c r="I541" s="10">
        <v>3.3248476999999999E-2</v>
      </c>
      <c r="J541" s="11">
        <v>5.8271165999999999E-2</v>
      </c>
      <c r="K541" s="11">
        <v>4.8384310999999999E-2</v>
      </c>
      <c r="L541" s="11">
        <v>3.4915859E-2</v>
      </c>
      <c r="M541" s="11">
        <v>3.5305156999999997E-2</v>
      </c>
      <c r="N541" s="12">
        <v>5.4219320000000001E-2</v>
      </c>
      <c r="O541" s="12">
        <v>2.3277367E-2</v>
      </c>
      <c r="P541" s="12">
        <v>6.6362799E-2</v>
      </c>
      <c r="Q541" s="12">
        <v>0.11284781000000001</v>
      </c>
      <c r="R541" s="13">
        <v>6.4028084999999998E-2</v>
      </c>
      <c r="S541" s="13">
        <v>3.3635076E-2</v>
      </c>
      <c r="T541" s="13">
        <v>7.6581439000000001E-2</v>
      </c>
      <c r="U541" s="13">
        <v>4.3930663000000002E-2</v>
      </c>
      <c r="AB541" s="16">
        <v>0</v>
      </c>
      <c r="AC541" s="16">
        <v>0</v>
      </c>
      <c r="AD541" s="16">
        <v>0</v>
      </c>
    </row>
    <row r="542" spans="1:30" x14ac:dyDescent="0.3">
      <c r="A542" s="8">
        <v>45380</v>
      </c>
      <c r="B542" s="9">
        <v>4.9500888E-2</v>
      </c>
      <c r="C542" s="9">
        <v>2.6920118E-2</v>
      </c>
      <c r="D542" s="9">
        <v>8.3746521000000004E-2</v>
      </c>
      <c r="E542" s="9">
        <v>2.4562125000000001E-2</v>
      </c>
      <c r="F542" s="10">
        <v>8.1685691000000005E-2</v>
      </c>
      <c r="G542" s="10">
        <v>1.8670208000000001E-2</v>
      </c>
      <c r="H542" s="10">
        <v>7.5074512999999995E-2</v>
      </c>
      <c r="I542" s="10">
        <v>2.5674717E-2</v>
      </c>
      <c r="J542" s="11">
        <v>2.4455893999999999E-2</v>
      </c>
      <c r="K542" s="11">
        <v>3.2642035E-2</v>
      </c>
      <c r="L542" s="11">
        <v>3.5296764000000001E-2</v>
      </c>
      <c r="M542" s="11">
        <v>3.3248476999999999E-2</v>
      </c>
      <c r="N542" s="12">
        <v>5.8271165999999999E-2</v>
      </c>
      <c r="O542" s="12">
        <v>4.8384310999999999E-2</v>
      </c>
      <c r="P542" s="12">
        <v>3.4915859E-2</v>
      </c>
      <c r="Q542" s="12">
        <v>3.5305156999999997E-2</v>
      </c>
      <c r="R542" s="13">
        <v>5.4219320000000001E-2</v>
      </c>
      <c r="S542" s="13">
        <v>2.3277367E-2</v>
      </c>
      <c r="T542" s="13">
        <v>6.6362799E-2</v>
      </c>
      <c r="U542" s="13">
        <v>0.11284781000000001</v>
      </c>
      <c r="AB542" s="16">
        <v>1</v>
      </c>
      <c r="AC542" s="16">
        <v>0</v>
      </c>
      <c r="AD542" s="16">
        <v>1</v>
      </c>
    </row>
    <row r="543" spans="1:30" x14ac:dyDescent="0.3">
      <c r="A543" s="8">
        <v>45383</v>
      </c>
      <c r="B543" s="9">
        <v>7.2730395000000003E-2</v>
      </c>
      <c r="C543" s="9">
        <v>2.6555614000000002E-2</v>
      </c>
      <c r="D543" s="9">
        <v>6.2317012999999997E-2</v>
      </c>
      <c r="E543" s="9">
        <v>4.6259020999999997E-2</v>
      </c>
      <c r="F543" s="10">
        <v>4.9500888E-2</v>
      </c>
      <c r="G543" s="10">
        <v>2.6920118E-2</v>
      </c>
      <c r="H543" s="10">
        <v>8.3746521000000004E-2</v>
      </c>
      <c r="I543" s="10">
        <v>2.4562125000000001E-2</v>
      </c>
      <c r="J543" s="11">
        <v>8.1685691000000005E-2</v>
      </c>
      <c r="K543" s="11">
        <v>1.8670208000000001E-2</v>
      </c>
      <c r="L543" s="11">
        <v>7.5074512999999995E-2</v>
      </c>
      <c r="M543" s="11">
        <v>2.5674717E-2</v>
      </c>
      <c r="N543" s="12">
        <v>2.4455893999999999E-2</v>
      </c>
      <c r="O543" s="12">
        <v>3.2642035E-2</v>
      </c>
      <c r="P543" s="12">
        <v>3.5296764000000001E-2</v>
      </c>
      <c r="Q543" s="12">
        <v>3.3248476999999999E-2</v>
      </c>
      <c r="R543" s="13">
        <v>5.8271165999999999E-2</v>
      </c>
      <c r="S543" s="13">
        <v>4.8384310999999999E-2</v>
      </c>
      <c r="T543" s="13">
        <v>3.4915859E-2</v>
      </c>
      <c r="U543" s="13">
        <v>3.5305156999999997E-2</v>
      </c>
      <c r="AB543" s="16">
        <v>1</v>
      </c>
      <c r="AC543" s="16">
        <v>0</v>
      </c>
      <c r="AD543" s="16">
        <v>1</v>
      </c>
    </row>
    <row r="544" spans="1:30" x14ac:dyDescent="0.3">
      <c r="A544" s="8">
        <v>45384</v>
      </c>
      <c r="B544" s="9">
        <v>3.4597286999999997E-2</v>
      </c>
      <c r="C544" s="9">
        <v>4.2242519999999999E-2</v>
      </c>
      <c r="D544" s="9">
        <v>7.6240326999999997E-2</v>
      </c>
      <c r="E544" s="9">
        <v>4.4451790999999997E-2</v>
      </c>
      <c r="F544" s="10">
        <v>7.2730395000000003E-2</v>
      </c>
      <c r="G544" s="10">
        <v>2.6555614000000002E-2</v>
      </c>
      <c r="H544" s="10">
        <v>6.2317012999999997E-2</v>
      </c>
      <c r="I544" s="10">
        <v>4.6259020999999997E-2</v>
      </c>
      <c r="J544" s="11">
        <v>4.9500888E-2</v>
      </c>
      <c r="K544" s="11">
        <v>2.6920118E-2</v>
      </c>
      <c r="L544" s="11">
        <v>8.3746521000000004E-2</v>
      </c>
      <c r="M544" s="11">
        <v>2.4562125000000001E-2</v>
      </c>
      <c r="N544" s="12">
        <v>8.1685691000000005E-2</v>
      </c>
      <c r="O544" s="12">
        <v>1.8670208000000001E-2</v>
      </c>
      <c r="P544" s="12">
        <v>7.5074512999999995E-2</v>
      </c>
      <c r="Q544" s="12">
        <v>2.5674717E-2</v>
      </c>
      <c r="R544" s="13">
        <v>2.4455893999999999E-2</v>
      </c>
      <c r="S544" s="13">
        <v>3.2642035E-2</v>
      </c>
      <c r="T544" s="13">
        <v>3.5296764000000001E-2</v>
      </c>
      <c r="U544" s="13">
        <v>3.3248476999999999E-2</v>
      </c>
      <c r="AB544" s="16">
        <v>0</v>
      </c>
      <c r="AC544" s="16">
        <v>0</v>
      </c>
      <c r="AD544" s="16">
        <v>0</v>
      </c>
    </row>
    <row r="545" spans="1:30" x14ac:dyDescent="0.3">
      <c r="A545" s="8">
        <v>45385</v>
      </c>
      <c r="B545" s="9">
        <v>3.4941775000000001E-2</v>
      </c>
      <c r="C545" s="9">
        <v>3.0571625000000002E-2</v>
      </c>
      <c r="D545" s="9">
        <v>3.730555E-2</v>
      </c>
      <c r="E545" s="9">
        <v>4.9370821000000002E-2</v>
      </c>
      <c r="F545" s="10">
        <v>3.4597286999999997E-2</v>
      </c>
      <c r="G545" s="10">
        <v>4.2242519999999999E-2</v>
      </c>
      <c r="H545" s="10">
        <v>7.6240326999999997E-2</v>
      </c>
      <c r="I545" s="10">
        <v>4.4451790999999997E-2</v>
      </c>
      <c r="J545" s="11">
        <v>7.2730395000000003E-2</v>
      </c>
      <c r="K545" s="11">
        <v>2.6555614000000002E-2</v>
      </c>
      <c r="L545" s="11">
        <v>6.2317012999999997E-2</v>
      </c>
      <c r="M545" s="11">
        <v>4.6259020999999997E-2</v>
      </c>
      <c r="N545" s="12">
        <v>4.9500888E-2</v>
      </c>
      <c r="O545" s="12">
        <v>2.6920118E-2</v>
      </c>
      <c r="P545" s="12">
        <v>8.3746521000000004E-2</v>
      </c>
      <c r="Q545" s="12">
        <v>2.4562125000000001E-2</v>
      </c>
      <c r="R545" s="13">
        <v>8.1685691000000005E-2</v>
      </c>
      <c r="S545" s="13">
        <v>1.8670208000000001E-2</v>
      </c>
      <c r="T545" s="13">
        <v>7.5074512999999995E-2</v>
      </c>
      <c r="U545" s="13">
        <v>2.5674717E-2</v>
      </c>
      <c r="AB545" s="16">
        <v>1</v>
      </c>
      <c r="AC545" s="16">
        <v>0</v>
      </c>
      <c r="AD545" s="16">
        <v>1</v>
      </c>
    </row>
    <row r="546" spans="1:30" x14ac:dyDescent="0.3">
      <c r="A546" s="8">
        <v>45390</v>
      </c>
      <c r="B546" s="9">
        <v>9.4906663000000002E-2</v>
      </c>
      <c r="C546" s="9">
        <v>5.0673617999999997E-2</v>
      </c>
      <c r="D546" s="9">
        <v>0.10140067799999999</v>
      </c>
      <c r="E546" s="9">
        <v>5.3841943000000003E-2</v>
      </c>
      <c r="F546" s="10">
        <v>3.4941775000000001E-2</v>
      </c>
      <c r="G546" s="10">
        <v>3.0571625000000002E-2</v>
      </c>
      <c r="H546" s="10">
        <v>3.730555E-2</v>
      </c>
      <c r="I546" s="10">
        <v>4.9370821000000002E-2</v>
      </c>
      <c r="J546" s="11">
        <v>3.4597286999999997E-2</v>
      </c>
      <c r="K546" s="11">
        <v>4.2242519999999999E-2</v>
      </c>
      <c r="L546" s="11">
        <v>7.6240326999999997E-2</v>
      </c>
      <c r="M546" s="11">
        <v>4.4451790999999997E-2</v>
      </c>
      <c r="N546" s="12">
        <v>7.2730395000000003E-2</v>
      </c>
      <c r="O546" s="12">
        <v>2.6555614000000002E-2</v>
      </c>
      <c r="P546" s="12">
        <v>6.2317012999999997E-2</v>
      </c>
      <c r="Q546" s="12">
        <v>4.6259020999999997E-2</v>
      </c>
      <c r="R546" s="13">
        <v>4.9500888E-2</v>
      </c>
      <c r="S546" s="13">
        <v>2.6920118E-2</v>
      </c>
      <c r="T546" s="13">
        <v>8.3746521000000004E-2</v>
      </c>
      <c r="U546" s="13">
        <v>2.4562125000000001E-2</v>
      </c>
      <c r="AB546" s="16">
        <v>0</v>
      </c>
      <c r="AC546" s="16">
        <v>0</v>
      </c>
      <c r="AD546" s="16">
        <v>0</v>
      </c>
    </row>
    <row r="547" spans="1:30" x14ac:dyDescent="0.3">
      <c r="A547" s="8">
        <v>45391</v>
      </c>
      <c r="B547" s="9">
        <v>4.1391624000000002E-2</v>
      </c>
      <c r="C547" s="9">
        <v>5.4968860000000001E-2</v>
      </c>
      <c r="D547" s="9">
        <v>0.115734584</v>
      </c>
      <c r="E547" s="9">
        <v>6.7915087999999998E-2</v>
      </c>
      <c r="F547" s="10">
        <v>9.4906663000000002E-2</v>
      </c>
      <c r="G547" s="10">
        <v>5.0673617999999997E-2</v>
      </c>
      <c r="H547" s="10">
        <v>0.10140067799999999</v>
      </c>
      <c r="I547" s="10">
        <v>5.3841943000000003E-2</v>
      </c>
      <c r="J547" s="11">
        <v>3.4941775000000001E-2</v>
      </c>
      <c r="K547" s="11">
        <v>3.0571625000000002E-2</v>
      </c>
      <c r="L547" s="11">
        <v>3.730555E-2</v>
      </c>
      <c r="M547" s="11">
        <v>4.9370821000000002E-2</v>
      </c>
      <c r="N547" s="12">
        <v>3.4597286999999997E-2</v>
      </c>
      <c r="O547" s="12">
        <v>4.2242519999999999E-2</v>
      </c>
      <c r="P547" s="12">
        <v>7.6240326999999997E-2</v>
      </c>
      <c r="Q547" s="12">
        <v>4.4451790999999997E-2</v>
      </c>
      <c r="R547" s="13">
        <v>7.2730395000000003E-2</v>
      </c>
      <c r="S547" s="13">
        <v>2.6555614000000002E-2</v>
      </c>
      <c r="T547" s="13">
        <v>6.2317012999999997E-2</v>
      </c>
      <c r="U547" s="13">
        <v>4.6259020999999997E-2</v>
      </c>
      <c r="V547" s="15">
        <v>0.27136031788558806</v>
      </c>
      <c r="W547" s="15">
        <v>0.14159493251788655</v>
      </c>
      <c r="X547" s="15">
        <v>0</v>
      </c>
      <c r="Y547" s="14"/>
      <c r="Z547" s="14"/>
      <c r="AA547" s="14"/>
      <c r="AB547" s="16">
        <v>0</v>
      </c>
      <c r="AC547" s="16">
        <v>1</v>
      </c>
      <c r="AD547" s="16">
        <v>1</v>
      </c>
    </row>
    <row r="548" spans="1:30" x14ac:dyDescent="0.3">
      <c r="A548" s="8">
        <v>45392</v>
      </c>
      <c r="B548" s="9">
        <v>6.3278144999999994E-2</v>
      </c>
      <c r="C548" s="9">
        <v>5.0657035000000003E-2</v>
      </c>
      <c r="D548" s="9">
        <v>5.4095422999999997E-2</v>
      </c>
      <c r="E548" s="9">
        <v>7.1495661000000002E-2</v>
      </c>
      <c r="F548" s="10">
        <v>4.1391624000000002E-2</v>
      </c>
      <c r="G548" s="10">
        <v>5.4968860000000001E-2</v>
      </c>
      <c r="H548" s="10">
        <v>0.115734584</v>
      </c>
      <c r="I548" s="10">
        <v>6.7915087999999998E-2</v>
      </c>
      <c r="J548" s="11">
        <v>9.4906663000000002E-2</v>
      </c>
      <c r="K548" s="11">
        <v>5.0673617999999997E-2</v>
      </c>
      <c r="L548" s="11">
        <v>0.10140067799999999</v>
      </c>
      <c r="M548" s="11">
        <v>5.3841943000000003E-2</v>
      </c>
      <c r="N548" s="12">
        <v>3.4941775000000001E-2</v>
      </c>
      <c r="O548" s="12">
        <v>3.0571625000000002E-2</v>
      </c>
      <c r="P548" s="12">
        <v>3.730555E-2</v>
      </c>
      <c r="Q548" s="12">
        <v>4.9370821000000002E-2</v>
      </c>
      <c r="R548" s="13">
        <v>3.4597286999999997E-2</v>
      </c>
      <c r="S548" s="13">
        <v>4.2242519999999999E-2</v>
      </c>
      <c r="T548" s="13">
        <v>7.6240326999999997E-2</v>
      </c>
      <c r="U548" s="13">
        <v>4.4451790999999997E-2</v>
      </c>
      <c r="V548" s="15">
        <v>0.27136031788558806</v>
      </c>
      <c r="W548" s="15">
        <v>0.13414061905361521</v>
      </c>
      <c r="X548" s="15">
        <v>8.9510271502273048E-3</v>
      </c>
      <c r="Y548" s="14"/>
      <c r="Z548" s="14"/>
      <c r="AA548" s="14"/>
      <c r="AB548" s="16">
        <v>0</v>
      </c>
      <c r="AC548" s="16">
        <v>1</v>
      </c>
      <c r="AD548" s="16">
        <v>1</v>
      </c>
    </row>
    <row r="549" spans="1:30" x14ac:dyDescent="0.3">
      <c r="A549" s="8">
        <v>45393</v>
      </c>
      <c r="B549" s="9">
        <v>0.124485162</v>
      </c>
      <c r="C549" s="9">
        <v>5.7935056999999998E-2</v>
      </c>
      <c r="D549" s="9">
        <v>0.17060766599999999</v>
      </c>
      <c r="E549" s="9">
        <v>7.9836342000000005E-2</v>
      </c>
      <c r="F549" s="10">
        <v>6.3278144999999994E-2</v>
      </c>
      <c r="G549" s="10">
        <v>5.0657035000000003E-2</v>
      </c>
      <c r="H549" s="10">
        <v>5.4095422999999997E-2</v>
      </c>
      <c r="I549" s="10">
        <v>7.1495661000000002E-2</v>
      </c>
      <c r="J549" s="11">
        <v>4.1391624000000002E-2</v>
      </c>
      <c r="K549" s="11">
        <v>5.4968860000000001E-2</v>
      </c>
      <c r="L549" s="11">
        <v>0.115734584</v>
      </c>
      <c r="M549" s="11">
        <v>6.7915087999999998E-2</v>
      </c>
      <c r="N549" s="12">
        <v>9.4906663000000002E-2</v>
      </c>
      <c r="O549" s="12">
        <v>5.0673617999999997E-2</v>
      </c>
      <c r="P549" s="12">
        <v>0.10140067799999999</v>
      </c>
      <c r="Q549" s="12">
        <v>5.3841943000000003E-2</v>
      </c>
      <c r="R549" s="13">
        <v>3.4941775000000001E-2</v>
      </c>
      <c r="S549" s="13">
        <v>3.0571625000000002E-2</v>
      </c>
      <c r="T549" s="13">
        <v>3.730555E-2</v>
      </c>
      <c r="U549" s="13">
        <v>4.9370821000000002E-2</v>
      </c>
      <c r="V549" s="15">
        <v>0.27136031788558806</v>
      </c>
      <c r="W549" s="15">
        <v>0.13413423670957203</v>
      </c>
      <c r="X549" s="15">
        <v>6.3005037305122824E-3</v>
      </c>
      <c r="Y549" s="14"/>
      <c r="Z549" s="14"/>
      <c r="AA549" s="14"/>
      <c r="AB549" s="16">
        <v>0</v>
      </c>
      <c r="AC549" s="16">
        <v>1</v>
      </c>
      <c r="AD549" s="16">
        <v>1</v>
      </c>
    </row>
    <row r="550" spans="1:30" x14ac:dyDescent="0.3">
      <c r="A550" s="8">
        <v>45394</v>
      </c>
      <c r="B550" s="9">
        <v>0.119436177</v>
      </c>
      <c r="C550" s="9">
        <v>6.2177839999999998E-2</v>
      </c>
      <c r="D550" s="9">
        <v>0.15178365499999999</v>
      </c>
      <c r="E550" s="9">
        <v>0.104777907</v>
      </c>
      <c r="F550" s="10">
        <v>0.124485162</v>
      </c>
      <c r="G550" s="10">
        <v>5.7935056999999998E-2</v>
      </c>
      <c r="H550" s="10">
        <v>0.17060766599999999</v>
      </c>
      <c r="I550" s="10">
        <v>7.9836342000000005E-2</v>
      </c>
      <c r="J550" s="11">
        <v>6.3278144999999994E-2</v>
      </c>
      <c r="K550" s="11">
        <v>5.0657035000000003E-2</v>
      </c>
      <c r="L550" s="11">
        <v>5.4095422999999997E-2</v>
      </c>
      <c r="M550" s="11">
        <v>7.1495661000000002E-2</v>
      </c>
      <c r="N550" s="12">
        <v>4.1391624000000002E-2</v>
      </c>
      <c r="O550" s="12">
        <v>5.4968860000000001E-2</v>
      </c>
      <c r="P550" s="12">
        <v>0.115734584</v>
      </c>
      <c r="Q550" s="12">
        <v>6.7915087999999998E-2</v>
      </c>
      <c r="R550" s="13">
        <v>9.4906663000000002E-2</v>
      </c>
      <c r="S550" s="13">
        <v>5.0673617999999997E-2</v>
      </c>
      <c r="T550" s="13">
        <v>0.10140067799999999</v>
      </c>
      <c r="U550" s="13">
        <v>5.3841943000000003E-2</v>
      </c>
      <c r="V550" s="15">
        <v>0.27136031788558806</v>
      </c>
      <c r="W550" s="15">
        <v>0.13398988903387188</v>
      </c>
      <c r="X550" s="15">
        <v>7.0936212474045964E-3</v>
      </c>
      <c r="Y550" s="14"/>
      <c r="Z550" s="14"/>
      <c r="AA550" s="14"/>
      <c r="AB550" s="16">
        <v>0</v>
      </c>
      <c r="AC550" s="16">
        <v>1</v>
      </c>
      <c r="AD550" s="16">
        <v>1</v>
      </c>
    </row>
    <row r="551" spans="1:30" x14ac:dyDescent="0.3">
      <c r="A551" s="8">
        <v>45397</v>
      </c>
      <c r="B551" s="9">
        <v>0.23233798999999999</v>
      </c>
      <c r="C551" s="9">
        <v>9.9888082000000003E-2</v>
      </c>
      <c r="D551" s="9">
        <v>0.12728091899999999</v>
      </c>
      <c r="E551" s="9">
        <v>0.12680773300000001</v>
      </c>
      <c r="F551" s="10">
        <v>0.119436177</v>
      </c>
      <c r="G551" s="10">
        <v>6.2177839999999998E-2</v>
      </c>
      <c r="H551" s="10">
        <v>0.15178365499999999</v>
      </c>
      <c r="I551" s="10">
        <v>0.104777907</v>
      </c>
      <c r="J551" s="11">
        <v>0.124485162</v>
      </c>
      <c r="K551" s="11">
        <v>5.7935056999999998E-2</v>
      </c>
      <c r="L551" s="11">
        <v>0.17060766599999999</v>
      </c>
      <c r="M551" s="11">
        <v>7.9836342000000005E-2</v>
      </c>
      <c r="N551" s="12">
        <v>6.3278144999999994E-2</v>
      </c>
      <c r="O551" s="12">
        <v>5.0657035000000003E-2</v>
      </c>
      <c r="P551" s="12">
        <v>5.4095422999999997E-2</v>
      </c>
      <c r="Q551" s="12">
        <v>7.1495661000000002E-2</v>
      </c>
      <c r="R551" s="13">
        <v>4.1391624000000002E-2</v>
      </c>
      <c r="S551" s="13">
        <v>5.4968860000000001E-2</v>
      </c>
      <c r="T551" s="13">
        <v>0.115734584</v>
      </c>
      <c r="U551" s="13">
        <v>6.7915087999999998E-2</v>
      </c>
      <c r="V551" s="15">
        <v>0.24949963535499323</v>
      </c>
      <c r="W551" s="15">
        <v>0.13629250928839395</v>
      </c>
      <c r="X551" s="15">
        <v>2.4543408506239716E-2</v>
      </c>
      <c r="Y551" s="14"/>
      <c r="Z551" s="14"/>
      <c r="AA551" s="14"/>
      <c r="AB551" s="16">
        <v>0</v>
      </c>
      <c r="AC551" s="16">
        <v>1</v>
      </c>
      <c r="AD551" s="16">
        <v>1</v>
      </c>
    </row>
    <row r="552" spans="1:30" x14ac:dyDescent="0.3">
      <c r="A552" s="8">
        <v>45398</v>
      </c>
      <c r="B552" s="9">
        <v>0.37919239100000002</v>
      </c>
      <c r="C552" s="9">
        <v>0.17509355800000001</v>
      </c>
      <c r="D552" s="9">
        <v>0.21700834399999999</v>
      </c>
      <c r="E552" s="9">
        <v>0.268730252</v>
      </c>
      <c r="F552" s="10">
        <v>0.23233798999999999</v>
      </c>
      <c r="G552" s="10">
        <v>9.9888082000000003E-2</v>
      </c>
      <c r="H552" s="10">
        <v>0.12728091899999999</v>
      </c>
      <c r="I552" s="10">
        <v>0.12680773300000001</v>
      </c>
      <c r="J552" s="11">
        <v>0.119436177</v>
      </c>
      <c r="K552" s="11">
        <v>6.2177839999999998E-2</v>
      </c>
      <c r="L552" s="11">
        <v>0.15178365499999999</v>
      </c>
      <c r="M552" s="11">
        <v>0.104777907</v>
      </c>
      <c r="N552" s="12">
        <v>0.124485162</v>
      </c>
      <c r="O552" s="12">
        <v>5.7935056999999998E-2</v>
      </c>
      <c r="P552" s="12">
        <v>0.17060766599999999</v>
      </c>
      <c r="Q552" s="12">
        <v>7.9836342000000005E-2</v>
      </c>
      <c r="R552" s="13">
        <v>6.3278144999999994E-2</v>
      </c>
      <c r="S552" s="13">
        <v>5.0657035000000003E-2</v>
      </c>
      <c r="T552" s="13">
        <v>5.4095422999999997E-2</v>
      </c>
      <c r="U552" s="13">
        <v>7.1495661000000002E-2</v>
      </c>
      <c r="V552" s="15">
        <v>0.24949963535499323</v>
      </c>
      <c r="W552" s="15">
        <v>0.15374093585820972</v>
      </c>
      <c r="X552" s="15">
        <v>7.065425431932161E-2</v>
      </c>
      <c r="Y552" s="14"/>
      <c r="Z552" s="14"/>
      <c r="AA552" s="14"/>
      <c r="AB552" s="16">
        <v>0</v>
      </c>
      <c r="AC552" s="16">
        <v>1</v>
      </c>
      <c r="AD552" s="16">
        <v>1</v>
      </c>
    </row>
    <row r="553" spans="1:30" x14ac:dyDescent="0.3">
      <c r="A553" s="8">
        <v>45399</v>
      </c>
      <c r="B553" s="9">
        <v>1.6049943000000001E-2</v>
      </c>
      <c r="C553" s="9">
        <v>2.952215E-2</v>
      </c>
      <c r="D553" s="9">
        <v>5.9472150000000001E-2</v>
      </c>
      <c r="E553" s="9">
        <v>4.6164008999999999E-2</v>
      </c>
      <c r="F553" s="10">
        <v>0.37919239100000002</v>
      </c>
      <c r="G553" s="10">
        <v>0.17509355800000001</v>
      </c>
      <c r="H553" s="10">
        <v>0.21700834399999999</v>
      </c>
      <c r="I553" s="10">
        <v>0.268730252</v>
      </c>
      <c r="J553" s="11">
        <v>0.23233798999999999</v>
      </c>
      <c r="K553" s="11">
        <v>9.9888082000000003E-2</v>
      </c>
      <c r="L553" s="11">
        <v>0.12728091899999999</v>
      </c>
      <c r="M553" s="11">
        <v>0.12680773300000001</v>
      </c>
      <c r="N553" s="12">
        <v>0.119436177</v>
      </c>
      <c r="O553" s="12">
        <v>6.2177839999999998E-2</v>
      </c>
      <c r="P553" s="12">
        <v>0.15178365499999999</v>
      </c>
      <c r="Q553" s="12">
        <v>0.104777907</v>
      </c>
      <c r="R553" s="13">
        <v>0.124485162</v>
      </c>
      <c r="S553" s="13">
        <v>5.7935056999999998E-2</v>
      </c>
      <c r="T553" s="13">
        <v>0.17060766599999999</v>
      </c>
      <c r="U553" s="13">
        <v>7.9836342000000005E-2</v>
      </c>
      <c r="V553" s="15">
        <v>0.27136031788558806</v>
      </c>
      <c r="W553" s="15">
        <v>0.1569358687392487</v>
      </c>
      <c r="X553" s="15">
        <v>0</v>
      </c>
      <c r="Y553" s="14"/>
      <c r="Z553" s="14"/>
      <c r="AA553" s="14"/>
      <c r="AB553" s="16">
        <v>0</v>
      </c>
      <c r="AC553" s="16">
        <v>0</v>
      </c>
      <c r="AD553" s="16">
        <v>0</v>
      </c>
    </row>
    <row r="554" spans="1:30" x14ac:dyDescent="0.3">
      <c r="A554" s="8">
        <v>45400</v>
      </c>
      <c r="B554" s="9">
        <v>7.4157340000000002E-2</v>
      </c>
      <c r="C554" s="9">
        <v>2.9204977E-2</v>
      </c>
      <c r="D554" s="9">
        <v>0.125743303</v>
      </c>
      <c r="E554" s="9">
        <v>3.8356582E-2</v>
      </c>
      <c r="F554" s="10">
        <v>1.6049943000000001E-2</v>
      </c>
      <c r="G554" s="10">
        <v>2.952215E-2</v>
      </c>
      <c r="H554" s="10">
        <v>5.9472150000000001E-2</v>
      </c>
      <c r="I554" s="10">
        <v>4.6164008999999999E-2</v>
      </c>
      <c r="J554" s="11">
        <v>0.37919239100000002</v>
      </c>
      <c r="K554" s="11">
        <v>0.17509355800000001</v>
      </c>
      <c r="L554" s="11">
        <v>0.21700834399999999</v>
      </c>
      <c r="M554" s="11">
        <v>0.268730252</v>
      </c>
      <c r="N554" s="12">
        <v>0.23233798999999999</v>
      </c>
      <c r="O554" s="12">
        <v>9.9888082000000003E-2</v>
      </c>
      <c r="P554" s="12">
        <v>0.12728091899999999</v>
      </c>
      <c r="Q554" s="12">
        <v>0.12680773300000001</v>
      </c>
      <c r="R554" s="13">
        <v>0.119436177</v>
      </c>
      <c r="S554" s="13">
        <v>6.2177839999999998E-2</v>
      </c>
      <c r="T554" s="13">
        <v>0.15178365499999999</v>
      </c>
      <c r="U554" s="13">
        <v>0.104777907</v>
      </c>
      <c r="V554" s="15">
        <v>0.27136031788558806</v>
      </c>
      <c r="W554" s="15">
        <v>0.15691363063718028</v>
      </c>
      <c r="X554" s="15">
        <v>0</v>
      </c>
      <c r="Y554" s="14"/>
      <c r="Z554" s="14"/>
      <c r="AA554" s="14"/>
      <c r="AB554" s="16">
        <v>0</v>
      </c>
      <c r="AC554" s="16">
        <v>1</v>
      </c>
      <c r="AD554" s="16">
        <v>1</v>
      </c>
    </row>
    <row r="555" spans="1:30" x14ac:dyDescent="0.3">
      <c r="A555" s="8">
        <v>45401</v>
      </c>
      <c r="B555" s="9">
        <v>0.1295955</v>
      </c>
      <c r="C555" s="9">
        <v>4.0668430999999998E-2</v>
      </c>
      <c r="D555" s="9">
        <v>7.9949120999999998E-2</v>
      </c>
      <c r="E555" s="9">
        <v>7.2378175000000003E-2</v>
      </c>
      <c r="F555" s="10">
        <v>7.4157340000000002E-2</v>
      </c>
      <c r="G555" s="10">
        <v>2.9204977E-2</v>
      </c>
      <c r="H555" s="10">
        <v>0.125743303</v>
      </c>
      <c r="I555" s="10">
        <v>3.8356582E-2</v>
      </c>
      <c r="J555" s="11">
        <v>1.6049943000000001E-2</v>
      </c>
      <c r="K555" s="11">
        <v>2.952215E-2</v>
      </c>
      <c r="L555" s="11">
        <v>5.9472150000000001E-2</v>
      </c>
      <c r="M555" s="11">
        <v>4.6164008999999999E-2</v>
      </c>
      <c r="N555" s="12">
        <v>0.37919239100000002</v>
      </c>
      <c r="O555" s="12">
        <v>0.17509355800000001</v>
      </c>
      <c r="P555" s="12">
        <v>0.21700834399999999</v>
      </c>
      <c r="Q555" s="12">
        <v>0.268730252</v>
      </c>
      <c r="R555" s="13">
        <v>0.23233798999999999</v>
      </c>
      <c r="S555" s="13">
        <v>9.9888082000000003E-2</v>
      </c>
      <c r="T555" s="13">
        <v>0.12728091899999999</v>
      </c>
      <c r="U555" s="13">
        <v>0.12680773300000001</v>
      </c>
      <c r="V555" s="15">
        <v>0.27136031788558806</v>
      </c>
      <c r="W555" s="15">
        <v>0.1861187529346284</v>
      </c>
      <c r="X555" s="15">
        <v>9.883819400150734E-2</v>
      </c>
      <c r="Y555" s="14"/>
      <c r="Z555" s="14"/>
      <c r="AA555" s="14"/>
      <c r="AB555" s="16">
        <v>1</v>
      </c>
      <c r="AC555" s="16">
        <v>0</v>
      </c>
      <c r="AD555" s="16">
        <v>1</v>
      </c>
    </row>
    <row r="556" spans="1:30" x14ac:dyDescent="0.3">
      <c r="A556" s="8">
        <v>45404</v>
      </c>
      <c r="B556" s="9">
        <v>0.104928755</v>
      </c>
      <c r="C556" s="9">
        <v>3.4722421000000003E-2</v>
      </c>
      <c r="D556" s="9">
        <v>8.2550910000000005E-2</v>
      </c>
      <c r="E556" s="9">
        <v>4.9000216999999999E-2</v>
      </c>
      <c r="F556" s="10">
        <v>0.1295955</v>
      </c>
      <c r="G556" s="10">
        <v>4.0668430999999998E-2</v>
      </c>
      <c r="H556" s="10">
        <v>7.9949120999999998E-2</v>
      </c>
      <c r="I556" s="10">
        <v>7.2378175000000003E-2</v>
      </c>
      <c r="J556" s="11">
        <v>7.4157340000000002E-2</v>
      </c>
      <c r="K556" s="11">
        <v>2.9204977E-2</v>
      </c>
      <c r="L556" s="11">
        <v>0.125743303</v>
      </c>
      <c r="M556" s="11">
        <v>3.8356582E-2</v>
      </c>
      <c r="N556" s="12">
        <v>1.6049943000000001E-2</v>
      </c>
      <c r="O556" s="12">
        <v>2.952215E-2</v>
      </c>
      <c r="P556" s="12">
        <v>5.9472150000000001E-2</v>
      </c>
      <c r="Q556" s="12">
        <v>4.6164008999999999E-2</v>
      </c>
      <c r="R556" s="13">
        <v>0.37919239100000002</v>
      </c>
      <c r="S556" s="13">
        <v>0.17509355800000001</v>
      </c>
      <c r="T556" s="13">
        <v>0.21700834399999999</v>
      </c>
      <c r="U556" s="13">
        <v>0.268730252</v>
      </c>
      <c r="V556" s="15">
        <v>0.27136031788558806</v>
      </c>
      <c r="W556" s="15">
        <v>0.18646952786143656</v>
      </c>
      <c r="X556" s="15">
        <v>1.1243284715860327E-2</v>
      </c>
      <c r="Y556" s="14"/>
      <c r="Z556" s="14"/>
      <c r="AA556" s="14"/>
      <c r="AB556" s="16">
        <v>1</v>
      </c>
      <c r="AC556" s="16">
        <v>0</v>
      </c>
      <c r="AD556" s="16">
        <v>1</v>
      </c>
    </row>
    <row r="557" spans="1:30" x14ac:dyDescent="0.3">
      <c r="A557" s="8">
        <v>45405</v>
      </c>
      <c r="B557" s="9">
        <v>5.4235987999999999E-2</v>
      </c>
      <c r="C557" s="9">
        <v>2.5839612000000001E-2</v>
      </c>
      <c r="D557" s="9">
        <v>7.4974867000000001E-2</v>
      </c>
      <c r="E557" s="9">
        <v>4.1652781E-2</v>
      </c>
      <c r="F557" s="10">
        <v>0.104928755</v>
      </c>
      <c r="G557" s="10">
        <v>3.4722421000000003E-2</v>
      </c>
      <c r="H557" s="10">
        <v>8.2550910000000005E-2</v>
      </c>
      <c r="I557" s="10">
        <v>4.9000216999999999E-2</v>
      </c>
      <c r="J557" s="11">
        <v>0.1295955</v>
      </c>
      <c r="K557" s="11">
        <v>4.0668430999999998E-2</v>
      </c>
      <c r="L557" s="11">
        <v>7.9949120999999998E-2</v>
      </c>
      <c r="M557" s="11">
        <v>7.2378175000000003E-2</v>
      </c>
      <c r="N557" s="12">
        <v>7.4157340000000002E-2</v>
      </c>
      <c r="O557" s="12">
        <v>2.9204977E-2</v>
      </c>
      <c r="P557" s="12">
        <v>0.125743303</v>
      </c>
      <c r="Q557" s="12">
        <v>3.8356582E-2</v>
      </c>
      <c r="R557" s="13">
        <v>1.6049943000000001E-2</v>
      </c>
      <c r="S557" s="13">
        <v>2.952215E-2</v>
      </c>
      <c r="T557" s="13">
        <v>5.9472150000000001E-2</v>
      </c>
      <c r="U557" s="13">
        <v>4.6164008999999999E-2</v>
      </c>
      <c r="V557" s="15">
        <v>0.33273962057777251</v>
      </c>
      <c r="W557" s="15">
        <v>0.18491800824315049</v>
      </c>
      <c r="X557" s="15">
        <v>0</v>
      </c>
      <c r="Y557" s="14"/>
      <c r="Z557" s="14"/>
      <c r="AA557" s="14"/>
      <c r="AB557" s="16">
        <v>1</v>
      </c>
      <c r="AC557" s="16">
        <v>0</v>
      </c>
      <c r="AD557" s="16">
        <v>1</v>
      </c>
    </row>
    <row r="558" spans="1:30" x14ac:dyDescent="0.3">
      <c r="A558" s="8">
        <v>45406</v>
      </c>
      <c r="B558" s="9">
        <v>1.8347609000000001E-2</v>
      </c>
      <c r="C558" s="9">
        <v>3.9900519000000002E-2</v>
      </c>
      <c r="D558" s="9">
        <v>8.0318191999999997E-2</v>
      </c>
      <c r="E558" s="9">
        <v>5.5440420999999997E-2</v>
      </c>
      <c r="F558" s="10">
        <v>5.4235987999999999E-2</v>
      </c>
      <c r="G558" s="10">
        <v>2.5839612000000001E-2</v>
      </c>
      <c r="H558" s="10">
        <v>7.4974867000000001E-2</v>
      </c>
      <c r="I558" s="10">
        <v>4.1652781E-2</v>
      </c>
      <c r="J558" s="11">
        <v>0.104928755</v>
      </c>
      <c r="K558" s="11">
        <v>3.4722421000000003E-2</v>
      </c>
      <c r="L558" s="11">
        <v>8.2550910000000005E-2</v>
      </c>
      <c r="M558" s="11">
        <v>4.9000216999999999E-2</v>
      </c>
      <c r="N558" s="12">
        <v>0.1295955</v>
      </c>
      <c r="O558" s="12">
        <v>4.0668430999999998E-2</v>
      </c>
      <c r="P558" s="12">
        <v>7.9949120999999998E-2</v>
      </c>
      <c r="Q558" s="12">
        <v>7.2378175000000003E-2</v>
      </c>
      <c r="R558" s="13">
        <v>7.4157340000000002E-2</v>
      </c>
      <c r="S558" s="13">
        <v>2.9204977E-2</v>
      </c>
      <c r="T558" s="13">
        <v>0.125743303</v>
      </c>
      <c r="U558" s="13">
        <v>3.8356582E-2</v>
      </c>
      <c r="V558" s="15">
        <v>0.45416240661896373</v>
      </c>
      <c r="W558" s="15">
        <v>0.19260953884057355</v>
      </c>
      <c r="X558" s="15">
        <v>0</v>
      </c>
      <c r="Y558" s="14"/>
      <c r="Z558" s="14"/>
      <c r="AA558" s="14"/>
      <c r="AB558" s="16">
        <v>0</v>
      </c>
      <c r="AC558" s="16">
        <v>0</v>
      </c>
      <c r="AD558" s="16">
        <v>0</v>
      </c>
    </row>
    <row r="559" spans="1:30" x14ac:dyDescent="0.3">
      <c r="A559" s="8">
        <v>45407</v>
      </c>
      <c r="B559" s="9">
        <v>0.115760004</v>
      </c>
      <c r="C559" s="9">
        <v>2.5984754999999998E-2</v>
      </c>
      <c r="D559" s="9">
        <v>0.117345872</v>
      </c>
      <c r="E559" s="9">
        <v>3.9884518000000001E-2</v>
      </c>
      <c r="F559" s="10">
        <v>1.8347609000000001E-2</v>
      </c>
      <c r="G559" s="10">
        <v>3.9900519000000002E-2</v>
      </c>
      <c r="H559" s="10">
        <v>8.0318191999999997E-2</v>
      </c>
      <c r="I559" s="10">
        <v>5.5440420999999997E-2</v>
      </c>
      <c r="J559" s="11">
        <v>5.4235987999999999E-2</v>
      </c>
      <c r="K559" s="11">
        <v>2.5839612000000001E-2</v>
      </c>
      <c r="L559" s="11">
        <v>7.4974867000000001E-2</v>
      </c>
      <c r="M559" s="11">
        <v>4.1652781E-2</v>
      </c>
      <c r="N559" s="12">
        <v>0.104928755</v>
      </c>
      <c r="O559" s="12">
        <v>3.4722421000000003E-2</v>
      </c>
      <c r="P559" s="12">
        <v>8.2550910000000005E-2</v>
      </c>
      <c r="Q559" s="12">
        <v>4.9000216999999999E-2</v>
      </c>
      <c r="R559" s="13">
        <v>0.1295955</v>
      </c>
      <c r="S559" s="13">
        <v>4.0668430999999998E-2</v>
      </c>
      <c r="T559" s="13">
        <v>7.9949120999999998E-2</v>
      </c>
      <c r="U559" s="13">
        <v>7.2378175000000003E-2</v>
      </c>
      <c r="V559" s="15">
        <v>0.33273962057777251</v>
      </c>
      <c r="W559" s="15">
        <v>0.19645855572512175</v>
      </c>
      <c r="X559" s="15">
        <v>3.8294096735074799E-2</v>
      </c>
      <c r="Y559" s="14"/>
      <c r="Z559" s="14"/>
      <c r="AA559" s="14"/>
      <c r="AB559" s="16">
        <v>1</v>
      </c>
      <c r="AC559" s="16">
        <v>0</v>
      </c>
      <c r="AD559" s="16">
        <v>1</v>
      </c>
    </row>
    <row r="560" spans="1:30" x14ac:dyDescent="0.3">
      <c r="A560" s="8">
        <v>45408</v>
      </c>
      <c r="B560" s="9">
        <v>8.2034452999999993E-2</v>
      </c>
      <c r="C560" s="9">
        <v>3.8446636999999999E-2</v>
      </c>
      <c r="D560" s="9">
        <v>0.14229805000000001</v>
      </c>
      <c r="E560" s="9">
        <v>5.2124469999999999E-2</v>
      </c>
      <c r="F560" s="10">
        <v>0.115760004</v>
      </c>
      <c r="G560" s="10">
        <v>2.5984754999999998E-2</v>
      </c>
      <c r="H560" s="10">
        <v>0.117345872</v>
      </c>
      <c r="I560" s="10">
        <v>3.9884518000000001E-2</v>
      </c>
      <c r="J560" s="11">
        <v>1.8347609000000001E-2</v>
      </c>
      <c r="K560" s="11">
        <v>3.9900519000000002E-2</v>
      </c>
      <c r="L560" s="11">
        <v>8.0318191999999997E-2</v>
      </c>
      <c r="M560" s="11">
        <v>5.5440420999999997E-2</v>
      </c>
      <c r="N560" s="12">
        <v>5.4235987999999999E-2</v>
      </c>
      <c r="O560" s="12">
        <v>2.5839612000000001E-2</v>
      </c>
      <c r="P560" s="12">
        <v>7.4974867000000001E-2</v>
      </c>
      <c r="Q560" s="12">
        <v>4.1652781E-2</v>
      </c>
      <c r="R560" s="13">
        <v>0.104928755</v>
      </c>
      <c r="S560" s="13">
        <v>3.4722421000000003E-2</v>
      </c>
      <c r="T560" s="13">
        <v>8.2550910000000005E-2</v>
      </c>
      <c r="U560" s="13">
        <v>4.9000216999999999E-2</v>
      </c>
      <c r="V560" s="15">
        <v>0.33273962057777251</v>
      </c>
      <c r="W560" s="15">
        <v>0.18909436805648688</v>
      </c>
      <c r="X560" s="15">
        <v>0</v>
      </c>
      <c r="Y560" s="14"/>
      <c r="Z560" s="14"/>
      <c r="AA560" s="14"/>
      <c r="AB560" s="16">
        <v>1</v>
      </c>
      <c r="AC560" s="16">
        <v>0</v>
      </c>
      <c r="AD560" s="16">
        <v>1</v>
      </c>
    </row>
    <row r="561" spans="1:30" x14ac:dyDescent="0.3">
      <c r="A561" s="8">
        <v>45411</v>
      </c>
      <c r="B561" s="9">
        <v>5.7918731000000001E-2</v>
      </c>
      <c r="C561" s="9">
        <v>4.2931736999999998E-2</v>
      </c>
      <c r="D561" s="9">
        <v>0.14368460399999999</v>
      </c>
      <c r="E561" s="9">
        <v>5.5461495E-2</v>
      </c>
      <c r="F561" s="10">
        <v>8.2034452999999993E-2</v>
      </c>
      <c r="G561" s="10">
        <v>3.8446636999999999E-2</v>
      </c>
      <c r="H561" s="10">
        <v>0.14229805000000001</v>
      </c>
      <c r="I561" s="10">
        <v>5.2124469999999999E-2</v>
      </c>
      <c r="J561" s="11">
        <v>0.115760004</v>
      </c>
      <c r="K561" s="11">
        <v>2.5984754999999998E-2</v>
      </c>
      <c r="L561" s="11">
        <v>0.117345872</v>
      </c>
      <c r="M561" s="11">
        <v>3.9884518000000001E-2</v>
      </c>
      <c r="N561" s="12">
        <v>1.8347609000000001E-2</v>
      </c>
      <c r="O561" s="12">
        <v>3.9900519000000002E-2</v>
      </c>
      <c r="P561" s="12">
        <v>8.0318191999999997E-2</v>
      </c>
      <c r="Q561" s="12">
        <v>5.5440420999999997E-2</v>
      </c>
      <c r="R561" s="13">
        <v>5.4235987999999999E-2</v>
      </c>
      <c r="S561" s="13">
        <v>2.5839612000000001E-2</v>
      </c>
      <c r="T561" s="13">
        <v>7.4974867000000001E-2</v>
      </c>
      <c r="U561" s="13">
        <v>4.1652781E-2</v>
      </c>
      <c r="V561" s="15">
        <v>0.33273962057777251</v>
      </c>
      <c r="W561" s="15">
        <v>0.19030119642471202</v>
      </c>
      <c r="X561" s="15">
        <v>0</v>
      </c>
      <c r="Y561" s="14"/>
      <c r="Z561" s="14"/>
      <c r="AA561" s="14"/>
      <c r="AB561" s="16">
        <v>0</v>
      </c>
      <c r="AC561" s="16">
        <v>0</v>
      </c>
      <c r="AD561" s="16">
        <v>0</v>
      </c>
    </row>
    <row r="562" spans="1:30" x14ac:dyDescent="0.3">
      <c r="A562" s="8">
        <v>45412</v>
      </c>
      <c r="B562" s="9">
        <v>9.3297900000000003E-2</v>
      </c>
      <c r="C562" s="9">
        <v>6.5972692999999999E-2</v>
      </c>
      <c r="D562" s="9">
        <v>8.9230742000000002E-2</v>
      </c>
      <c r="E562" s="9">
        <v>5.4632806999999999E-2</v>
      </c>
      <c r="F562" s="10">
        <v>5.7918731000000001E-2</v>
      </c>
      <c r="G562" s="10">
        <v>4.2931736999999998E-2</v>
      </c>
      <c r="H562" s="10">
        <v>0.14368460399999999</v>
      </c>
      <c r="I562" s="10">
        <v>5.5461495E-2</v>
      </c>
      <c r="J562" s="11">
        <v>8.2034452999999993E-2</v>
      </c>
      <c r="K562" s="11">
        <v>3.8446636999999999E-2</v>
      </c>
      <c r="L562" s="11">
        <v>0.14229805000000001</v>
      </c>
      <c r="M562" s="11">
        <v>5.2124469999999999E-2</v>
      </c>
      <c r="N562" s="12">
        <v>0.115760004</v>
      </c>
      <c r="O562" s="12">
        <v>2.5984754999999998E-2</v>
      </c>
      <c r="P562" s="12">
        <v>0.117345872</v>
      </c>
      <c r="Q562" s="12">
        <v>3.9884518000000001E-2</v>
      </c>
      <c r="R562" s="13">
        <v>1.8347609000000001E-2</v>
      </c>
      <c r="S562" s="13">
        <v>3.9900519000000002E-2</v>
      </c>
      <c r="T562" s="13">
        <v>8.0318191999999997E-2</v>
      </c>
      <c r="U562" s="13">
        <v>5.5440420999999997E-2</v>
      </c>
      <c r="V562" s="15">
        <v>0.27136031788558806</v>
      </c>
      <c r="W562" s="15">
        <v>0.19093282636333503</v>
      </c>
      <c r="X562" s="15">
        <v>1.5783730184336261E-2</v>
      </c>
      <c r="Y562" s="14"/>
      <c r="Z562" s="14"/>
      <c r="AA562" s="14"/>
      <c r="AB562" s="16">
        <v>0</v>
      </c>
      <c r="AC562" s="16">
        <v>0</v>
      </c>
      <c r="AD562" s="16">
        <v>0</v>
      </c>
    </row>
    <row r="563" spans="1:30" x14ac:dyDescent="0.3">
      <c r="A563" s="8">
        <v>45414</v>
      </c>
      <c r="B563" s="9">
        <v>5.8128491999999997E-2</v>
      </c>
      <c r="C563" s="9">
        <v>4.0808661000000003E-2</v>
      </c>
      <c r="D563" s="9">
        <v>4.8564682999999997E-2</v>
      </c>
      <c r="E563" s="9">
        <v>6.3959572000000006E-2</v>
      </c>
      <c r="F563" s="10">
        <v>9.3297900000000003E-2</v>
      </c>
      <c r="G563" s="10">
        <v>6.5972692999999999E-2</v>
      </c>
      <c r="H563" s="10">
        <v>8.9230742000000002E-2</v>
      </c>
      <c r="I563" s="10">
        <v>5.4632806999999999E-2</v>
      </c>
      <c r="J563" s="11">
        <v>5.7918731000000001E-2</v>
      </c>
      <c r="K563" s="11">
        <v>4.2931736999999998E-2</v>
      </c>
      <c r="L563" s="11">
        <v>0.14368460399999999</v>
      </c>
      <c r="M563" s="11">
        <v>5.5461495E-2</v>
      </c>
      <c r="N563" s="12">
        <v>8.2034452999999993E-2</v>
      </c>
      <c r="O563" s="12">
        <v>3.8446636999999999E-2</v>
      </c>
      <c r="P563" s="12">
        <v>0.14229805000000001</v>
      </c>
      <c r="Q563" s="12">
        <v>5.2124469999999999E-2</v>
      </c>
      <c r="R563" s="13">
        <v>0.115760004</v>
      </c>
      <c r="S563" s="13">
        <v>2.5984754999999998E-2</v>
      </c>
      <c r="T563" s="13">
        <v>0.117345872</v>
      </c>
      <c r="U563" s="13">
        <v>3.9884518000000001E-2</v>
      </c>
      <c r="V563" s="15">
        <v>0.27136031788558806</v>
      </c>
      <c r="W563" s="15">
        <v>0.19182642337697861</v>
      </c>
      <c r="X563" s="15">
        <v>1.8554429675617871E-2</v>
      </c>
      <c r="Y563" s="14"/>
      <c r="Z563" s="14"/>
      <c r="AA563" s="14"/>
      <c r="AB563" s="16">
        <v>1</v>
      </c>
      <c r="AC563" s="16">
        <v>0</v>
      </c>
      <c r="AD563" s="16">
        <v>1</v>
      </c>
    </row>
    <row r="564" spans="1:30" x14ac:dyDescent="0.3">
      <c r="A564" s="8">
        <v>45415</v>
      </c>
      <c r="B564" s="9">
        <v>0.11740735300000001</v>
      </c>
      <c r="C564" s="9">
        <v>3.1483783000000001E-2</v>
      </c>
      <c r="D564" s="9">
        <v>0.13035432</v>
      </c>
      <c r="E564" s="9">
        <v>4.4451251999999997E-2</v>
      </c>
      <c r="F564" s="10">
        <v>5.8128491999999997E-2</v>
      </c>
      <c r="G564" s="10">
        <v>4.0808661000000003E-2</v>
      </c>
      <c r="H564" s="10">
        <v>4.8564682999999997E-2</v>
      </c>
      <c r="I564" s="10">
        <v>6.3959572000000006E-2</v>
      </c>
      <c r="J564" s="11">
        <v>9.3297900000000003E-2</v>
      </c>
      <c r="K564" s="11">
        <v>6.5972692999999999E-2</v>
      </c>
      <c r="L564" s="11">
        <v>8.9230742000000002E-2</v>
      </c>
      <c r="M564" s="11">
        <v>5.4632806999999999E-2</v>
      </c>
      <c r="N564" s="12">
        <v>5.7918731000000001E-2</v>
      </c>
      <c r="O564" s="12">
        <v>4.2931736999999998E-2</v>
      </c>
      <c r="P564" s="12">
        <v>0.14368460399999999</v>
      </c>
      <c r="Q564" s="12">
        <v>5.5461495E-2</v>
      </c>
      <c r="R564" s="13">
        <v>8.2034452999999993E-2</v>
      </c>
      <c r="S564" s="13">
        <v>3.8446636999999999E-2</v>
      </c>
      <c r="T564" s="13">
        <v>0.14229805000000001</v>
      </c>
      <c r="U564" s="13">
        <v>5.2124469999999999E-2</v>
      </c>
      <c r="V564" s="15">
        <v>0.27136031788558806</v>
      </c>
      <c r="W564" s="15">
        <v>0.19155859242658793</v>
      </c>
      <c r="X564" s="15">
        <v>0</v>
      </c>
      <c r="Y564" s="14"/>
      <c r="Z564" s="14"/>
      <c r="AA564" s="14"/>
      <c r="AB564" s="16">
        <v>1</v>
      </c>
      <c r="AC564" s="16">
        <v>0</v>
      </c>
      <c r="AD564" s="16">
        <v>1</v>
      </c>
    </row>
    <row r="565" spans="1:30" x14ac:dyDescent="0.3">
      <c r="A565" s="8">
        <v>45418</v>
      </c>
      <c r="B565" s="9">
        <v>0.113970038</v>
      </c>
      <c r="C565" s="9">
        <v>4.4747856000000003E-2</v>
      </c>
      <c r="D565" s="9">
        <v>0.13339157600000001</v>
      </c>
      <c r="E565" s="9">
        <v>6.6624140999999998E-2</v>
      </c>
      <c r="F565" s="10">
        <v>0.11740735300000001</v>
      </c>
      <c r="G565" s="10">
        <v>3.1483783000000001E-2</v>
      </c>
      <c r="H565" s="10">
        <v>0.13035432</v>
      </c>
      <c r="I565" s="10">
        <v>4.4451251999999997E-2</v>
      </c>
      <c r="J565" s="11">
        <v>5.8128491999999997E-2</v>
      </c>
      <c r="K565" s="11">
        <v>4.0808661000000003E-2</v>
      </c>
      <c r="L565" s="11">
        <v>4.8564682999999997E-2</v>
      </c>
      <c r="M565" s="11">
        <v>6.3959572000000006E-2</v>
      </c>
      <c r="N565" s="12">
        <v>9.3297900000000003E-2</v>
      </c>
      <c r="O565" s="12">
        <v>6.5972692999999999E-2</v>
      </c>
      <c r="P565" s="12">
        <v>8.9230742000000002E-2</v>
      </c>
      <c r="Q565" s="12">
        <v>5.4632806999999999E-2</v>
      </c>
      <c r="R565" s="13">
        <v>5.7918731000000001E-2</v>
      </c>
      <c r="S565" s="13">
        <v>4.2931736999999998E-2</v>
      </c>
      <c r="T565" s="13">
        <v>0.14368460399999999</v>
      </c>
      <c r="U565" s="13">
        <v>5.5461495E-2</v>
      </c>
      <c r="V565" s="15">
        <v>0.33273962057777251</v>
      </c>
      <c r="W565" s="15">
        <v>0.19175541314983782</v>
      </c>
      <c r="X565" s="15">
        <v>0</v>
      </c>
      <c r="Y565" s="14"/>
      <c r="Z565" s="14"/>
      <c r="AA565" s="14"/>
      <c r="AB565" s="16">
        <v>1</v>
      </c>
      <c r="AC565" s="16">
        <v>0</v>
      </c>
      <c r="AD565" s="16">
        <v>1</v>
      </c>
    </row>
    <row r="566" spans="1:30" x14ac:dyDescent="0.3">
      <c r="A566" s="8">
        <v>45419</v>
      </c>
      <c r="B566" s="9">
        <v>6.8045674E-2</v>
      </c>
      <c r="C566" s="9">
        <v>4.1079883999999997E-2</v>
      </c>
      <c r="D566" s="9">
        <v>0.110181874</v>
      </c>
      <c r="E566" s="9">
        <v>5.7574274000000002E-2</v>
      </c>
      <c r="F566" s="10">
        <v>0.113970038</v>
      </c>
      <c r="G566" s="10">
        <v>4.4747856000000003E-2</v>
      </c>
      <c r="H566" s="10">
        <v>0.13339157600000001</v>
      </c>
      <c r="I566" s="10">
        <v>6.6624140999999998E-2</v>
      </c>
      <c r="J566" s="11">
        <v>0.11740735300000001</v>
      </c>
      <c r="K566" s="11">
        <v>3.1483783000000001E-2</v>
      </c>
      <c r="L566" s="11">
        <v>0.13035432</v>
      </c>
      <c r="M566" s="11">
        <v>4.4451251999999997E-2</v>
      </c>
      <c r="N566" s="12">
        <v>5.8128491999999997E-2</v>
      </c>
      <c r="O566" s="12">
        <v>4.0808661000000003E-2</v>
      </c>
      <c r="P566" s="12">
        <v>4.8564682999999997E-2</v>
      </c>
      <c r="Q566" s="12">
        <v>6.3959572000000006E-2</v>
      </c>
      <c r="R566" s="13">
        <v>9.3297900000000003E-2</v>
      </c>
      <c r="S566" s="13">
        <v>6.5972692999999999E-2</v>
      </c>
      <c r="T566" s="13">
        <v>8.9230742000000002E-2</v>
      </c>
      <c r="U566" s="13">
        <v>5.4632806999999999E-2</v>
      </c>
      <c r="V566" s="15">
        <v>0.33273962057777251</v>
      </c>
      <c r="W566" s="15">
        <v>0.1920276486211081</v>
      </c>
      <c r="X566" s="15">
        <v>0</v>
      </c>
      <c r="Y566" s="14"/>
      <c r="Z566" s="14"/>
      <c r="AA566" s="14"/>
      <c r="AB566" s="16">
        <v>1</v>
      </c>
      <c r="AC566" s="16">
        <v>0</v>
      </c>
      <c r="AD566" s="16">
        <v>1</v>
      </c>
    </row>
    <row r="567" spans="1:30" x14ac:dyDescent="0.3">
      <c r="A567" s="8">
        <v>45420</v>
      </c>
      <c r="B567" s="9">
        <v>3.3417930999999998E-2</v>
      </c>
      <c r="C567" s="9">
        <v>4.9843088000000001E-2</v>
      </c>
      <c r="D567" s="9">
        <v>9.0953687000000005E-2</v>
      </c>
      <c r="E567" s="9">
        <v>7.4562852999999998E-2</v>
      </c>
      <c r="F567" s="10">
        <v>6.8045674E-2</v>
      </c>
      <c r="G567" s="10">
        <v>4.1079883999999997E-2</v>
      </c>
      <c r="H567" s="10">
        <v>0.110181874</v>
      </c>
      <c r="I567" s="10">
        <v>5.7574274000000002E-2</v>
      </c>
      <c r="J567" s="11">
        <v>0.113970038</v>
      </c>
      <c r="K567" s="11">
        <v>4.4747856000000003E-2</v>
      </c>
      <c r="L567" s="11">
        <v>0.13339157600000001</v>
      </c>
      <c r="M567" s="11">
        <v>6.6624140999999998E-2</v>
      </c>
      <c r="N567" s="12">
        <v>0.11740735300000001</v>
      </c>
      <c r="O567" s="12">
        <v>3.1483783000000001E-2</v>
      </c>
      <c r="P567" s="12">
        <v>0.13035432</v>
      </c>
      <c r="Q567" s="12">
        <v>4.4451251999999997E-2</v>
      </c>
      <c r="R567" s="13">
        <v>5.8128491999999997E-2</v>
      </c>
      <c r="S567" s="13">
        <v>4.0808661000000003E-2</v>
      </c>
      <c r="T567" s="13">
        <v>4.8564682999999997E-2</v>
      </c>
      <c r="U567" s="13">
        <v>6.3959572000000006E-2</v>
      </c>
      <c r="V567" s="15">
        <v>0.45416240661896373</v>
      </c>
      <c r="W567" s="15">
        <v>0.19138848070188216</v>
      </c>
      <c r="X567" s="15">
        <v>0</v>
      </c>
      <c r="Y567" s="14"/>
      <c r="Z567" s="14"/>
      <c r="AA567" s="14"/>
      <c r="AB567" s="16">
        <v>1</v>
      </c>
      <c r="AC567" s="16">
        <v>0</v>
      </c>
      <c r="AD567" s="16">
        <v>1</v>
      </c>
    </row>
    <row r="568" spans="1:30" x14ac:dyDescent="0.3">
      <c r="A568" s="8">
        <v>45421</v>
      </c>
      <c r="B568" s="9">
        <v>0.17598382400000001</v>
      </c>
      <c r="C568" s="9">
        <v>4.8549006999999998E-2</v>
      </c>
      <c r="D568" s="9">
        <v>0.16082950100000001</v>
      </c>
      <c r="E568" s="9">
        <v>0.11330348</v>
      </c>
      <c r="F568" s="10">
        <v>3.3417930999999998E-2</v>
      </c>
      <c r="G568" s="10">
        <v>4.9843088000000001E-2</v>
      </c>
      <c r="H568" s="10">
        <v>9.0953687000000005E-2</v>
      </c>
      <c r="I568" s="10">
        <v>7.4562852999999998E-2</v>
      </c>
      <c r="J568" s="11">
        <v>6.8045674E-2</v>
      </c>
      <c r="K568" s="11">
        <v>4.1079883999999997E-2</v>
      </c>
      <c r="L568" s="11">
        <v>0.110181874</v>
      </c>
      <c r="M568" s="11">
        <v>5.7574274000000002E-2</v>
      </c>
      <c r="N568" s="12">
        <v>0.113970038</v>
      </c>
      <c r="O568" s="12">
        <v>4.4747856000000003E-2</v>
      </c>
      <c r="P568" s="12">
        <v>0.13339157600000001</v>
      </c>
      <c r="Q568" s="12">
        <v>6.6624140999999998E-2</v>
      </c>
      <c r="R568" s="13">
        <v>0.11740735300000001</v>
      </c>
      <c r="S568" s="13">
        <v>3.1483783000000001E-2</v>
      </c>
      <c r="T568" s="13">
        <v>0.13035432</v>
      </c>
      <c r="U568" s="13">
        <v>4.4451251999999997E-2</v>
      </c>
      <c r="V568" s="15">
        <v>0.45416240661896373</v>
      </c>
      <c r="W568" s="15">
        <v>0.19100400540269852</v>
      </c>
      <c r="X568" s="15">
        <v>2.0911250905920185E-2</v>
      </c>
      <c r="Y568" s="14"/>
      <c r="Z568" s="14"/>
      <c r="AA568" s="14"/>
      <c r="AB568" s="16">
        <v>1</v>
      </c>
      <c r="AC568" s="16">
        <v>0</v>
      </c>
      <c r="AD568" s="16">
        <v>1</v>
      </c>
    </row>
    <row r="569" spans="1:30" x14ac:dyDescent="0.3">
      <c r="A569" s="8">
        <v>45422</v>
      </c>
      <c r="B569" s="9">
        <v>0.13598068599999999</v>
      </c>
      <c r="C569" s="9">
        <v>4.3285793000000003E-2</v>
      </c>
      <c r="D569" s="9">
        <v>0.17722248299999999</v>
      </c>
      <c r="E569" s="9">
        <v>6.0347314999999999E-2</v>
      </c>
      <c r="F569" s="10">
        <v>0.17598382400000001</v>
      </c>
      <c r="G569" s="10">
        <v>4.8549006999999998E-2</v>
      </c>
      <c r="H569" s="10">
        <v>0.16082950100000001</v>
      </c>
      <c r="I569" s="10">
        <v>0.11330348</v>
      </c>
      <c r="J569" s="11">
        <v>3.3417930999999998E-2</v>
      </c>
      <c r="K569" s="11">
        <v>4.9843088000000001E-2</v>
      </c>
      <c r="L569" s="11">
        <v>9.0953687000000005E-2</v>
      </c>
      <c r="M569" s="11">
        <v>7.4562852999999998E-2</v>
      </c>
      <c r="N569" s="12">
        <v>6.8045674E-2</v>
      </c>
      <c r="O569" s="12">
        <v>4.1079883999999997E-2</v>
      </c>
      <c r="P569" s="12">
        <v>0.110181874</v>
      </c>
      <c r="Q569" s="12">
        <v>5.7574274000000002E-2</v>
      </c>
      <c r="R569" s="13">
        <v>0.113970038</v>
      </c>
      <c r="S569" s="13">
        <v>4.4747856000000003E-2</v>
      </c>
      <c r="T569" s="13">
        <v>0.13339157600000001</v>
      </c>
      <c r="U569" s="13">
        <v>6.6624140999999998E-2</v>
      </c>
      <c r="V569" s="15">
        <v>0.45416240661896373</v>
      </c>
      <c r="W569" s="15">
        <v>0.19137026293895493</v>
      </c>
      <c r="X569" s="15">
        <v>0</v>
      </c>
      <c r="Y569" s="14"/>
      <c r="Z569" s="14"/>
      <c r="AA569" s="14"/>
      <c r="AB569" s="16">
        <v>1</v>
      </c>
      <c r="AC569" s="16">
        <v>0</v>
      </c>
      <c r="AD569" s="16">
        <v>1</v>
      </c>
    </row>
    <row r="570" spans="1:30" x14ac:dyDescent="0.3">
      <c r="A570" s="8">
        <v>45425</v>
      </c>
      <c r="B570" s="9">
        <v>0.22227635000000001</v>
      </c>
      <c r="C570" s="9">
        <v>8.6516868999999996E-2</v>
      </c>
      <c r="D570" s="9">
        <v>0.23557518999999999</v>
      </c>
      <c r="E570" s="9">
        <v>0.139658106</v>
      </c>
      <c r="F570" s="10">
        <v>0.13598068599999999</v>
      </c>
      <c r="G570" s="10">
        <v>4.3285793000000003E-2</v>
      </c>
      <c r="H570" s="10">
        <v>0.17722248299999999</v>
      </c>
      <c r="I570" s="10">
        <v>6.0347314999999999E-2</v>
      </c>
      <c r="J570" s="11">
        <v>0.17598382400000001</v>
      </c>
      <c r="K570" s="11">
        <v>4.8549006999999998E-2</v>
      </c>
      <c r="L570" s="11">
        <v>0.16082950100000001</v>
      </c>
      <c r="M570" s="11">
        <v>0.11330348</v>
      </c>
      <c r="N570" s="12">
        <v>3.3417930999999998E-2</v>
      </c>
      <c r="O570" s="12">
        <v>4.9843088000000001E-2</v>
      </c>
      <c r="P570" s="12">
        <v>9.0953687000000005E-2</v>
      </c>
      <c r="Q570" s="12">
        <v>7.4562852999999998E-2</v>
      </c>
      <c r="R570" s="13">
        <v>6.8045674E-2</v>
      </c>
      <c r="S570" s="13">
        <v>4.1079883999999997E-2</v>
      </c>
      <c r="T570" s="13">
        <v>0.110181874</v>
      </c>
      <c r="U570" s="13">
        <v>5.7574274000000002E-2</v>
      </c>
      <c r="V570" s="15">
        <v>0.45416240661896373</v>
      </c>
      <c r="W570" s="15">
        <v>0.19128093578220032</v>
      </c>
      <c r="X570" s="15">
        <v>0</v>
      </c>
      <c r="Y570" s="14"/>
      <c r="Z570" s="14"/>
      <c r="AA570" s="14"/>
      <c r="AB570" s="16">
        <v>1</v>
      </c>
      <c r="AC570" s="16">
        <v>0</v>
      </c>
      <c r="AD570" s="16">
        <v>1</v>
      </c>
    </row>
    <row r="571" spans="1:30" x14ac:dyDescent="0.3">
      <c r="A571" s="8">
        <v>45426</v>
      </c>
      <c r="B571" s="9">
        <v>0.17553903500000001</v>
      </c>
      <c r="C571" s="9">
        <v>0.13677713499999999</v>
      </c>
      <c r="D571" s="9">
        <v>0.26340530600000001</v>
      </c>
      <c r="E571" s="9">
        <v>0.137158434</v>
      </c>
      <c r="F571" s="10">
        <v>0.22227635000000001</v>
      </c>
      <c r="G571" s="10">
        <v>8.6516868999999996E-2</v>
      </c>
      <c r="H571" s="10">
        <v>0.23557518999999999</v>
      </c>
      <c r="I571" s="10">
        <v>0.139658106</v>
      </c>
      <c r="J571" s="11">
        <v>0.13598068599999999</v>
      </c>
      <c r="K571" s="11">
        <v>4.3285793000000003E-2</v>
      </c>
      <c r="L571" s="11">
        <v>0.17722248299999999</v>
      </c>
      <c r="M571" s="11">
        <v>6.0347314999999999E-2</v>
      </c>
      <c r="N571" s="12">
        <v>0.17598382400000001</v>
      </c>
      <c r="O571" s="12">
        <v>4.8549006999999998E-2</v>
      </c>
      <c r="P571" s="12">
        <v>0.16082950100000001</v>
      </c>
      <c r="Q571" s="12">
        <v>0.11330348</v>
      </c>
      <c r="R571" s="13">
        <v>3.3417930999999998E-2</v>
      </c>
      <c r="S571" s="13">
        <v>4.9843088000000001E-2</v>
      </c>
      <c r="T571" s="13">
        <v>9.0953687000000005E-2</v>
      </c>
      <c r="U571" s="13">
        <v>7.4562852999999998E-2</v>
      </c>
      <c r="V571" s="15">
        <v>0.61701505381163568</v>
      </c>
      <c r="W571" s="15">
        <v>0.19158013513427255</v>
      </c>
      <c r="X571" s="15">
        <v>0</v>
      </c>
      <c r="Y571" s="14"/>
      <c r="Z571" s="14"/>
      <c r="AA571" s="14"/>
      <c r="AB571" s="16">
        <v>0</v>
      </c>
      <c r="AC571" s="16">
        <v>0</v>
      </c>
      <c r="AD571" s="16">
        <v>0</v>
      </c>
    </row>
    <row r="572" spans="1:30" x14ac:dyDescent="0.3">
      <c r="A572" s="8">
        <v>45427</v>
      </c>
      <c r="B572" s="9">
        <v>2.5094666000000002E-2</v>
      </c>
      <c r="C572" s="9">
        <v>3.1555321999999997E-2</v>
      </c>
      <c r="D572" s="9">
        <v>2.6996353000000001E-2</v>
      </c>
      <c r="E572" s="9">
        <v>3.3716775999999997E-2</v>
      </c>
      <c r="F572" s="10">
        <v>0.17553903500000001</v>
      </c>
      <c r="G572" s="10">
        <v>0.13677713499999999</v>
      </c>
      <c r="H572" s="10">
        <v>0.26340530600000001</v>
      </c>
      <c r="I572" s="10">
        <v>0.137158434</v>
      </c>
      <c r="J572" s="11">
        <v>0.22227635000000001</v>
      </c>
      <c r="K572" s="11">
        <v>8.6516868999999996E-2</v>
      </c>
      <c r="L572" s="11">
        <v>0.23557518999999999</v>
      </c>
      <c r="M572" s="11">
        <v>0.139658106</v>
      </c>
      <c r="N572" s="12">
        <v>0.13598068599999999</v>
      </c>
      <c r="O572" s="12">
        <v>4.3285793000000003E-2</v>
      </c>
      <c r="P572" s="12">
        <v>0.17722248299999999</v>
      </c>
      <c r="Q572" s="12">
        <v>6.0347314999999999E-2</v>
      </c>
      <c r="R572" s="13">
        <v>0.17598382400000001</v>
      </c>
      <c r="S572" s="13">
        <v>4.8549006999999998E-2</v>
      </c>
      <c r="T572" s="13">
        <v>0.16082950100000001</v>
      </c>
      <c r="U572" s="13">
        <v>0.11330348</v>
      </c>
      <c r="V572" s="15">
        <v>0.61701505381163568</v>
      </c>
      <c r="W572" s="15">
        <v>0.1911912275649563</v>
      </c>
      <c r="X572" s="15">
        <v>0</v>
      </c>
      <c r="Y572" s="14"/>
      <c r="Z572" s="14"/>
      <c r="AA572" s="14"/>
      <c r="AB572" s="16">
        <v>1</v>
      </c>
      <c r="AC572" s="16">
        <v>0</v>
      </c>
      <c r="AD572" s="16">
        <v>1</v>
      </c>
    </row>
    <row r="573" spans="1:30" x14ac:dyDescent="0.3">
      <c r="A573" s="8">
        <v>45428</v>
      </c>
      <c r="B573" s="9">
        <v>8.1518215000000005E-2</v>
      </c>
      <c r="C573" s="9">
        <v>3.3187130000000002E-2</v>
      </c>
      <c r="D573" s="9">
        <v>7.7597911000000006E-2</v>
      </c>
      <c r="E573" s="9">
        <v>4.7915543999999997E-2</v>
      </c>
      <c r="F573" s="10">
        <v>2.5094666000000002E-2</v>
      </c>
      <c r="G573" s="10">
        <v>3.1555321999999997E-2</v>
      </c>
      <c r="H573" s="10">
        <v>2.6996353000000001E-2</v>
      </c>
      <c r="I573" s="10">
        <v>3.3716775999999997E-2</v>
      </c>
      <c r="J573" s="11">
        <v>0.17553903500000001</v>
      </c>
      <c r="K573" s="11">
        <v>0.13677713499999999</v>
      </c>
      <c r="L573" s="11">
        <v>0.26340530600000001</v>
      </c>
      <c r="M573" s="11">
        <v>0.137158434</v>
      </c>
      <c r="N573" s="12">
        <v>0.22227635000000001</v>
      </c>
      <c r="O573" s="12">
        <v>8.6516868999999996E-2</v>
      </c>
      <c r="P573" s="12">
        <v>0.23557518999999999</v>
      </c>
      <c r="Q573" s="12">
        <v>0.139658106</v>
      </c>
      <c r="R573" s="13">
        <v>0.13598068599999999</v>
      </c>
      <c r="S573" s="13">
        <v>4.3285793000000003E-2</v>
      </c>
      <c r="T573" s="13">
        <v>0.17722248299999999</v>
      </c>
      <c r="U573" s="13">
        <v>6.0347314999999999E-2</v>
      </c>
      <c r="V573" s="15">
        <v>0.76677487762724683</v>
      </c>
      <c r="W573" s="15">
        <v>0.19144383318015037</v>
      </c>
      <c r="X573" s="15">
        <v>0</v>
      </c>
      <c r="Y573" s="14"/>
      <c r="Z573" s="14"/>
      <c r="AA573" s="14"/>
      <c r="AB573" s="16">
        <v>0</v>
      </c>
      <c r="AC573" s="16">
        <v>0</v>
      </c>
      <c r="AD573" s="16">
        <v>0</v>
      </c>
    </row>
    <row r="574" spans="1:30" x14ac:dyDescent="0.3">
      <c r="A574" s="8">
        <v>45429</v>
      </c>
      <c r="B574" s="9">
        <v>6.6826531999999994E-2</v>
      </c>
      <c r="C574" s="9">
        <v>1.9820343000000001E-2</v>
      </c>
      <c r="D574" s="9">
        <v>7.0305185000000006E-2</v>
      </c>
      <c r="E574" s="9">
        <v>5.1755040000000002E-2</v>
      </c>
      <c r="F574" s="10">
        <v>8.1518215000000005E-2</v>
      </c>
      <c r="G574" s="10">
        <v>3.3187130000000002E-2</v>
      </c>
      <c r="H574" s="10">
        <v>7.7597911000000006E-2</v>
      </c>
      <c r="I574" s="10">
        <v>4.7915543999999997E-2</v>
      </c>
      <c r="J574" s="11">
        <v>2.5094666000000002E-2</v>
      </c>
      <c r="K574" s="11">
        <v>3.1555321999999997E-2</v>
      </c>
      <c r="L574" s="11">
        <v>2.6996353000000001E-2</v>
      </c>
      <c r="M574" s="11">
        <v>3.3716775999999997E-2</v>
      </c>
      <c r="N574" s="12">
        <v>0.17553903500000001</v>
      </c>
      <c r="O574" s="12">
        <v>0.13677713499999999</v>
      </c>
      <c r="P574" s="12">
        <v>0.26340530600000001</v>
      </c>
      <c r="Q574" s="12">
        <v>0.137158434</v>
      </c>
      <c r="R574" s="13">
        <v>0.22227635000000001</v>
      </c>
      <c r="S574" s="13">
        <v>8.6516868999999996E-2</v>
      </c>
      <c r="T574" s="13">
        <v>0.23557518999999999</v>
      </c>
      <c r="U574" s="13">
        <v>0.139658106</v>
      </c>
      <c r="V574" s="15">
        <v>0.76677487762724683</v>
      </c>
      <c r="W574" s="15">
        <v>0.19169422287609914</v>
      </c>
      <c r="X574" s="15">
        <v>9.9799212851870572E-3</v>
      </c>
      <c r="Y574" s="14"/>
      <c r="Z574" s="14"/>
      <c r="AA574" s="14"/>
      <c r="AB574" s="16">
        <v>0</v>
      </c>
      <c r="AC574" s="16">
        <v>0</v>
      </c>
      <c r="AD574" s="16">
        <v>0</v>
      </c>
    </row>
    <row r="575" spans="1:30" x14ac:dyDescent="0.3">
      <c r="A575" s="8">
        <v>45432</v>
      </c>
      <c r="B575" s="9">
        <v>5.6439283E-2</v>
      </c>
      <c r="C575" s="9">
        <v>2.7016505E-2</v>
      </c>
      <c r="D575" s="9">
        <v>6.6362123999999995E-2</v>
      </c>
      <c r="E575" s="9">
        <v>4.5300099000000003E-2</v>
      </c>
      <c r="F575" s="10">
        <v>6.6826531999999994E-2</v>
      </c>
      <c r="G575" s="10">
        <v>1.9820343000000001E-2</v>
      </c>
      <c r="H575" s="10">
        <v>7.0305185000000006E-2</v>
      </c>
      <c r="I575" s="10">
        <v>5.1755040000000002E-2</v>
      </c>
      <c r="J575" s="11">
        <v>8.1518215000000005E-2</v>
      </c>
      <c r="K575" s="11">
        <v>3.3187130000000002E-2</v>
      </c>
      <c r="L575" s="11">
        <v>7.7597911000000006E-2</v>
      </c>
      <c r="M575" s="11">
        <v>4.7915543999999997E-2</v>
      </c>
      <c r="N575" s="12">
        <v>2.5094666000000002E-2</v>
      </c>
      <c r="O575" s="12">
        <v>3.1555321999999997E-2</v>
      </c>
      <c r="P575" s="12">
        <v>2.6996353000000001E-2</v>
      </c>
      <c r="Q575" s="12">
        <v>3.3716775999999997E-2</v>
      </c>
      <c r="R575" s="13">
        <v>0.17553903500000001</v>
      </c>
      <c r="S575" s="13">
        <v>0.13677713499999999</v>
      </c>
      <c r="T575" s="13">
        <v>0.26340530600000001</v>
      </c>
      <c r="U575" s="13">
        <v>0.137158434</v>
      </c>
      <c r="V575" s="15">
        <v>0.61701505381163568</v>
      </c>
      <c r="W575" s="15">
        <v>0.19141271314125499</v>
      </c>
      <c r="X575" s="15">
        <v>3.5483784646259901E-3</v>
      </c>
      <c r="Y575" s="14"/>
      <c r="Z575" s="14"/>
      <c r="AA575" s="14"/>
      <c r="AB575" s="16">
        <v>1</v>
      </c>
      <c r="AC575" s="16">
        <v>0</v>
      </c>
      <c r="AD575" s="16">
        <v>1</v>
      </c>
    </row>
    <row r="576" spans="1:30" x14ac:dyDescent="0.3">
      <c r="A576" s="8">
        <v>45433</v>
      </c>
      <c r="B576" s="9">
        <v>4.0336925000000003E-2</v>
      </c>
      <c r="C576" s="9">
        <v>2.1073648E-2</v>
      </c>
      <c r="D576" s="9">
        <v>5.0569436000000002E-2</v>
      </c>
      <c r="E576" s="9">
        <v>3.4193912E-2</v>
      </c>
      <c r="F576" s="10">
        <v>5.6439283E-2</v>
      </c>
      <c r="G576" s="10">
        <v>2.7016505E-2</v>
      </c>
      <c r="H576" s="10">
        <v>6.6362123999999995E-2</v>
      </c>
      <c r="I576" s="10">
        <v>4.5300099000000003E-2</v>
      </c>
      <c r="J576" s="11">
        <v>6.6826531999999994E-2</v>
      </c>
      <c r="K576" s="11">
        <v>1.9820343000000001E-2</v>
      </c>
      <c r="L576" s="11">
        <v>7.0305185000000006E-2</v>
      </c>
      <c r="M576" s="11">
        <v>5.1755040000000002E-2</v>
      </c>
      <c r="N576" s="12">
        <v>8.1518215000000005E-2</v>
      </c>
      <c r="O576" s="12">
        <v>3.3187130000000002E-2</v>
      </c>
      <c r="P576" s="12">
        <v>7.7597911000000006E-2</v>
      </c>
      <c r="Q576" s="12">
        <v>4.7915543999999997E-2</v>
      </c>
      <c r="R576" s="13">
        <v>2.5094666000000002E-2</v>
      </c>
      <c r="S576" s="13">
        <v>3.1555321999999997E-2</v>
      </c>
      <c r="T576" s="13">
        <v>2.6996353000000001E-2</v>
      </c>
      <c r="U576" s="13">
        <v>3.3716775999999997E-2</v>
      </c>
      <c r="V576" s="15">
        <v>0.61701505381163568</v>
      </c>
      <c r="W576" s="15">
        <v>0.19103863586525871</v>
      </c>
      <c r="X576" s="15">
        <v>8.5786206223719755E-3</v>
      </c>
      <c r="Y576" s="14"/>
      <c r="Z576" s="14"/>
      <c r="AA576" s="14"/>
      <c r="AB576" s="16">
        <v>1</v>
      </c>
      <c r="AC576" s="16">
        <v>0</v>
      </c>
      <c r="AD576" s="16">
        <v>1</v>
      </c>
    </row>
    <row r="577" spans="1:30" x14ac:dyDescent="0.3">
      <c r="A577" s="8">
        <v>45434</v>
      </c>
      <c r="B577" s="9">
        <v>1.378451E-2</v>
      </c>
      <c r="C577" s="9">
        <v>3.0534474999999998E-2</v>
      </c>
      <c r="D577" s="9">
        <v>4.5476689000000001E-2</v>
      </c>
      <c r="E577" s="9">
        <v>3.7847517999999997E-2</v>
      </c>
      <c r="F577" s="10">
        <v>4.0336925000000003E-2</v>
      </c>
      <c r="G577" s="10">
        <v>2.1073648E-2</v>
      </c>
      <c r="H577" s="10">
        <v>5.0569436000000002E-2</v>
      </c>
      <c r="I577" s="10">
        <v>3.4193912E-2</v>
      </c>
      <c r="J577" s="11">
        <v>5.6439283E-2</v>
      </c>
      <c r="K577" s="11">
        <v>2.7016505E-2</v>
      </c>
      <c r="L577" s="11">
        <v>6.6362123999999995E-2</v>
      </c>
      <c r="M577" s="11">
        <v>4.5300099000000003E-2</v>
      </c>
      <c r="N577" s="12">
        <v>6.6826531999999994E-2</v>
      </c>
      <c r="O577" s="12">
        <v>1.9820343000000001E-2</v>
      </c>
      <c r="P577" s="12">
        <v>7.0305185000000006E-2</v>
      </c>
      <c r="Q577" s="12">
        <v>5.1755040000000002E-2</v>
      </c>
      <c r="R577" s="13">
        <v>8.1518215000000005E-2</v>
      </c>
      <c r="S577" s="13">
        <v>3.3187130000000002E-2</v>
      </c>
      <c r="T577" s="13">
        <v>7.7597911000000006E-2</v>
      </c>
      <c r="U577" s="13">
        <v>4.7915543999999997E-2</v>
      </c>
      <c r="V577" s="15">
        <v>0.61701505381163568</v>
      </c>
      <c r="W577" s="15">
        <v>0.19278624229002223</v>
      </c>
      <c r="X577" s="15">
        <v>0</v>
      </c>
      <c r="Y577" s="14"/>
      <c r="Z577" s="14"/>
      <c r="AA577" s="14"/>
      <c r="AB577" s="16">
        <v>0</v>
      </c>
      <c r="AC577" s="16">
        <v>0</v>
      </c>
      <c r="AD577" s="16">
        <v>0</v>
      </c>
    </row>
    <row r="578" spans="1:30" x14ac:dyDescent="0.3">
      <c r="A578" s="8">
        <v>45435</v>
      </c>
      <c r="B578" s="9">
        <v>6.9573968999999999E-2</v>
      </c>
      <c r="C578" s="9">
        <v>2.3139047999999999E-2</v>
      </c>
      <c r="D578" s="9">
        <v>0.116115837</v>
      </c>
      <c r="E578" s="9">
        <v>7.1902981000000005E-2</v>
      </c>
      <c r="F578" s="10">
        <v>1.378451E-2</v>
      </c>
      <c r="G578" s="10">
        <v>3.0534474999999998E-2</v>
      </c>
      <c r="H578" s="10">
        <v>4.5476689000000001E-2</v>
      </c>
      <c r="I578" s="10">
        <v>3.7847517999999997E-2</v>
      </c>
      <c r="J578" s="11">
        <v>4.0336925000000003E-2</v>
      </c>
      <c r="K578" s="11">
        <v>2.1073648E-2</v>
      </c>
      <c r="L578" s="11">
        <v>5.0569436000000002E-2</v>
      </c>
      <c r="M578" s="11">
        <v>3.4193912E-2</v>
      </c>
      <c r="N578" s="12">
        <v>5.6439283E-2</v>
      </c>
      <c r="O578" s="12">
        <v>2.7016505E-2</v>
      </c>
      <c r="P578" s="12">
        <v>6.6362123999999995E-2</v>
      </c>
      <c r="Q578" s="12">
        <v>4.5300099000000003E-2</v>
      </c>
      <c r="R578" s="13">
        <v>6.6826531999999994E-2</v>
      </c>
      <c r="S578" s="13">
        <v>1.9820343000000001E-2</v>
      </c>
      <c r="T578" s="13">
        <v>7.0305185000000006E-2</v>
      </c>
      <c r="U578" s="13">
        <v>5.1755040000000002E-2</v>
      </c>
      <c r="V578" s="15">
        <v>0.67955249376785154</v>
      </c>
      <c r="W578" s="15">
        <v>0.19279292435800327</v>
      </c>
      <c r="X578" s="15">
        <v>0</v>
      </c>
      <c r="Y578" s="14"/>
      <c r="Z578" s="14"/>
      <c r="AA578" s="14"/>
      <c r="AB578" s="16">
        <v>0</v>
      </c>
      <c r="AC578" s="16">
        <v>0</v>
      </c>
      <c r="AD578" s="16">
        <v>0</v>
      </c>
    </row>
    <row r="579" spans="1:30" x14ac:dyDescent="0.3">
      <c r="A579" s="8">
        <v>45436</v>
      </c>
      <c r="B579" s="9">
        <v>5.9373624999999999E-2</v>
      </c>
      <c r="C579" s="9">
        <v>2.4137733000000001E-2</v>
      </c>
      <c r="D579" s="9">
        <v>8.9207641000000004E-2</v>
      </c>
      <c r="E579" s="9">
        <v>3.0323479E-2</v>
      </c>
      <c r="F579" s="10">
        <v>6.9573968999999999E-2</v>
      </c>
      <c r="G579" s="10">
        <v>2.3139047999999999E-2</v>
      </c>
      <c r="H579" s="10">
        <v>0.116115837</v>
      </c>
      <c r="I579" s="10">
        <v>7.1902981000000005E-2</v>
      </c>
      <c r="J579" s="11">
        <v>1.378451E-2</v>
      </c>
      <c r="K579" s="11">
        <v>3.0534474999999998E-2</v>
      </c>
      <c r="L579" s="11">
        <v>4.5476689000000001E-2</v>
      </c>
      <c r="M579" s="11">
        <v>3.7847517999999997E-2</v>
      </c>
      <c r="N579" s="12">
        <v>4.0336925000000003E-2</v>
      </c>
      <c r="O579" s="12">
        <v>2.1073648E-2</v>
      </c>
      <c r="P579" s="12">
        <v>5.0569436000000002E-2</v>
      </c>
      <c r="Q579" s="12">
        <v>3.4193912E-2</v>
      </c>
      <c r="R579" s="13">
        <v>5.6439283E-2</v>
      </c>
      <c r="S579" s="13">
        <v>2.7016505E-2</v>
      </c>
      <c r="T579" s="13">
        <v>6.6362123999999995E-2</v>
      </c>
      <c r="U579" s="13">
        <v>4.5300099000000003E-2</v>
      </c>
      <c r="V579" s="15">
        <v>0.67955249376785154</v>
      </c>
      <c r="W579" s="15">
        <v>0.19303104213668545</v>
      </c>
      <c r="X579" s="15">
        <v>9.4315640415417734E-3</v>
      </c>
      <c r="Y579" s="14"/>
      <c r="Z579" s="14"/>
      <c r="AA579" s="14"/>
      <c r="AB579" s="16">
        <v>0</v>
      </c>
      <c r="AC579" s="16">
        <v>1</v>
      </c>
      <c r="AD579" s="16">
        <v>1</v>
      </c>
    </row>
    <row r="580" spans="1:30" x14ac:dyDescent="0.3">
      <c r="A580" s="8">
        <v>45439</v>
      </c>
      <c r="B580" s="9">
        <v>4.5741417999999999E-2</v>
      </c>
      <c r="C580" s="9">
        <v>3.3711820000000003E-2</v>
      </c>
      <c r="D580" s="9">
        <v>7.9283925000000005E-2</v>
      </c>
      <c r="E580" s="9">
        <v>4.7169068000000001E-2</v>
      </c>
      <c r="F580" s="10">
        <v>5.9373624999999999E-2</v>
      </c>
      <c r="G580" s="10">
        <v>2.4137733000000001E-2</v>
      </c>
      <c r="H580" s="10">
        <v>8.9207641000000004E-2</v>
      </c>
      <c r="I580" s="10">
        <v>3.0323479E-2</v>
      </c>
      <c r="J580" s="11">
        <v>6.9573968999999999E-2</v>
      </c>
      <c r="K580" s="11">
        <v>2.3139047999999999E-2</v>
      </c>
      <c r="L580" s="11">
        <v>0.116115837</v>
      </c>
      <c r="M580" s="11">
        <v>7.1902981000000005E-2</v>
      </c>
      <c r="N580" s="12">
        <v>1.378451E-2</v>
      </c>
      <c r="O580" s="12">
        <v>3.0534474999999998E-2</v>
      </c>
      <c r="P580" s="12">
        <v>4.5476689000000001E-2</v>
      </c>
      <c r="Q580" s="12">
        <v>3.7847517999999997E-2</v>
      </c>
      <c r="R580" s="13">
        <v>4.0336925000000003E-2</v>
      </c>
      <c r="S580" s="13">
        <v>2.1073648E-2</v>
      </c>
      <c r="T580" s="13">
        <v>5.0569436000000002E-2</v>
      </c>
      <c r="U580" s="13">
        <v>3.4193912E-2</v>
      </c>
      <c r="V580" s="15">
        <v>0.85040543580851213</v>
      </c>
      <c r="W580" s="15">
        <v>0.19256999827616039</v>
      </c>
      <c r="X580" s="15">
        <v>0</v>
      </c>
      <c r="Y580" s="14"/>
      <c r="Z580" s="14"/>
      <c r="AA580" s="14"/>
      <c r="AB580" s="16">
        <v>0</v>
      </c>
      <c r="AC580" s="16">
        <v>0</v>
      </c>
      <c r="AD580" s="16">
        <v>0</v>
      </c>
    </row>
    <row r="581" spans="1:30" x14ac:dyDescent="0.3">
      <c r="A581" s="8">
        <v>45440</v>
      </c>
      <c r="B581" s="9">
        <v>4.6135847000000001E-2</v>
      </c>
      <c r="C581" s="9">
        <v>3.1692451000000003E-2</v>
      </c>
      <c r="D581" s="9">
        <v>4.9886919000000002E-2</v>
      </c>
      <c r="E581" s="9">
        <v>4.2015112E-2</v>
      </c>
      <c r="F581" s="10">
        <v>4.5741417999999999E-2</v>
      </c>
      <c r="G581" s="10">
        <v>3.3711820000000003E-2</v>
      </c>
      <c r="H581" s="10">
        <v>7.9283925000000005E-2</v>
      </c>
      <c r="I581" s="10">
        <v>4.7169068000000001E-2</v>
      </c>
      <c r="J581" s="11">
        <v>5.9373624999999999E-2</v>
      </c>
      <c r="K581" s="11">
        <v>2.4137733000000001E-2</v>
      </c>
      <c r="L581" s="11">
        <v>8.9207641000000004E-2</v>
      </c>
      <c r="M581" s="11">
        <v>3.0323479E-2</v>
      </c>
      <c r="N581" s="12">
        <v>6.9573968999999999E-2</v>
      </c>
      <c r="O581" s="12">
        <v>2.3139047999999999E-2</v>
      </c>
      <c r="P581" s="12">
        <v>0.116115837</v>
      </c>
      <c r="Q581" s="12">
        <v>7.1902981000000005E-2</v>
      </c>
      <c r="R581" s="13">
        <v>1.378451E-2</v>
      </c>
      <c r="S581" s="13">
        <v>3.0534474999999998E-2</v>
      </c>
      <c r="T581" s="13">
        <v>4.5476689000000001E-2</v>
      </c>
      <c r="U581" s="13">
        <v>3.7847517999999997E-2</v>
      </c>
      <c r="V581" s="15">
        <v>0.85040543580851213</v>
      </c>
      <c r="W581" s="15">
        <v>0.19249884193063013</v>
      </c>
      <c r="X581" s="15">
        <v>0</v>
      </c>
      <c r="Y581" s="14"/>
      <c r="Z581" s="14"/>
      <c r="AA581" s="14"/>
      <c r="AB581" s="16">
        <v>0</v>
      </c>
      <c r="AC581" s="16">
        <v>1</v>
      </c>
      <c r="AD581" s="16">
        <v>1</v>
      </c>
    </row>
    <row r="582" spans="1:30" x14ac:dyDescent="0.3">
      <c r="A582" s="8">
        <v>45441</v>
      </c>
      <c r="B582" s="9">
        <v>4.2686235000000003E-2</v>
      </c>
      <c r="C582" s="9">
        <v>3.3493555000000001E-2</v>
      </c>
      <c r="D582" s="9">
        <v>2.1937915999999998E-2</v>
      </c>
      <c r="E582" s="9">
        <v>5.3166616E-2</v>
      </c>
      <c r="F582" s="10">
        <v>4.6135847000000001E-2</v>
      </c>
      <c r="G582" s="10">
        <v>3.1692451000000003E-2</v>
      </c>
      <c r="H582" s="10">
        <v>4.9886919000000002E-2</v>
      </c>
      <c r="I582" s="10">
        <v>4.2015112E-2</v>
      </c>
      <c r="J582" s="11">
        <v>4.5741417999999999E-2</v>
      </c>
      <c r="K582" s="11">
        <v>3.3711820000000003E-2</v>
      </c>
      <c r="L582" s="11">
        <v>7.9283925000000005E-2</v>
      </c>
      <c r="M582" s="11">
        <v>4.7169068000000001E-2</v>
      </c>
      <c r="N582" s="12">
        <v>5.9373624999999999E-2</v>
      </c>
      <c r="O582" s="12">
        <v>2.4137733000000001E-2</v>
      </c>
      <c r="P582" s="12">
        <v>8.9207641000000004E-2</v>
      </c>
      <c r="Q582" s="12">
        <v>3.0323479E-2</v>
      </c>
      <c r="R582" s="13">
        <v>6.9573968999999999E-2</v>
      </c>
      <c r="S582" s="13">
        <v>2.3139047999999999E-2</v>
      </c>
      <c r="T582" s="13">
        <v>0.116115837</v>
      </c>
      <c r="U582" s="13">
        <v>7.1902981000000005E-2</v>
      </c>
      <c r="V582" s="15">
        <v>0.85040543580851213</v>
      </c>
      <c r="W582" s="15">
        <v>0.1942186810035671</v>
      </c>
      <c r="X582" s="15">
        <v>2.6919581703015307E-2</v>
      </c>
      <c r="Y582" s="14"/>
      <c r="Z582" s="14"/>
      <c r="AA582" s="14"/>
      <c r="AB582" s="16">
        <v>0</v>
      </c>
      <c r="AC582" s="16">
        <v>0</v>
      </c>
      <c r="AD582" s="16">
        <v>0</v>
      </c>
    </row>
    <row r="583" spans="1:30" x14ac:dyDescent="0.3">
      <c r="A583" s="8">
        <v>45442</v>
      </c>
      <c r="B583" s="9">
        <v>0.105204267</v>
      </c>
      <c r="C583" s="9">
        <v>4.0520935000000001E-2</v>
      </c>
      <c r="D583" s="9">
        <v>9.1903179000000002E-2</v>
      </c>
      <c r="E583" s="9">
        <v>3.7626481000000003E-2</v>
      </c>
      <c r="F583" s="10">
        <v>4.2686235000000003E-2</v>
      </c>
      <c r="G583" s="10">
        <v>3.3493555000000001E-2</v>
      </c>
      <c r="H583" s="10">
        <v>2.1937915999999998E-2</v>
      </c>
      <c r="I583" s="10">
        <v>5.3166616E-2</v>
      </c>
      <c r="J583" s="11">
        <v>4.6135847000000001E-2</v>
      </c>
      <c r="K583" s="11">
        <v>3.1692451000000003E-2</v>
      </c>
      <c r="L583" s="11">
        <v>4.9886919000000002E-2</v>
      </c>
      <c r="M583" s="11">
        <v>4.2015112E-2</v>
      </c>
      <c r="N583" s="12">
        <v>4.5741417999999999E-2</v>
      </c>
      <c r="O583" s="12">
        <v>3.3711820000000003E-2</v>
      </c>
      <c r="P583" s="12">
        <v>7.9283925000000005E-2</v>
      </c>
      <c r="Q583" s="12">
        <v>4.7169068000000001E-2</v>
      </c>
      <c r="R583" s="13">
        <v>5.9373624999999999E-2</v>
      </c>
      <c r="S583" s="13">
        <v>2.4137733000000001E-2</v>
      </c>
      <c r="T583" s="13">
        <v>8.9207641000000004E-2</v>
      </c>
      <c r="U583" s="13">
        <v>3.0323479E-2</v>
      </c>
      <c r="V583" s="15">
        <v>0.67955249376785154</v>
      </c>
      <c r="W583" s="15">
        <v>0.1966350114240287</v>
      </c>
      <c r="X583" s="15">
        <v>3.7853455371924027E-2</v>
      </c>
      <c r="Y583" s="14"/>
      <c r="Z583" s="14"/>
      <c r="AA583" s="14"/>
      <c r="AB583" s="16">
        <v>1</v>
      </c>
      <c r="AC583" s="16">
        <v>0</v>
      </c>
      <c r="AD583" s="16">
        <v>1</v>
      </c>
    </row>
    <row r="584" spans="1:30" x14ac:dyDescent="0.3">
      <c r="A584" s="8">
        <v>45443</v>
      </c>
      <c r="B584" s="9">
        <v>0.117837202</v>
      </c>
      <c r="C584" s="9">
        <v>2.9156423000000001E-2</v>
      </c>
      <c r="D584" s="9">
        <v>6.0759109999999998E-2</v>
      </c>
      <c r="E584" s="9">
        <v>5.933273E-2</v>
      </c>
      <c r="F584" s="10">
        <v>0.105204267</v>
      </c>
      <c r="G584" s="10">
        <v>4.0520935000000001E-2</v>
      </c>
      <c r="H584" s="10">
        <v>9.1903179000000002E-2</v>
      </c>
      <c r="I584" s="10">
        <v>3.7626481000000003E-2</v>
      </c>
      <c r="J584" s="11">
        <v>4.2686235000000003E-2</v>
      </c>
      <c r="K584" s="11">
        <v>3.3493555000000001E-2</v>
      </c>
      <c r="L584" s="11">
        <v>2.1937915999999998E-2</v>
      </c>
      <c r="M584" s="11">
        <v>5.3166616E-2</v>
      </c>
      <c r="N584" s="12">
        <v>4.6135847000000001E-2</v>
      </c>
      <c r="O584" s="12">
        <v>3.1692451000000003E-2</v>
      </c>
      <c r="P584" s="12">
        <v>4.9886919000000002E-2</v>
      </c>
      <c r="Q584" s="12">
        <v>4.2015112E-2</v>
      </c>
      <c r="R584" s="13">
        <v>4.5741417999999999E-2</v>
      </c>
      <c r="S584" s="13">
        <v>3.3711820000000003E-2</v>
      </c>
      <c r="T584" s="13">
        <v>7.9283925000000005E-2</v>
      </c>
      <c r="U584" s="13">
        <v>4.7169068000000001E-2</v>
      </c>
      <c r="V584" s="15">
        <v>0.40836988391104906</v>
      </c>
      <c r="W584" s="15">
        <v>0.19818126615863194</v>
      </c>
      <c r="X584" s="15">
        <v>2.5208022507478643E-2</v>
      </c>
      <c r="Y584" s="14"/>
      <c r="Z584" s="14"/>
      <c r="AA584" s="14"/>
      <c r="AB584" s="16">
        <v>1</v>
      </c>
      <c r="AC584" s="16">
        <v>0</v>
      </c>
      <c r="AD584" s="16">
        <v>1</v>
      </c>
    </row>
    <row r="585" spans="1:30" x14ac:dyDescent="0.3">
      <c r="A585" s="8">
        <v>45446</v>
      </c>
      <c r="B585" s="9">
        <v>6.2768146999999996E-2</v>
      </c>
      <c r="C585" s="9">
        <v>3.9253785999999999E-2</v>
      </c>
      <c r="D585" s="9">
        <v>0.10722953</v>
      </c>
      <c r="E585" s="9">
        <v>5.3801345E-2</v>
      </c>
      <c r="F585" s="10">
        <v>0.117837202</v>
      </c>
      <c r="G585" s="10">
        <v>2.9156423000000001E-2</v>
      </c>
      <c r="H585" s="10">
        <v>6.0759109999999998E-2</v>
      </c>
      <c r="I585" s="10">
        <v>5.933273E-2</v>
      </c>
      <c r="J585" s="11">
        <v>0.105204267</v>
      </c>
      <c r="K585" s="11">
        <v>4.0520935000000001E-2</v>
      </c>
      <c r="L585" s="11">
        <v>9.1903179000000002E-2</v>
      </c>
      <c r="M585" s="11">
        <v>3.7626481000000003E-2</v>
      </c>
      <c r="N585" s="12">
        <v>4.2686235000000003E-2</v>
      </c>
      <c r="O585" s="12">
        <v>3.3493555000000001E-2</v>
      </c>
      <c r="P585" s="12">
        <v>2.1937915999999998E-2</v>
      </c>
      <c r="Q585" s="12">
        <v>5.3166616E-2</v>
      </c>
      <c r="R585" s="13">
        <v>4.6135847000000001E-2</v>
      </c>
      <c r="S585" s="13">
        <v>3.1692451000000003E-2</v>
      </c>
      <c r="T585" s="13">
        <v>4.9886919000000002E-2</v>
      </c>
      <c r="U585" s="13">
        <v>4.2015112E-2</v>
      </c>
      <c r="V585" s="15">
        <v>0.40836988391104906</v>
      </c>
      <c r="W585" s="15">
        <v>0.19899230885029701</v>
      </c>
      <c r="X585" s="15">
        <v>0</v>
      </c>
      <c r="Y585" s="14"/>
      <c r="Z585" s="14"/>
      <c r="AA585" s="14"/>
      <c r="AB585" s="16">
        <v>0</v>
      </c>
      <c r="AC585" s="16">
        <v>0</v>
      </c>
      <c r="AD585" s="16">
        <v>0</v>
      </c>
    </row>
    <row r="586" spans="1:30" x14ac:dyDescent="0.3">
      <c r="A586" s="8">
        <v>45447</v>
      </c>
      <c r="B586" s="9">
        <v>7.2375842999999995E-2</v>
      </c>
      <c r="C586" s="9">
        <v>3.1774752000000003E-2</v>
      </c>
      <c r="D586" s="9">
        <v>6.2251649999999999E-2</v>
      </c>
      <c r="E586" s="9">
        <v>5.1612035000000001E-2</v>
      </c>
      <c r="F586" s="10">
        <v>6.2768146999999996E-2</v>
      </c>
      <c r="G586" s="10">
        <v>3.9253785999999999E-2</v>
      </c>
      <c r="H586" s="10">
        <v>0.10722953</v>
      </c>
      <c r="I586" s="10">
        <v>5.3801345E-2</v>
      </c>
      <c r="J586" s="11">
        <v>0.117837202</v>
      </c>
      <c r="K586" s="11">
        <v>2.9156423000000001E-2</v>
      </c>
      <c r="L586" s="11">
        <v>6.0759109999999998E-2</v>
      </c>
      <c r="M586" s="11">
        <v>5.933273E-2</v>
      </c>
      <c r="N586" s="12">
        <v>0.105204267</v>
      </c>
      <c r="O586" s="12">
        <v>4.0520935000000001E-2</v>
      </c>
      <c r="P586" s="12">
        <v>9.1903179000000002E-2</v>
      </c>
      <c r="Q586" s="12">
        <v>3.7626481000000003E-2</v>
      </c>
      <c r="R586" s="13">
        <v>4.2686235000000003E-2</v>
      </c>
      <c r="S586" s="13">
        <v>3.3493555000000001E-2</v>
      </c>
      <c r="T586" s="13">
        <v>2.1937915999999998E-2</v>
      </c>
      <c r="U586" s="13">
        <v>5.3166616E-2</v>
      </c>
      <c r="V586" s="15">
        <v>0.27136031788558806</v>
      </c>
      <c r="W586" s="15">
        <v>0.19924109593336081</v>
      </c>
      <c r="X586" s="15">
        <v>2.3274346866721057E-2</v>
      </c>
      <c r="Y586" s="14"/>
      <c r="Z586" s="14"/>
      <c r="AA586" s="14"/>
      <c r="AB586" s="16">
        <v>1</v>
      </c>
      <c r="AC586" s="16">
        <v>0</v>
      </c>
      <c r="AD586" s="16">
        <v>1</v>
      </c>
    </row>
    <row r="587" spans="1:30" x14ac:dyDescent="0.3">
      <c r="A587" s="8">
        <v>45448</v>
      </c>
      <c r="B587" s="9">
        <v>1.8520808999999999E-2</v>
      </c>
      <c r="C587" s="9">
        <v>2.9743019999999998E-2</v>
      </c>
      <c r="D587" s="9">
        <v>7.4993347000000002E-2</v>
      </c>
      <c r="E587" s="9">
        <v>6.6130216000000006E-2</v>
      </c>
      <c r="F587" s="10">
        <v>7.2375842999999995E-2</v>
      </c>
      <c r="G587" s="10">
        <v>3.1774752000000003E-2</v>
      </c>
      <c r="H587" s="10">
        <v>6.2251649999999999E-2</v>
      </c>
      <c r="I587" s="10">
        <v>5.1612035000000001E-2</v>
      </c>
      <c r="J587" s="11">
        <v>6.2768146999999996E-2</v>
      </c>
      <c r="K587" s="11">
        <v>3.9253785999999999E-2</v>
      </c>
      <c r="L587" s="11">
        <v>0.10722953</v>
      </c>
      <c r="M587" s="11">
        <v>5.3801345E-2</v>
      </c>
      <c r="N587" s="12">
        <v>0.117837202</v>
      </c>
      <c r="O587" s="12">
        <v>2.9156423000000001E-2</v>
      </c>
      <c r="P587" s="12">
        <v>6.0759109999999998E-2</v>
      </c>
      <c r="Q587" s="12">
        <v>5.933273E-2</v>
      </c>
      <c r="R587" s="13">
        <v>0.105204267</v>
      </c>
      <c r="S587" s="13">
        <v>4.0520935000000001E-2</v>
      </c>
      <c r="T587" s="13">
        <v>9.1903179000000002E-2</v>
      </c>
      <c r="U587" s="13">
        <v>3.7626481000000003E-2</v>
      </c>
      <c r="V587" s="15">
        <v>0.27136031788558806</v>
      </c>
      <c r="W587" s="15">
        <v>0.1994183348022146</v>
      </c>
      <c r="X587" s="15">
        <v>0</v>
      </c>
      <c r="Y587" s="14"/>
      <c r="Z587" s="14"/>
      <c r="AA587" s="14"/>
      <c r="AB587" s="16">
        <v>1</v>
      </c>
      <c r="AC587" s="16">
        <v>0</v>
      </c>
      <c r="AD587" s="16">
        <v>1</v>
      </c>
    </row>
    <row r="588" spans="1:30" x14ac:dyDescent="0.3">
      <c r="A588" s="8">
        <v>45449</v>
      </c>
      <c r="B588" s="9">
        <v>9.3969393999999998E-2</v>
      </c>
      <c r="C588" s="9">
        <v>6.2578002999999993E-2</v>
      </c>
      <c r="D588" s="9">
        <v>0.17560790100000001</v>
      </c>
      <c r="E588" s="9">
        <v>7.2916196000000003E-2</v>
      </c>
      <c r="F588" s="10">
        <v>1.8520808999999999E-2</v>
      </c>
      <c r="G588" s="10">
        <v>2.9743019999999998E-2</v>
      </c>
      <c r="H588" s="10">
        <v>7.4993347000000002E-2</v>
      </c>
      <c r="I588" s="10">
        <v>6.6130216000000006E-2</v>
      </c>
      <c r="J588" s="11">
        <v>7.2375842999999995E-2</v>
      </c>
      <c r="K588" s="11">
        <v>3.1774752000000003E-2</v>
      </c>
      <c r="L588" s="11">
        <v>6.2251649999999999E-2</v>
      </c>
      <c r="M588" s="11">
        <v>5.1612035000000001E-2</v>
      </c>
      <c r="N588" s="12">
        <v>6.2768146999999996E-2</v>
      </c>
      <c r="O588" s="12">
        <v>3.9253785999999999E-2</v>
      </c>
      <c r="P588" s="12">
        <v>0.10722953</v>
      </c>
      <c r="Q588" s="12">
        <v>5.3801345E-2</v>
      </c>
      <c r="R588" s="13">
        <v>0.117837202</v>
      </c>
      <c r="S588" s="13">
        <v>2.9156423000000001E-2</v>
      </c>
      <c r="T588" s="13">
        <v>6.0759109999999998E-2</v>
      </c>
      <c r="U588" s="13">
        <v>5.933273E-2</v>
      </c>
      <c r="V588" s="15">
        <v>0.40836988391104906</v>
      </c>
      <c r="W588" s="15">
        <v>0.20426343017050819</v>
      </c>
      <c r="X588" s="15">
        <v>0</v>
      </c>
      <c r="Y588" s="14"/>
      <c r="Z588" s="14"/>
      <c r="AA588" s="14"/>
      <c r="AB588" s="16">
        <v>1</v>
      </c>
      <c r="AC588" s="16">
        <v>0</v>
      </c>
      <c r="AD588" s="16">
        <v>1</v>
      </c>
    </row>
    <row r="589" spans="1:30" x14ac:dyDescent="0.3">
      <c r="A589" s="8">
        <v>45450</v>
      </c>
      <c r="B589" s="9">
        <v>9.6782594999999999E-2</v>
      </c>
      <c r="C589" s="9">
        <v>3.4585496E-2</v>
      </c>
      <c r="D589" s="9">
        <v>0.137257623</v>
      </c>
      <c r="E589" s="9">
        <v>5.3461670000000003E-2</v>
      </c>
      <c r="F589" s="10">
        <v>9.3969393999999998E-2</v>
      </c>
      <c r="G589" s="10">
        <v>6.2578002999999993E-2</v>
      </c>
      <c r="H589" s="10">
        <v>0.17560790100000001</v>
      </c>
      <c r="I589" s="10">
        <v>7.2916196000000003E-2</v>
      </c>
      <c r="J589" s="11">
        <v>1.8520808999999999E-2</v>
      </c>
      <c r="K589" s="11">
        <v>2.9743019999999998E-2</v>
      </c>
      <c r="L589" s="11">
        <v>7.4993347000000002E-2</v>
      </c>
      <c r="M589" s="11">
        <v>6.6130216000000006E-2</v>
      </c>
      <c r="N589" s="12">
        <v>7.2375842999999995E-2</v>
      </c>
      <c r="O589" s="12">
        <v>3.1774752000000003E-2</v>
      </c>
      <c r="P589" s="12">
        <v>6.2251649999999999E-2</v>
      </c>
      <c r="Q589" s="12">
        <v>5.1612035000000001E-2</v>
      </c>
      <c r="R589" s="13">
        <v>6.2768146999999996E-2</v>
      </c>
      <c r="S589" s="13">
        <v>3.9253785999999999E-2</v>
      </c>
      <c r="T589" s="13">
        <v>0.10722953</v>
      </c>
      <c r="U589" s="13">
        <v>5.3801345E-2</v>
      </c>
      <c r="V589" s="15">
        <v>0.27136031788558806</v>
      </c>
      <c r="W589" s="15">
        <v>0.20341318716723028</v>
      </c>
      <c r="X589" s="15">
        <v>7.997131162709217E-3</v>
      </c>
      <c r="Y589" s="14"/>
      <c r="Z589" s="14"/>
      <c r="AA589" s="14"/>
      <c r="AB589" s="16">
        <v>1</v>
      </c>
      <c r="AC589" s="16">
        <v>0</v>
      </c>
      <c r="AD589" s="16">
        <v>1</v>
      </c>
    </row>
    <row r="590" spans="1:30" x14ac:dyDescent="0.3">
      <c r="A590" s="8">
        <v>45454</v>
      </c>
      <c r="B590" s="9">
        <v>0.104009165</v>
      </c>
      <c r="C590" s="9">
        <v>5.9869732000000002E-2</v>
      </c>
      <c r="D590" s="9">
        <v>9.9619856000000007E-2</v>
      </c>
      <c r="E590" s="9">
        <v>7.0371113999999999E-2</v>
      </c>
      <c r="F590" s="10">
        <v>9.6782594999999999E-2</v>
      </c>
      <c r="G590" s="10">
        <v>3.4585496E-2</v>
      </c>
      <c r="H590" s="10">
        <v>0.137257623</v>
      </c>
      <c r="I590" s="10">
        <v>5.3461670000000003E-2</v>
      </c>
      <c r="J590" s="11">
        <v>9.3969393999999998E-2</v>
      </c>
      <c r="K590" s="11">
        <v>6.2578002999999993E-2</v>
      </c>
      <c r="L590" s="11">
        <v>0.17560790100000001</v>
      </c>
      <c r="M590" s="11">
        <v>7.2916196000000003E-2</v>
      </c>
      <c r="N590" s="12">
        <v>1.8520808999999999E-2</v>
      </c>
      <c r="O590" s="12">
        <v>2.9743019999999998E-2</v>
      </c>
      <c r="P590" s="12">
        <v>7.4993347000000002E-2</v>
      </c>
      <c r="Q590" s="12">
        <v>6.6130216000000006E-2</v>
      </c>
      <c r="R590" s="13">
        <v>7.2375842999999995E-2</v>
      </c>
      <c r="S590" s="13">
        <v>3.1774752000000003E-2</v>
      </c>
      <c r="T590" s="13">
        <v>6.2251649999999999E-2</v>
      </c>
      <c r="U590" s="13">
        <v>5.1612035000000001E-2</v>
      </c>
      <c r="V590" s="15">
        <v>0.22962749007753946</v>
      </c>
      <c r="W590" s="15">
        <v>0.20352159251023019</v>
      </c>
      <c r="X590" s="15">
        <v>6.6540163489521584E-3</v>
      </c>
      <c r="Y590" s="14"/>
      <c r="Z590" s="14"/>
      <c r="AA590" s="14"/>
      <c r="AB590" s="16">
        <v>1</v>
      </c>
      <c r="AC590" s="16">
        <v>0</v>
      </c>
      <c r="AD590" s="16">
        <v>1</v>
      </c>
    </row>
    <row r="591" spans="1:30" x14ac:dyDescent="0.3">
      <c r="A591" s="8">
        <v>45455</v>
      </c>
      <c r="B591" s="9">
        <v>2.4782581000000001E-2</v>
      </c>
      <c r="C591" s="9">
        <v>4.8496974999999998E-2</v>
      </c>
      <c r="D591" s="9">
        <v>0.110185254</v>
      </c>
      <c r="E591" s="9">
        <v>8.1334964999999995E-2</v>
      </c>
      <c r="F591" s="10">
        <v>0.104009165</v>
      </c>
      <c r="G591" s="10">
        <v>5.9869732000000002E-2</v>
      </c>
      <c r="H591" s="10">
        <v>9.9619856000000007E-2</v>
      </c>
      <c r="I591" s="10">
        <v>7.0371113999999999E-2</v>
      </c>
      <c r="J591" s="11">
        <v>9.6782594999999999E-2</v>
      </c>
      <c r="K591" s="11">
        <v>3.4585496E-2</v>
      </c>
      <c r="L591" s="11">
        <v>0.137257623</v>
      </c>
      <c r="M591" s="11">
        <v>5.3461670000000003E-2</v>
      </c>
      <c r="N591" s="12">
        <v>9.3969393999999998E-2</v>
      </c>
      <c r="O591" s="12">
        <v>6.2578002999999993E-2</v>
      </c>
      <c r="P591" s="12">
        <v>0.17560790100000001</v>
      </c>
      <c r="Q591" s="12">
        <v>7.2916196000000003E-2</v>
      </c>
      <c r="R591" s="13">
        <v>1.8520808999999999E-2</v>
      </c>
      <c r="S591" s="13">
        <v>2.9743019999999998E-2</v>
      </c>
      <c r="T591" s="13">
        <v>7.4993347000000002E-2</v>
      </c>
      <c r="U591" s="13">
        <v>6.6130216000000006E-2</v>
      </c>
      <c r="V591" s="15">
        <v>0.40836988391104906</v>
      </c>
      <c r="W591" s="15">
        <v>0.20516284076050395</v>
      </c>
      <c r="X591" s="15">
        <v>0</v>
      </c>
      <c r="Y591" s="14"/>
      <c r="Z591" s="14"/>
      <c r="AA591" s="14"/>
      <c r="AB591" s="16">
        <v>1</v>
      </c>
      <c r="AC591" s="16">
        <v>0</v>
      </c>
      <c r="AD591" s="16">
        <v>1</v>
      </c>
    </row>
    <row r="592" spans="1:30" x14ac:dyDescent="0.3">
      <c r="A592" s="8">
        <v>45456</v>
      </c>
      <c r="B592" s="9">
        <v>0.15235248500000001</v>
      </c>
      <c r="C592" s="9">
        <v>6.2109596000000003E-2</v>
      </c>
      <c r="D592" s="9">
        <v>0.21011105199999999</v>
      </c>
      <c r="E592" s="9">
        <v>8.6151247E-2</v>
      </c>
      <c r="F592" s="10">
        <v>2.4782581000000001E-2</v>
      </c>
      <c r="G592" s="10">
        <v>4.8496974999999998E-2</v>
      </c>
      <c r="H592" s="10">
        <v>0.110185254</v>
      </c>
      <c r="I592" s="10">
        <v>8.1334964999999995E-2</v>
      </c>
      <c r="J592" s="11">
        <v>0.104009165</v>
      </c>
      <c r="K592" s="11">
        <v>5.9869732000000002E-2</v>
      </c>
      <c r="L592" s="11">
        <v>9.9619856000000007E-2</v>
      </c>
      <c r="M592" s="11">
        <v>7.0371113999999999E-2</v>
      </c>
      <c r="N592" s="12">
        <v>9.6782594999999999E-2</v>
      </c>
      <c r="O592" s="12">
        <v>3.4585496E-2</v>
      </c>
      <c r="P592" s="12">
        <v>0.137257623</v>
      </c>
      <c r="Q592" s="12">
        <v>5.3461670000000003E-2</v>
      </c>
      <c r="R592" s="13">
        <v>9.3969393999999998E-2</v>
      </c>
      <c r="S592" s="13">
        <v>6.2578002999999993E-2</v>
      </c>
      <c r="T592" s="13">
        <v>0.17560790100000001</v>
      </c>
      <c r="U592" s="13">
        <v>7.2916196000000003E-2</v>
      </c>
      <c r="V592" s="15">
        <v>0.67955249376785154</v>
      </c>
      <c r="W592" s="15">
        <v>0.20359693435521378</v>
      </c>
      <c r="X592" s="15">
        <v>0</v>
      </c>
      <c r="Y592" s="14"/>
      <c r="Z592" s="14"/>
      <c r="AA592" s="14"/>
      <c r="AB592" s="16">
        <v>1</v>
      </c>
      <c r="AC592" s="16">
        <v>0</v>
      </c>
      <c r="AD592" s="16">
        <v>1</v>
      </c>
    </row>
    <row r="593" spans="1:30" x14ac:dyDescent="0.3">
      <c r="A593" s="8">
        <v>45457</v>
      </c>
      <c r="B593" s="9">
        <v>0.101346723</v>
      </c>
      <c r="C593" s="9">
        <v>7.5857421999999994E-2</v>
      </c>
      <c r="D593" s="9">
        <v>0.21642281499999999</v>
      </c>
      <c r="E593" s="9">
        <v>7.8397486000000002E-2</v>
      </c>
      <c r="F593" s="10">
        <v>0.15235248500000001</v>
      </c>
      <c r="G593" s="10">
        <v>6.2109596000000003E-2</v>
      </c>
      <c r="H593" s="10">
        <v>0.21011105199999999</v>
      </c>
      <c r="I593" s="10">
        <v>8.6151247E-2</v>
      </c>
      <c r="J593" s="11">
        <v>2.4782581000000001E-2</v>
      </c>
      <c r="K593" s="11">
        <v>4.8496974999999998E-2</v>
      </c>
      <c r="L593" s="11">
        <v>0.110185254</v>
      </c>
      <c r="M593" s="11">
        <v>8.1334964999999995E-2</v>
      </c>
      <c r="N593" s="12">
        <v>0.104009165</v>
      </c>
      <c r="O593" s="12">
        <v>5.9869732000000002E-2</v>
      </c>
      <c r="P593" s="12">
        <v>9.9619856000000007E-2</v>
      </c>
      <c r="Q593" s="12">
        <v>7.0371113999999999E-2</v>
      </c>
      <c r="R593" s="13">
        <v>9.6782594999999999E-2</v>
      </c>
      <c r="S593" s="13">
        <v>3.4585496E-2</v>
      </c>
      <c r="T593" s="13">
        <v>0.137257623</v>
      </c>
      <c r="U593" s="13">
        <v>5.3461670000000003E-2</v>
      </c>
      <c r="V593" s="15">
        <v>0.67955249376785154</v>
      </c>
      <c r="W593" s="15">
        <v>0.20406008185843472</v>
      </c>
      <c r="X593" s="15">
        <v>0</v>
      </c>
      <c r="Y593" s="14"/>
      <c r="Z593" s="14"/>
      <c r="AA593" s="14"/>
      <c r="AB593" s="16">
        <v>1</v>
      </c>
      <c r="AC593" s="16">
        <v>0</v>
      </c>
      <c r="AD593" s="16">
        <v>1</v>
      </c>
    </row>
    <row r="594" spans="1:30" x14ac:dyDescent="0.3">
      <c r="A594" s="8">
        <v>45460</v>
      </c>
      <c r="B594" s="9">
        <v>0.19288984100000001</v>
      </c>
      <c r="C594" s="9">
        <v>8.3092447999999999E-2</v>
      </c>
      <c r="D594" s="9">
        <v>0.26515245300000001</v>
      </c>
      <c r="E594" s="9">
        <v>0.120306959</v>
      </c>
      <c r="F594" s="10">
        <v>0.101346723</v>
      </c>
      <c r="G594" s="10">
        <v>7.5857421999999994E-2</v>
      </c>
      <c r="H594" s="10">
        <v>0.21642281499999999</v>
      </c>
      <c r="I594" s="10">
        <v>7.8397486000000002E-2</v>
      </c>
      <c r="J594" s="11">
        <v>0.15235248500000001</v>
      </c>
      <c r="K594" s="11">
        <v>6.2109596000000003E-2</v>
      </c>
      <c r="L594" s="11">
        <v>0.21011105199999999</v>
      </c>
      <c r="M594" s="11">
        <v>8.6151247E-2</v>
      </c>
      <c r="N594" s="12">
        <v>2.4782581000000001E-2</v>
      </c>
      <c r="O594" s="12">
        <v>4.8496974999999998E-2</v>
      </c>
      <c r="P594" s="12">
        <v>0.110185254</v>
      </c>
      <c r="Q594" s="12">
        <v>8.1334964999999995E-2</v>
      </c>
      <c r="R594" s="13">
        <v>0.104009165</v>
      </c>
      <c r="S594" s="13">
        <v>5.9869732000000002E-2</v>
      </c>
      <c r="T594" s="13">
        <v>9.9619856000000007E-2</v>
      </c>
      <c r="U594" s="13">
        <v>7.0371113999999999E-2</v>
      </c>
      <c r="V594" s="15">
        <v>0.67955249376785154</v>
      </c>
      <c r="W594" s="15">
        <v>0.20398931375113316</v>
      </c>
      <c r="X594" s="15">
        <v>5.0631110005980237E-3</v>
      </c>
      <c r="Y594" s="14"/>
      <c r="Z594" s="14"/>
      <c r="AA594" s="14"/>
      <c r="AB594" s="16">
        <v>0</v>
      </c>
      <c r="AC594" s="16">
        <v>0</v>
      </c>
      <c r="AD594" s="16">
        <v>0</v>
      </c>
    </row>
    <row r="595" spans="1:30" x14ac:dyDescent="0.3">
      <c r="A595" s="8">
        <v>45461</v>
      </c>
      <c r="B595" s="9">
        <v>0.18530988500000001</v>
      </c>
      <c r="C595" s="9">
        <v>0.29072243199999998</v>
      </c>
      <c r="D595" s="9">
        <v>0.35899301700000003</v>
      </c>
      <c r="E595" s="9">
        <v>0.22878411500000001</v>
      </c>
      <c r="F595" s="10">
        <v>0.19288984100000001</v>
      </c>
      <c r="G595" s="10">
        <v>8.3092447999999999E-2</v>
      </c>
      <c r="H595" s="10">
        <v>0.26515245300000001</v>
      </c>
      <c r="I595" s="10">
        <v>0.120306959</v>
      </c>
      <c r="J595" s="11">
        <v>0.101346723</v>
      </c>
      <c r="K595" s="11">
        <v>7.5857421999999994E-2</v>
      </c>
      <c r="L595" s="11">
        <v>0.21642281499999999</v>
      </c>
      <c r="M595" s="11">
        <v>7.8397486000000002E-2</v>
      </c>
      <c r="N595" s="12">
        <v>0.15235248500000001</v>
      </c>
      <c r="O595" s="12">
        <v>6.2109596000000003E-2</v>
      </c>
      <c r="P595" s="12">
        <v>0.21011105199999999</v>
      </c>
      <c r="Q595" s="12">
        <v>8.6151247E-2</v>
      </c>
      <c r="R595" s="13">
        <v>2.4782581000000001E-2</v>
      </c>
      <c r="S595" s="13">
        <v>4.8496974999999998E-2</v>
      </c>
      <c r="T595" s="13">
        <v>0.110185254</v>
      </c>
      <c r="U595" s="13">
        <v>8.1334964999999995E-2</v>
      </c>
      <c r="V595" s="15">
        <v>0.85040543580851213</v>
      </c>
      <c r="W595" s="15">
        <v>0.20489125201851119</v>
      </c>
      <c r="X595" s="15">
        <v>0</v>
      </c>
      <c r="Y595" s="14"/>
      <c r="Z595" s="14"/>
      <c r="AA595" s="14"/>
      <c r="AB595" s="16">
        <v>0</v>
      </c>
      <c r="AC595" s="16">
        <v>0</v>
      </c>
      <c r="AD595" s="16">
        <v>0</v>
      </c>
    </row>
    <row r="596" spans="1:30" x14ac:dyDescent="0.3">
      <c r="A596" s="8">
        <v>45462</v>
      </c>
      <c r="B596" s="9">
        <v>1.5501628999999999E-2</v>
      </c>
      <c r="C596" s="9">
        <v>4.9600553999999998E-2</v>
      </c>
      <c r="D596" s="9">
        <v>6.2446573999999998E-2</v>
      </c>
      <c r="E596" s="9">
        <v>4.9660688000000001E-2</v>
      </c>
      <c r="F596" s="10">
        <v>0.18530988500000001</v>
      </c>
      <c r="G596" s="10">
        <v>0.29072243199999998</v>
      </c>
      <c r="H596" s="10">
        <v>0.35899301700000003</v>
      </c>
      <c r="I596" s="10">
        <v>0.22878411500000001</v>
      </c>
      <c r="J596" s="11">
        <v>0.19288984100000001</v>
      </c>
      <c r="K596" s="11">
        <v>8.3092447999999999E-2</v>
      </c>
      <c r="L596" s="11">
        <v>0.26515245300000001</v>
      </c>
      <c r="M596" s="11">
        <v>0.120306959</v>
      </c>
      <c r="N596" s="12">
        <v>0.101346723</v>
      </c>
      <c r="O596" s="12">
        <v>7.5857421999999994E-2</v>
      </c>
      <c r="P596" s="12">
        <v>0.21642281499999999</v>
      </c>
      <c r="Q596" s="12">
        <v>7.8397486000000002E-2</v>
      </c>
      <c r="R596" s="13">
        <v>0.15235248500000001</v>
      </c>
      <c r="S596" s="13">
        <v>6.2109596000000003E-2</v>
      </c>
      <c r="T596" s="13">
        <v>0.21011105199999999</v>
      </c>
      <c r="U596" s="13">
        <v>8.6151247E-2</v>
      </c>
      <c r="V596" s="15">
        <v>0.85040543580851213</v>
      </c>
      <c r="W596" s="15">
        <v>0.20430526334870053</v>
      </c>
      <c r="X596" s="15">
        <v>0</v>
      </c>
      <c r="Y596" s="14"/>
      <c r="Z596" s="14"/>
      <c r="AA596" s="14"/>
      <c r="AB596" s="16">
        <v>0</v>
      </c>
      <c r="AC596" s="16">
        <v>0</v>
      </c>
      <c r="AD596" s="16">
        <v>0</v>
      </c>
    </row>
    <row r="597" spans="1:30" x14ac:dyDescent="0.3">
      <c r="A597" s="8">
        <v>45463</v>
      </c>
      <c r="B597" s="9">
        <v>7.0691365000000006E-2</v>
      </c>
      <c r="C597" s="9">
        <v>3.6887688000000002E-2</v>
      </c>
      <c r="D597" s="9">
        <v>0.12528816100000001</v>
      </c>
      <c r="E597" s="9">
        <v>5.5896451999999999E-2</v>
      </c>
      <c r="F597" s="10">
        <v>1.5501628999999999E-2</v>
      </c>
      <c r="G597" s="10">
        <v>4.9600553999999998E-2</v>
      </c>
      <c r="H597" s="10">
        <v>6.2446573999999998E-2</v>
      </c>
      <c r="I597" s="10">
        <v>4.9660688000000001E-2</v>
      </c>
      <c r="J597" s="11">
        <v>0.18530988500000001</v>
      </c>
      <c r="K597" s="11">
        <v>0.29072243199999998</v>
      </c>
      <c r="L597" s="11">
        <v>0.35899301700000003</v>
      </c>
      <c r="M597" s="11">
        <v>0.22878411500000001</v>
      </c>
      <c r="N597" s="12">
        <v>0.19288984100000001</v>
      </c>
      <c r="O597" s="12">
        <v>8.3092447999999999E-2</v>
      </c>
      <c r="P597" s="12">
        <v>0.26515245300000001</v>
      </c>
      <c r="Q597" s="12">
        <v>0.120306959</v>
      </c>
      <c r="R597" s="13">
        <v>0.101346723</v>
      </c>
      <c r="S597" s="13">
        <v>7.5857421999999994E-2</v>
      </c>
      <c r="T597" s="13">
        <v>0.21642281499999999</v>
      </c>
      <c r="U597" s="13">
        <v>7.8397486000000002E-2</v>
      </c>
      <c r="V597" s="15">
        <v>0.89252011189078828</v>
      </c>
      <c r="W597" s="15">
        <v>0.20489762895356364</v>
      </c>
      <c r="X597" s="15">
        <v>0</v>
      </c>
      <c r="Y597" s="14"/>
      <c r="Z597" s="14"/>
      <c r="AA597" s="14"/>
      <c r="AB597" s="16">
        <v>0</v>
      </c>
      <c r="AC597" s="16">
        <v>1</v>
      </c>
      <c r="AD597" s="16">
        <v>1</v>
      </c>
    </row>
    <row r="598" spans="1:30" x14ac:dyDescent="0.3">
      <c r="A598" s="8">
        <v>45464</v>
      </c>
      <c r="B598" s="9">
        <v>8.3091619000000005E-2</v>
      </c>
      <c r="C598" s="9">
        <v>2.4421083999999999E-2</v>
      </c>
      <c r="D598" s="9">
        <v>9.3856278000000001E-2</v>
      </c>
      <c r="E598" s="9">
        <v>3.9968964000000003E-2</v>
      </c>
      <c r="F598" s="10">
        <v>7.0691365000000006E-2</v>
      </c>
      <c r="G598" s="10">
        <v>3.6887688000000002E-2</v>
      </c>
      <c r="H598" s="10">
        <v>0.12528816100000001</v>
      </c>
      <c r="I598" s="10">
        <v>5.5896451999999999E-2</v>
      </c>
      <c r="J598" s="11">
        <v>1.5501628999999999E-2</v>
      </c>
      <c r="K598" s="11">
        <v>4.9600553999999998E-2</v>
      </c>
      <c r="L598" s="11">
        <v>6.2446573999999998E-2</v>
      </c>
      <c r="M598" s="11">
        <v>4.9660688000000001E-2</v>
      </c>
      <c r="N598" s="12">
        <v>0.18530988500000001</v>
      </c>
      <c r="O598" s="12">
        <v>0.29072243199999998</v>
      </c>
      <c r="P598" s="12">
        <v>0.35899301700000003</v>
      </c>
      <c r="Q598" s="12">
        <v>0.22878411500000001</v>
      </c>
      <c r="R598" s="13">
        <v>0.19288984100000001</v>
      </c>
      <c r="S598" s="13">
        <v>8.3092447999999999E-2</v>
      </c>
      <c r="T598" s="13">
        <v>0.26515245300000001</v>
      </c>
      <c r="U598" s="13">
        <v>0.120306959</v>
      </c>
      <c r="V598" s="15">
        <v>0.89252011189078828</v>
      </c>
      <c r="W598" s="15">
        <v>0.20588355190692395</v>
      </c>
      <c r="X598" s="15">
        <v>2.1330801243434883E-2</v>
      </c>
      <c r="Y598" s="14"/>
      <c r="Z598" s="14"/>
      <c r="AA598" s="14"/>
      <c r="AB598" s="16">
        <v>0</v>
      </c>
      <c r="AC598" s="16">
        <v>0</v>
      </c>
      <c r="AD598" s="16">
        <v>0</v>
      </c>
    </row>
    <row r="599" spans="1:30" x14ac:dyDescent="0.3">
      <c r="A599" s="8">
        <v>45467</v>
      </c>
      <c r="B599" s="9">
        <v>9.2921664000000001E-2</v>
      </c>
      <c r="C599" s="9">
        <v>3.3641520000000001E-2</v>
      </c>
      <c r="D599" s="9">
        <v>7.7089251999999997E-2</v>
      </c>
      <c r="E599" s="9">
        <v>4.3517805E-2</v>
      </c>
      <c r="F599" s="10">
        <v>8.3091619000000005E-2</v>
      </c>
      <c r="G599" s="10">
        <v>2.4421083999999999E-2</v>
      </c>
      <c r="H599" s="10">
        <v>9.3856278000000001E-2</v>
      </c>
      <c r="I599" s="10">
        <v>3.9968964000000003E-2</v>
      </c>
      <c r="J599" s="11">
        <v>7.0691365000000006E-2</v>
      </c>
      <c r="K599" s="11">
        <v>3.6887688000000002E-2</v>
      </c>
      <c r="L599" s="11">
        <v>0.12528816100000001</v>
      </c>
      <c r="M599" s="11">
        <v>5.5896451999999999E-2</v>
      </c>
      <c r="N599" s="12">
        <v>1.5501628999999999E-2</v>
      </c>
      <c r="O599" s="12">
        <v>4.9600553999999998E-2</v>
      </c>
      <c r="P599" s="12">
        <v>6.2446573999999998E-2</v>
      </c>
      <c r="Q599" s="12">
        <v>4.9660688000000001E-2</v>
      </c>
      <c r="R599" s="13">
        <v>0.18530988500000001</v>
      </c>
      <c r="S599" s="13">
        <v>0.29072243199999998</v>
      </c>
      <c r="T599" s="13">
        <v>0.35899301700000003</v>
      </c>
      <c r="U599" s="13">
        <v>0.22878411500000001</v>
      </c>
      <c r="V599" s="15">
        <v>0.89252011189078828</v>
      </c>
      <c r="W599" s="15">
        <v>0.20801286244900305</v>
      </c>
      <c r="X599" s="15">
        <v>3.2050874430647483E-2</v>
      </c>
      <c r="Y599" s="14"/>
      <c r="Z599" s="14"/>
      <c r="AA599" s="14"/>
      <c r="AB599" s="16">
        <v>0</v>
      </c>
      <c r="AC599" s="16">
        <v>0</v>
      </c>
      <c r="AD599" s="16">
        <v>0</v>
      </c>
    </row>
    <row r="600" spans="1:30" x14ac:dyDescent="0.3">
      <c r="A600" s="8">
        <v>45468</v>
      </c>
      <c r="B600" s="9">
        <v>4.7815495999999999E-2</v>
      </c>
      <c r="C600" s="9">
        <v>3.8665863000000002E-2</v>
      </c>
      <c r="D600" s="9">
        <v>9.1813906000000001E-2</v>
      </c>
      <c r="E600" s="9">
        <v>5.0562179999999998E-2</v>
      </c>
      <c r="F600" s="10">
        <v>9.2921664000000001E-2</v>
      </c>
      <c r="G600" s="10">
        <v>3.3641520000000001E-2</v>
      </c>
      <c r="H600" s="10">
        <v>7.7089251999999997E-2</v>
      </c>
      <c r="I600" s="10">
        <v>4.3517805E-2</v>
      </c>
      <c r="J600" s="11">
        <v>8.3091619000000005E-2</v>
      </c>
      <c r="K600" s="11">
        <v>2.4421083999999999E-2</v>
      </c>
      <c r="L600" s="11">
        <v>9.3856278000000001E-2</v>
      </c>
      <c r="M600" s="11">
        <v>3.9968964000000003E-2</v>
      </c>
      <c r="N600" s="12">
        <v>7.0691365000000006E-2</v>
      </c>
      <c r="O600" s="12">
        <v>3.6887688000000002E-2</v>
      </c>
      <c r="P600" s="12">
        <v>0.12528816100000001</v>
      </c>
      <c r="Q600" s="12">
        <v>5.5896451999999999E-2</v>
      </c>
      <c r="R600" s="13">
        <v>1.5501628999999999E-2</v>
      </c>
      <c r="S600" s="13">
        <v>4.9600553999999998E-2</v>
      </c>
      <c r="T600" s="13">
        <v>6.2446573999999998E-2</v>
      </c>
      <c r="U600" s="13">
        <v>4.9660688000000001E-2</v>
      </c>
      <c r="V600" s="15">
        <v>0.89252011189078828</v>
      </c>
      <c r="W600" s="15">
        <v>0.20797917898737073</v>
      </c>
      <c r="X600" s="15">
        <v>0</v>
      </c>
      <c r="Y600" s="14"/>
      <c r="Z600" s="14"/>
      <c r="AA600" s="14"/>
      <c r="AB600" s="16">
        <v>0</v>
      </c>
      <c r="AC600" s="16">
        <v>0</v>
      </c>
      <c r="AD600" s="16">
        <v>0</v>
      </c>
    </row>
    <row r="601" spans="1:30" x14ac:dyDescent="0.3">
      <c r="A601" s="8">
        <v>45469</v>
      </c>
      <c r="B601" s="9">
        <v>2.6143954E-2</v>
      </c>
      <c r="C601" s="9">
        <v>3.7594964000000002E-2</v>
      </c>
      <c r="D601" s="9">
        <v>4.7066806000000003E-2</v>
      </c>
      <c r="E601" s="9">
        <v>4.0082913999999997E-2</v>
      </c>
      <c r="F601" s="10">
        <v>4.7815495999999999E-2</v>
      </c>
      <c r="G601" s="10">
        <v>3.8665863000000002E-2</v>
      </c>
      <c r="H601" s="10">
        <v>9.1813906000000001E-2</v>
      </c>
      <c r="I601" s="10">
        <v>5.0562179999999998E-2</v>
      </c>
      <c r="J601" s="11">
        <v>9.2921664000000001E-2</v>
      </c>
      <c r="K601" s="11">
        <v>3.3641520000000001E-2</v>
      </c>
      <c r="L601" s="11">
        <v>7.7089251999999997E-2</v>
      </c>
      <c r="M601" s="11">
        <v>4.3517805E-2</v>
      </c>
      <c r="N601" s="12">
        <v>8.3091619000000005E-2</v>
      </c>
      <c r="O601" s="12">
        <v>2.4421083999999999E-2</v>
      </c>
      <c r="P601" s="12">
        <v>9.3856278000000001E-2</v>
      </c>
      <c r="Q601" s="12">
        <v>3.9968964000000003E-2</v>
      </c>
      <c r="R601" s="13">
        <v>7.0691365000000006E-2</v>
      </c>
      <c r="S601" s="13">
        <v>3.6887688000000002E-2</v>
      </c>
      <c r="T601" s="13">
        <v>0.12528816100000001</v>
      </c>
      <c r="U601" s="13">
        <v>5.5896451999999999E-2</v>
      </c>
      <c r="V601" s="15">
        <v>0.92698304950892541</v>
      </c>
      <c r="W601" s="15">
        <v>0.20777119029359825</v>
      </c>
      <c r="X601" s="15">
        <v>0</v>
      </c>
      <c r="Y601" s="14"/>
      <c r="Z601" s="14"/>
      <c r="AA601" s="14"/>
      <c r="AB601" s="16">
        <v>0</v>
      </c>
      <c r="AC601" s="16">
        <v>0</v>
      </c>
      <c r="AD601" s="16">
        <v>0</v>
      </c>
    </row>
    <row r="602" spans="1:30" x14ac:dyDescent="0.3">
      <c r="A602" s="8">
        <v>45470</v>
      </c>
      <c r="B602" s="9">
        <v>9.8519222000000004E-2</v>
      </c>
      <c r="C602" s="9">
        <v>3.0041399999999999E-2</v>
      </c>
      <c r="D602" s="9">
        <v>0.159092279</v>
      </c>
      <c r="E602" s="9">
        <v>6.6111408999999996E-2</v>
      </c>
      <c r="F602" s="10">
        <v>2.6143954E-2</v>
      </c>
      <c r="G602" s="10">
        <v>3.7594964000000002E-2</v>
      </c>
      <c r="H602" s="10">
        <v>4.7066806000000003E-2</v>
      </c>
      <c r="I602" s="10">
        <v>4.0082913999999997E-2</v>
      </c>
      <c r="J602" s="11">
        <v>4.7815495999999999E-2</v>
      </c>
      <c r="K602" s="11">
        <v>3.8665863000000002E-2</v>
      </c>
      <c r="L602" s="11">
        <v>9.1813906000000001E-2</v>
      </c>
      <c r="M602" s="11">
        <v>5.0562179999999998E-2</v>
      </c>
      <c r="N602" s="12">
        <v>9.2921664000000001E-2</v>
      </c>
      <c r="O602" s="12">
        <v>3.3641520000000001E-2</v>
      </c>
      <c r="P602" s="12">
        <v>7.7089251999999997E-2</v>
      </c>
      <c r="Q602" s="12">
        <v>4.3517805E-2</v>
      </c>
      <c r="R602" s="13">
        <v>8.3091619000000005E-2</v>
      </c>
      <c r="S602" s="13">
        <v>2.4421083999999999E-2</v>
      </c>
      <c r="T602" s="13">
        <v>9.3856278000000001E-2</v>
      </c>
      <c r="U602" s="13">
        <v>3.9968964000000003E-2</v>
      </c>
      <c r="V602" s="15">
        <v>0.89252011189078828</v>
      </c>
      <c r="W602" s="15">
        <v>0.20780145716575085</v>
      </c>
      <c r="X602" s="15">
        <v>1.3366766854918971E-2</v>
      </c>
      <c r="Y602" s="14"/>
      <c r="Z602" s="14"/>
      <c r="AA602" s="14"/>
      <c r="AB602" s="16">
        <v>1</v>
      </c>
      <c r="AC602" s="16">
        <v>0</v>
      </c>
      <c r="AD602" s="16">
        <v>1</v>
      </c>
    </row>
    <row r="603" spans="1:30" x14ac:dyDescent="0.3">
      <c r="A603" s="8">
        <v>45471</v>
      </c>
      <c r="B603" s="9">
        <v>8.5597187000000005E-2</v>
      </c>
      <c r="C603" s="9">
        <v>2.3322091E-2</v>
      </c>
      <c r="D603" s="9">
        <v>0.126385096</v>
      </c>
      <c r="E603" s="9">
        <v>4.5287342000000001E-2</v>
      </c>
      <c r="F603" s="10">
        <v>9.8519222000000004E-2</v>
      </c>
      <c r="G603" s="10">
        <v>3.0041399999999999E-2</v>
      </c>
      <c r="H603" s="10">
        <v>0.159092279</v>
      </c>
      <c r="I603" s="10">
        <v>6.6111408999999996E-2</v>
      </c>
      <c r="J603" s="11">
        <v>2.6143954E-2</v>
      </c>
      <c r="K603" s="11">
        <v>3.7594964000000002E-2</v>
      </c>
      <c r="L603" s="11">
        <v>4.7066806000000003E-2</v>
      </c>
      <c r="M603" s="11">
        <v>4.0082913999999997E-2</v>
      </c>
      <c r="N603" s="12">
        <v>4.7815495999999999E-2</v>
      </c>
      <c r="O603" s="12">
        <v>3.8665863000000002E-2</v>
      </c>
      <c r="P603" s="12">
        <v>9.1813906000000001E-2</v>
      </c>
      <c r="Q603" s="12">
        <v>5.0562179999999998E-2</v>
      </c>
      <c r="R603" s="13">
        <v>9.2921664000000001E-2</v>
      </c>
      <c r="S603" s="13">
        <v>3.3641520000000001E-2</v>
      </c>
      <c r="T603" s="13">
        <v>7.7089251999999997E-2</v>
      </c>
      <c r="U603" s="13">
        <v>4.3517805E-2</v>
      </c>
      <c r="V603" s="15">
        <v>0.92698304950892541</v>
      </c>
      <c r="W603" s="15">
        <v>0.20774657643729386</v>
      </c>
      <c r="X603" s="15">
        <v>0</v>
      </c>
      <c r="Y603" s="14"/>
      <c r="Z603" s="14"/>
      <c r="AA603" s="14"/>
      <c r="AB603" s="16">
        <v>1</v>
      </c>
      <c r="AC603" s="16">
        <v>0</v>
      </c>
      <c r="AD603" s="16">
        <v>1</v>
      </c>
    </row>
    <row r="604" spans="1:30" x14ac:dyDescent="0.3">
      <c r="A604" s="8">
        <v>45474</v>
      </c>
      <c r="B604" s="9">
        <v>8.6950705000000003E-2</v>
      </c>
      <c r="C604" s="9">
        <v>3.9075672999999998E-2</v>
      </c>
      <c r="D604" s="9">
        <v>9.6980701000000002E-2</v>
      </c>
      <c r="E604" s="9">
        <v>4.8933465000000002E-2</v>
      </c>
      <c r="F604" s="10">
        <v>8.5597187000000005E-2</v>
      </c>
      <c r="G604" s="10">
        <v>2.3322091E-2</v>
      </c>
      <c r="H604" s="10">
        <v>0.126385096</v>
      </c>
      <c r="I604" s="10">
        <v>4.5287342000000001E-2</v>
      </c>
      <c r="J604" s="11">
        <v>9.8519222000000004E-2</v>
      </c>
      <c r="K604" s="11">
        <v>3.0041399999999999E-2</v>
      </c>
      <c r="L604" s="11">
        <v>0.159092279</v>
      </c>
      <c r="M604" s="11">
        <v>6.6111408999999996E-2</v>
      </c>
      <c r="N604" s="12">
        <v>2.6143954E-2</v>
      </c>
      <c r="O604" s="12">
        <v>3.7594964000000002E-2</v>
      </c>
      <c r="P604" s="12">
        <v>4.7066806000000003E-2</v>
      </c>
      <c r="Q604" s="12">
        <v>4.0082913999999997E-2</v>
      </c>
      <c r="R604" s="13">
        <v>4.7815495999999999E-2</v>
      </c>
      <c r="S604" s="13">
        <v>3.8665863000000002E-2</v>
      </c>
      <c r="T604" s="13">
        <v>9.1813906000000001E-2</v>
      </c>
      <c r="U604" s="13">
        <v>5.0562179999999998E-2</v>
      </c>
      <c r="V604" s="15">
        <v>0.89252011189078828</v>
      </c>
      <c r="W604" s="15">
        <v>0.20625495072591699</v>
      </c>
      <c r="X604" s="15">
        <v>2.9091806775042232E-3</v>
      </c>
      <c r="Y604" s="14"/>
      <c r="Z604" s="14"/>
      <c r="AA604" s="14"/>
      <c r="AB604" s="16">
        <v>1</v>
      </c>
      <c r="AC604" s="16">
        <v>0</v>
      </c>
      <c r="AD604" s="16">
        <v>1</v>
      </c>
    </row>
    <row r="605" spans="1:30" x14ac:dyDescent="0.3">
      <c r="A605" s="8">
        <v>45475</v>
      </c>
      <c r="B605" s="9">
        <v>8.0376076000000005E-2</v>
      </c>
      <c r="C605" s="9">
        <v>3.8047420999999998E-2</v>
      </c>
      <c r="D605" s="9">
        <v>8.8546289E-2</v>
      </c>
      <c r="E605" s="9">
        <v>6.5125664999999999E-2</v>
      </c>
      <c r="F605" s="10">
        <v>8.6950705000000003E-2</v>
      </c>
      <c r="G605" s="10">
        <v>3.9075672999999998E-2</v>
      </c>
      <c r="H605" s="10">
        <v>9.6980701000000002E-2</v>
      </c>
      <c r="I605" s="10">
        <v>4.8933465000000002E-2</v>
      </c>
      <c r="J605" s="11">
        <v>8.5597187000000005E-2</v>
      </c>
      <c r="K605" s="11">
        <v>2.3322091E-2</v>
      </c>
      <c r="L605" s="11">
        <v>0.126385096</v>
      </c>
      <c r="M605" s="11">
        <v>4.5287342000000001E-2</v>
      </c>
      <c r="N605" s="12">
        <v>9.8519222000000004E-2</v>
      </c>
      <c r="O605" s="12">
        <v>3.0041399999999999E-2</v>
      </c>
      <c r="P605" s="12">
        <v>0.159092279</v>
      </c>
      <c r="Q605" s="12">
        <v>6.6111408999999996E-2</v>
      </c>
      <c r="R605" s="13">
        <v>2.6143954E-2</v>
      </c>
      <c r="S605" s="13">
        <v>3.7594964000000002E-2</v>
      </c>
      <c r="T605" s="13">
        <v>4.7066806000000003E-2</v>
      </c>
      <c r="U605" s="13">
        <v>4.0082913999999997E-2</v>
      </c>
      <c r="V605" s="15">
        <v>0.89252011189078828</v>
      </c>
      <c r="W605" s="15">
        <v>0.20664924941138132</v>
      </c>
      <c r="X605" s="15">
        <v>2.371751954858042E-2</v>
      </c>
      <c r="Y605" s="14"/>
      <c r="Z605" s="14"/>
      <c r="AA605" s="14"/>
      <c r="AB605" s="16">
        <v>1</v>
      </c>
      <c r="AC605" s="16">
        <v>0</v>
      </c>
      <c r="AD605" s="16">
        <v>1</v>
      </c>
    </row>
    <row r="606" spans="1:30" x14ac:dyDescent="0.3">
      <c r="A606" s="8">
        <v>45476</v>
      </c>
      <c r="B606" s="9">
        <v>2.3225138999999999E-2</v>
      </c>
      <c r="C606" s="9">
        <v>3.8930855E-2</v>
      </c>
      <c r="D606" s="9">
        <v>6.7805791000000004E-2</v>
      </c>
      <c r="E606" s="9">
        <v>5.0697103E-2</v>
      </c>
      <c r="F606" s="10">
        <v>8.0376076000000005E-2</v>
      </c>
      <c r="G606" s="10">
        <v>3.8047420999999998E-2</v>
      </c>
      <c r="H606" s="10">
        <v>8.8546289E-2</v>
      </c>
      <c r="I606" s="10">
        <v>6.5125664999999999E-2</v>
      </c>
      <c r="J606" s="11">
        <v>8.6950705000000003E-2</v>
      </c>
      <c r="K606" s="11">
        <v>3.9075672999999998E-2</v>
      </c>
      <c r="L606" s="11">
        <v>9.6980701000000002E-2</v>
      </c>
      <c r="M606" s="11">
        <v>4.8933465000000002E-2</v>
      </c>
      <c r="N606" s="12">
        <v>8.5597187000000005E-2</v>
      </c>
      <c r="O606" s="12">
        <v>2.3322091E-2</v>
      </c>
      <c r="P606" s="12">
        <v>0.126385096</v>
      </c>
      <c r="Q606" s="12">
        <v>4.5287342000000001E-2</v>
      </c>
      <c r="R606" s="13">
        <v>9.8519222000000004E-2</v>
      </c>
      <c r="S606" s="13">
        <v>3.0041399999999999E-2</v>
      </c>
      <c r="T606" s="13">
        <v>0.159092279</v>
      </c>
      <c r="U606" s="13">
        <v>6.6111408999999996E-2</v>
      </c>
      <c r="V606" s="15">
        <v>0.92698304950892541</v>
      </c>
      <c r="W606" s="15">
        <v>0.2083945757974231</v>
      </c>
      <c r="X606" s="15">
        <v>0</v>
      </c>
      <c r="Y606" s="14"/>
      <c r="Z606" s="14"/>
      <c r="AA606" s="14"/>
      <c r="AB606" s="16">
        <v>1</v>
      </c>
      <c r="AC606" s="16">
        <v>0</v>
      </c>
      <c r="AD606" s="16">
        <v>1</v>
      </c>
    </row>
    <row r="607" spans="1:30" x14ac:dyDescent="0.3">
      <c r="A607" s="8">
        <v>45477</v>
      </c>
      <c r="B607" s="9">
        <v>0.105192168</v>
      </c>
      <c r="C607" s="9">
        <v>4.1584287999999997E-2</v>
      </c>
      <c r="D607" s="9">
        <v>0.16080770899999999</v>
      </c>
      <c r="E607" s="9">
        <v>7.0436355000000006E-2</v>
      </c>
      <c r="F607" s="10">
        <v>2.3225138999999999E-2</v>
      </c>
      <c r="G607" s="10">
        <v>3.8930855E-2</v>
      </c>
      <c r="H607" s="10">
        <v>6.7805791000000004E-2</v>
      </c>
      <c r="I607" s="10">
        <v>5.0697103E-2</v>
      </c>
      <c r="J607" s="11">
        <v>8.0376076000000005E-2</v>
      </c>
      <c r="K607" s="11">
        <v>3.8047420999999998E-2</v>
      </c>
      <c r="L607" s="11">
        <v>8.8546289E-2</v>
      </c>
      <c r="M607" s="11">
        <v>6.5125664999999999E-2</v>
      </c>
      <c r="N607" s="12">
        <v>8.6950705000000003E-2</v>
      </c>
      <c r="O607" s="12">
        <v>3.9075672999999998E-2</v>
      </c>
      <c r="P607" s="12">
        <v>9.6980701000000002E-2</v>
      </c>
      <c r="Q607" s="12">
        <v>4.8933465000000002E-2</v>
      </c>
      <c r="R607" s="13">
        <v>8.5597187000000005E-2</v>
      </c>
      <c r="S607" s="13">
        <v>2.3322091E-2</v>
      </c>
      <c r="T607" s="13">
        <v>0.126385096</v>
      </c>
      <c r="U607" s="13">
        <v>4.5287342000000001E-2</v>
      </c>
      <c r="V607" s="15">
        <v>0.92698304950892541</v>
      </c>
      <c r="W607" s="15">
        <v>0.20691627392125028</v>
      </c>
      <c r="X607" s="15">
        <v>0</v>
      </c>
      <c r="Y607" s="15">
        <v>0.45416240661896373</v>
      </c>
      <c r="Z607" s="15">
        <v>0.17654822607154802</v>
      </c>
      <c r="AA607" s="15">
        <v>0</v>
      </c>
      <c r="AB607" s="16">
        <v>1</v>
      </c>
      <c r="AC607" s="16">
        <v>0</v>
      </c>
      <c r="AD607" s="16">
        <v>1</v>
      </c>
    </row>
    <row r="608" spans="1:30" x14ac:dyDescent="0.3">
      <c r="A608" s="8">
        <v>45478</v>
      </c>
      <c r="B608" s="9">
        <v>0.115430199</v>
      </c>
      <c r="C608" s="9">
        <v>3.3112299999999997E-2</v>
      </c>
      <c r="D608" s="9">
        <v>0.12604605399999999</v>
      </c>
      <c r="E608" s="9">
        <v>4.4768557E-2</v>
      </c>
      <c r="F608" s="10">
        <v>0.105192168</v>
      </c>
      <c r="G608" s="10">
        <v>4.1584287999999997E-2</v>
      </c>
      <c r="H608" s="10">
        <v>0.16080770899999999</v>
      </c>
      <c r="I608" s="10">
        <v>7.0436355000000006E-2</v>
      </c>
      <c r="J608" s="11">
        <v>2.3225138999999999E-2</v>
      </c>
      <c r="K608" s="11">
        <v>3.8930855E-2</v>
      </c>
      <c r="L608" s="11">
        <v>6.7805791000000004E-2</v>
      </c>
      <c r="M608" s="11">
        <v>5.0697103E-2</v>
      </c>
      <c r="N608" s="12">
        <v>8.0376076000000005E-2</v>
      </c>
      <c r="O608" s="12">
        <v>3.8047420999999998E-2</v>
      </c>
      <c r="P608" s="12">
        <v>8.8546289E-2</v>
      </c>
      <c r="Q608" s="12">
        <v>6.5125664999999999E-2</v>
      </c>
      <c r="R608" s="13">
        <v>8.6950705000000003E-2</v>
      </c>
      <c r="S608" s="13">
        <v>3.9075672999999998E-2</v>
      </c>
      <c r="T608" s="13">
        <v>9.6980701000000002E-2</v>
      </c>
      <c r="U608" s="13">
        <v>4.8933465000000002E-2</v>
      </c>
      <c r="V608" s="15">
        <v>0.92698304950892541</v>
      </c>
      <c r="W608" s="15">
        <v>0.20673307536649899</v>
      </c>
      <c r="X608" s="15">
        <v>1.3423091043242613E-3</v>
      </c>
      <c r="Y608" s="15">
        <v>0.52896036525002266</v>
      </c>
      <c r="Z608" s="15">
        <v>0.17352623883370863</v>
      </c>
      <c r="AA608" s="15">
        <v>1.0065134140216311E-3</v>
      </c>
      <c r="AB608" s="16">
        <v>1</v>
      </c>
      <c r="AC608" s="16">
        <v>0</v>
      </c>
      <c r="AD608" s="16">
        <v>1</v>
      </c>
    </row>
    <row r="609" spans="1:30" x14ac:dyDescent="0.3">
      <c r="A609" s="8">
        <v>45481</v>
      </c>
      <c r="B609" s="9">
        <v>7.9827845999999994E-2</v>
      </c>
      <c r="C609" s="9">
        <v>7.0218926000000001E-2</v>
      </c>
      <c r="D609" s="9">
        <v>0.14168579100000001</v>
      </c>
      <c r="E609" s="9">
        <v>5.3719446999999997E-2</v>
      </c>
      <c r="F609" s="10">
        <v>0.115430199</v>
      </c>
      <c r="G609" s="10">
        <v>3.3112299999999997E-2</v>
      </c>
      <c r="H609" s="10">
        <v>0.12604605399999999</v>
      </c>
      <c r="I609" s="10">
        <v>4.4768557E-2</v>
      </c>
      <c r="J609" s="11">
        <v>0.105192168</v>
      </c>
      <c r="K609" s="11">
        <v>4.1584287999999997E-2</v>
      </c>
      <c r="L609" s="11">
        <v>0.16080770899999999</v>
      </c>
      <c r="M609" s="11">
        <v>7.0436355000000006E-2</v>
      </c>
      <c r="N609" s="12">
        <v>2.3225138999999999E-2</v>
      </c>
      <c r="O609" s="12">
        <v>3.8930855E-2</v>
      </c>
      <c r="P609" s="12">
        <v>6.7805791000000004E-2</v>
      </c>
      <c r="Q609" s="12">
        <v>5.0697103E-2</v>
      </c>
      <c r="R609" s="13">
        <v>8.0376076000000005E-2</v>
      </c>
      <c r="S609" s="13">
        <v>3.8047420999999998E-2</v>
      </c>
      <c r="T609" s="13">
        <v>8.8546289E-2</v>
      </c>
      <c r="U609" s="13">
        <v>6.5125664999999999E-2</v>
      </c>
      <c r="V609" s="15">
        <v>0.96766741780328436</v>
      </c>
      <c r="W609" s="15">
        <v>0.20713252313110495</v>
      </c>
      <c r="X609" s="15">
        <v>0</v>
      </c>
      <c r="Y609" s="15">
        <v>0.61701505381163568</v>
      </c>
      <c r="Z609" s="15">
        <v>0.17376003783852961</v>
      </c>
      <c r="AA609" s="15">
        <v>0</v>
      </c>
      <c r="AB609" s="16">
        <v>0</v>
      </c>
      <c r="AC609" s="16">
        <v>0</v>
      </c>
      <c r="AD609" s="16">
        <v>0</v>
      </c>
    </row>
    <row r="610" spans="1:30" x14ac:dyDescent="0.3">
      <c r="A610" s="8">
        <v>45482</v>
      </c>
      <c r="B610" s="9">
        <v>9.6675879000000006E-2</v>
      </c>
      <c r="C610" s="9">
        <v>6.3122709999999999E-2</v>
      </c>
      <c r="D610" s="9">
        <v>0.12811720500000001</v>
      </c>
      <c r="E610" s="9">
        <v>0.113797732</v>
      </c>
      <c r="F610" s="10">
        <v>7.9827845999999994E-2</v>
      </c>
      <c r="G610" s="10">
        <v>7.0218926000000001E-2</v>
      </c>
      <c r="H610" s="10">
        <v>0.14168579100000001</v>
      </c>
      <c r="I610" s="10">
        <v>5.3719446999999997E-2</v>
      </c>
      <c r="J610" s="11">
        <v>0.115430199</v>
      </c>
      <c r="K610" s="11">
        <v>3.3112299999999997E-2</v>
      </c>
      <c r="L610" s="11">
        <v>0.12604605399999999</v>
      </c>
      <c r="M610" s="11">
        <v>4.4768557E-2</v>
      </c>
      <c r="N610" s="12">
        <v>0.105192168</v>
      </c>
      <c r="O610" s="12">
        <v>4.1584287999999997E-2</v>
      </c>
      <c r="P610" s="12">
        <v>0.16080770899999999</v>
      </c>
      <c r="Q610" s="12">
        <v>7.0436355000000006E-2</v>
      </c>
      <c r="R610" s="13">
        <v>2.3225138999999999E-2</v>
      </c>
      <c r="S610" s="13">
        <v>3.8930855E-2</v>
      </c>
      <c r="T610" s="13">
        <v>6.7805791000000004E-2</v>
      </c>
      <c r="U610" s="13">
        <v>5.0697103E-2</v>
      </c>
      <c r="V610" s="15">
        <v>0.96766741780328436</v>
      </c>
      <c r="W610" s="15">
        <v>0.2070252695211123</v>
      </c>
      <c r="X610" s="15">
        <v>3.0598232805232415E-3</v>
      </c>
      <c r="Y610" s="15">
        <v>0.61701505381163568</v>
      </c>
      <c r="Z610" s="15">
        <v>0.17364195147923747</v>
      </c>
      <c r="AA610" s="15">
        <v>2.0893906034525392E-3</v>
      </c>
      <c r="AB610" s="16">
        <v>0</v>
      </c>
      <c r="AC610" s="16">
        <v>0</v>
      </c>
      <c r="AD610" s="16">
        <v>0</v>
      </c>
    </row>
    <row r="611" spans="1:30" x14ac:dyDescent="0.3">
      <c r="A611" s="8">
        <v>45483</v>
      </c>
      <c r="B611" s="9">
        <v>3.0483171999999999E-2</v>
      </c>
      <c r="C611" s="9">
        <v>5.8266842999999999E-2</v>
      </c>
      <c r="D611" s="9">
        <v>0.10265666900000001</v>
      </c>
      <c r="E611" s="9">
        <v>8.4842235000000002E-2</v>
      </c>
      <c r="F611" s="10">
        <v>9.6675879000000006E-2</v>
      </c>
      <c r="G611" s="10">
        <v>6.3122709999999999E-2</v>
      </c>
      <c r="H611" s="10">
        <v>0.12811720500000001</v>
      </c>
      <c r="I611" s="10">
        <v>0.113797732</v>
      </c>
      <c r="J611" s="11">
        <v>7.9827845999999994E-2</v>
      </c>
      <c r="K611" s="11">
        <v>7.0218926000000001E-2</v>
      </c>
      <c r="L611" s="11">
        <v>0.14168579100000001</v>
      </c>
      <c r="M611" s="11">
        <v>5.3719446999999997E-2</v>
      </c>
      <c r="N611" s="12">
        <v>0.115430199</v>
      </c>
      <c r="O611" s="12">
        <v>3.3112299999999997E-2</v>
      </c>
      <c r="P611" s="12">
        <v>0.12604605399999999</v>
      </c>
      <c r="Q611" s="12">
        <v>4.4768557E-2</v>
      </c>
      <c r="R611" s="13">
        <v>0.105192168</v>
      </c>
      <c r="S611" s="13">
        <v>4.1584287999999997E-2</v>
      </c>
      <c r="T611" s="13">
        <v>0.16080770899999999</v>
      </c>
      <c r="U611" s="13">
        <v>7.0436355000000006E-2</v>
      </c>
      <c r="V611" s="15">
        <v>1.0722052232362278</v>
      </c>
      <c r="W611" s="15">
        <v>0.20550603890797869</v>
      </c>
      <c r="X611" s="15">
        <v>0</v>
      </c>
      <c r="Y611" s="15">
        <v>0.76677487762724683</v>
      </c>
      <c r="Z611" s="15">
        <v>0.17368910882265753</v>
      </c>
      <c r="AA611" s="15">
        <v>0</v>
      </c>
      <c r="AB611" s="16">
        <v>0</v>
      </c>
      <c r="AC611" s="16">
        <v>0</v>
      </c>
      <c r="AD611" s="16">
        <v>0</v>
      </c>
    </row>
    <row r="612" spans="1:30" x14ac:dyDescent="0.3">
      <c r="A612" s="8">
        <v>45484</v>
      </c>
      <c r="B612" s="9">
        <v>0.16842484699999999</v>
      </c>
      <c r="C612" s="9">
        <v>7.9208102000000002E-2</v>
      </c>
      <c r="D612" s="9">
        <v>0.310754172</v>
      </c>
      <c r="E612" s="9">
        <v>0.193076846</v>
      </c>
      <c r="F612" s="10">
        <v>3.0483171999999999E-2</v>
      </c>
      <c r="G612" s="10">
        <v>5.8266842999999999E-2</v>
      </c>
      <c r="H612" s="10">
        <v>0.10265666900000001</v>
      </c>
      <c r="I612" s="10">
        <v>8.4842235000000002E-2</v>
      </c>
      <c r="J612" s="11">
        <v>9.6675879000000006E-2</v>
      </c>
      <c r="K612" s="11">
        <v>6.3122709999999999E-2</v>
      </c>
      <c r="L612" s="11">
        <v>0.12811720500000001</v>
      </c>
      <c r="M612" s="11">
        <v>0.113797732</v>
      </c>
      <c r="N612" s="12">
        <v>7.9827845999999994E-2</v>
      </c>
      <c r="O612" s="12">
        <v>7.0218926000000001E-2</v>
      </c>
      <c r="P612" s="12">
        <v>0.14168579100000001</v>
      </c>
      <c r="Q612" s="12">
        <v>5.3719446999999997E-2</v>
      </c>
      <c r="R612" s="13">
        <v>0.115430199</v>
      </c>
      <c r="S612" s="13">
        <v>3.3112299999999997E-2</v>
      </c>
      <c r="T612" s="13">
        <v>0.12604605399999999</v>
      </c>
      <c r="U612" s="13">
        <v>4.4768557E-2</v>
      </c>
      <c r="V612" s="15">
        <v>1.2436425936166</v>
      </c>
      <c r="W612" s="15">
        <v>0.19434925032132885</v>
      </c>
      <c r="X612" s="15">
        <v>0</v>
      </c>
      <c r="Y612" s="15">
        <v>0.83442272498241676</v>
      </c>
      <c r="Z612" s="15">
        <v>0.1751534250209634</v>
      </c>
      <c r="AA612" s="15">
        <v>0</v>
      </c>
      <c r="AB612" s="16">
        <v>0</v>
      </c>
      <c r="AC612" s="16">
        <v>1</v>
      </c>
      <c r="AD612" s="16">
        <v>1</v>
      </c>
    </row>
    <row r="613" spans="1:30" x14ac:dyDescent="0.3">
      <c r="A613" s="8">
        <v>45485</v>
      </c>
      <c r="B613" s="9">
        <v>0.246567341</v>
      </c>
      <c r="C613" s="9">
        <v>7.7472716999999997E-2</v>
      </c>
      <c r="D613" s="9">
        <v>0.225148133</v>
      </c>
      <c r="E613" s="9">
        <v>0.11211681799999999</v>
      </c>
      <c r="F613" s="10">
        <v>0.16842484699999999</v>
      </c>
      <c r="G613" s="10">
        <v>7.9208102000000002E-2</v>
      </c>
      <c r="H613" s="10">
        <v>0.310754172</v>
      </c>
      <c r="I613" s="10">
        <v>0.193076846</v>
      </c>
      <c r="J613" s="11">
        <v>3.0483171999999999E-2</v>
      </c>
      <c r="K613" s="11">
        <v>5.8266842999999999E-2</v>
      </c>
      <c r="L613" s="11">
        <v>0.10265666900000001</v>
      </c>
      <c r="M613" s="11">
        <v>8.4842235000000002E-2</v>
      </c>
      <c r="N613" s="12">
        <v>9.6675879000000006E-2</v>
      </c>
      <c r="O613" s="12">
        <v>6.3122709999999999E-2</v>
      </c>
      <c r="P613" s="12">
        <v>0.12811720500000001</v>
      </c>
      <c r="Q613" s="12">
        <v>0.113797732</v>
      </c>
      <c r="R613" s="13">
        <v>7.9827845999999994E-2</v>
      </c>
      <c r="S613" s="13">
        <v>7.0218926000000001E-2</v>
      </c>
      <c r="T613" s="13">
        <v>0.14168579100000001</v>
      </c>
      <c r="U613" s="13">
        <v>5.3719446999999997E-2</v>
      </c>
      <c r="V613" s="15">
        <v>1.0722052232362278</v>
      </c>
      <c r="W613" s="15">
        <v>0.19966663446125793</v>
      </c>
      <c r="X613" s="15">
        <v>5.4473880552650109E-2</v>
      </c>
      <c r="Y613" s="15">
        <v>0.83442272498241676</v>
      </c>
      <c r="Z613" s="15">
        <v>0.17893960922846897</v>
      </c>
      <c r="AA613" s="15">
        <v>3.7925812645352802E-2</v>
      </c>
      <c r="AB613" s="16">
        <v>0</v>
      </c>
      <c r="AC613" s="16">
        <v>1</v>
      </c>
      <c r="AD613" s="16">
        <v>1</v>
      </c>
    </row>
    <row r="614" spans="1:30" x14ac:dyDescent="0.3">
      <c r="A614" s="8">
        <v>45488</v>
      </c>
      <c r="B614" s="9">
        <v>0.33027124000000002</v>
      </c>
      <c r="C614" s="9">
        <v>0.133384277</v>
      </c>
      <c r="D614" s="9">
        <v>0.29298113599999998</v>
      </c>
      <c r="E614" s="9">
        <v>0.13159816999999999</v>
      </c>
      <c r="F614" s="10">
        <v>0.246567341</v>
      </c>
      <c r="G614" s="10">
        <v>7.7472716999999997E-2</v>
      </c>
      <c r="H614" s="10">
        <v>0.225148133</v>
      </c>
      <c r="I614" s="10">
        <v>0.11211681799999999</v>
      </c>
      <c r="J614" s="11">
        <v>0.16842484699999999</v>
      </c>
      <c r="K614" s="11">
        <v>7.9208102000000002E-2</v>
      </c>
      <c r="L614" s="11">
        <v>0.310754172</v>
      </c>
      <c r="M614" s="11">
        <v>0.193076846</v>
      </c>
      <c r="N614" s="12">
        <v>3.0483171999999999E-2</v>
      </c>
      <c r="O614" s="12">
        <v>5.8266842999999999E-2</v>
      </c>
      <c r="P614" s="12">
        <v>0.10265666900000001</v>
      </c>
      <c r="Q614" s="12">
        <v>8.4842235000000002E-2</v>
      </c>
      <c r="R614" s="13">
        <v>9.6675879000000006E-2</v>
      </c>
      <c r="S614" s="13">
        <v>6.3122709999999999E-2</v>
      </c>
      <c r="T614" s="13">
        <v>0.12811720500000001</v>
      </c>
      <c r="U614" s="13">
        <v>0.113797732</v>
      </c>
      <c r="V614" s="15">
        <v>0.96766741780328436</v>
      </c>
      <c r="W614" s="15">
        <v>0.19978676872187059</v>
      </c>
      <c r="X614" s="15">
        <v>8.1845894265979383E-3</v>
      </c>
      <c r="Y614" s="15">
        <v>0.76677487762724683</v>
      </c>
      <c r="Z614" s="15">
        <v>0.17896890444266114</v>
      </c>
      <c r="AA614" s="15">
        <v>5.2674563880054943E-3</v>
      </c>
      <c r="AB614" s="16">
        <v>0</v>
      </c>
      <c r="AC614" s="16">
        <v>1</v>
      </c>
      <c r="AD614" s="16">
        <v>1</v>
      </c>
    </row>
    <row r="615" spans="1:30" x14ac:dyDescent="0.3">
      <c r="A615" s="8">
        <v>45489</v>
      </c>
      <c r="B615" s="9">
        <v>0.28024129199999998</v>
      </c>
      <c r="C615" s="9">
        <v>0.14604470999999999</v>
      </c>
      <c r="D615" s="9">
        <v>0.31785735700000001</v>
      </c>
      <c r="E615" s="9">
        <v>0.152554408</v>
      </c>
      <c r="F615" s="10">
        <v>0.33027124000000002</v>
      </c>
      <c r="G615" s="10">
        <v>0.133384277</v>
      </c>
      <c r="H615" s="10">
        <v>0.29298113599999998</v>
      </c>
      <c r="I615" s="10">
        <v>0.13159816999999999</v>
      </c>
      <c r="J615" s="11">
        <v>0.246567341</v>
      </c>
      <c r="K615" s="11">
        <v>7.7472716999999997E-2</v>
      </c>
      <c r="L615" s="11">
        <v>0.225148133</v>
      </c>
      <c r="M615" s="11">
        <v>0.11211681799999999</v>
      </c>
      <c r="N615" s="12">
        <v>0.16842484699999999</v>
      </c>
      <c r="O615" s="12">
        <v>7.9208102000000002E-2</v>
      </c>
      <c r="P615" s="12">
        <v>0.310754172</v>
      </c>
      <c r="Q615" s="12">
        <v>0.193076846</v>
      </c>
      <c r="R615" s="13">
        <v>3.0483171999999999E-2</v>
      </c>
      <c r="S615" s="13">
        <v>5.8266842999999999E-2</v>
      </c>
      <c r="T615" s="13">
        <v>0.10265666900000001</v>
      </c>
      <c r="U615" s="13">
        <v>8.4842235000000002E-2</v>
      </c>
      <c r="V615" s="15">
        <v>1.0722052232362278</v>
      </c>
      <c r="W615" s="15">
        <v>0.17091170172728698</v>
      </c>
      <c r="X615" s="15">
        <v>0</v>
      </c>
      <c r="Y615" s="15">
        <v>0.83442272498241676</v>
      </c>
      <c r="Z615" s="15">
        <v>0.17889858216234961</v>
      </c>
      <c r="AA615" s="15">
        <v>0</v>
      </c>
      <c r="AB615" s="16">
        <v>0</v>
      </c>
      <c r="AC615" s="16">
        <v>1</v>
      </c>
      <c r="AD615" s="16">
        <v>1</v>
      </c>
    </row>
    <row r="616" spans="1:30" x14ac:dyDescent="0.3">
      <c r="A616" s="8">
        <v>45490</v>
      </c>
      <c r="B616" s="9">
        <v>3.7166560000000001E-2</v>
      </c>
      <c r="C616" s="9">
        <v>3.3885666000000002E-2</v>
      </c>
      <c r="D616" s="9">
        <v>2.7769495000000002E-2</v>
      </c>
      <c r="E616" s="9">
        <v>3.2583621E-2</v>
      </c>
      <c r="F616" s="10">
        <v>0.28024129199999998</v>
      </c>
      <c r="G616" s="10">
        <v>0.14604470999999999</v>
      </c>
      <c r="H616" s="10">
        <v>0.31785735700000001</v>
      </c>
      <c r="I616" s="10">
        <v>0.152554408</v>
      </c>
      <c r="J616" s="11">
        <v>0.33027124000000002</v>
      </c>
      <c r="K616" s="11">
        <v>0.133384277</v>
      </c>
      <c r="L616" s="11">
        <v>0.29298113599999998</v>
      </c>
      <c r="M616" s="11">
        <v>0.13159816999999999</v>
      </c>
      <c r="N616" s="12">
        <v>0.246567341</v>
      </c>
      <c r="O616" s="12">
        <v>7.7472716999999997E-2</v>
      </c>
      <c r="P616" s="12">
        <v>0.225148133</v>
      </c>
      <c r="Q616" s="12">
        <v>0.11211681799999999</v>
      </c>
      <c r="R616" s="13">
        <v>0.16842484699999999</v>
      </c>
      <c r="S616" s="13">
        <v>7.9208102000000002E-2</v>
      </c>
      <c r="T616" s="13">
        <v>0.310754172</v>
      </c>
      <c r="U616" s="13">
        <v>0.193076846</v>
      </c>
      <c r="V616" s="15">
        <v>1.0722052232362278</v>
      </c>
      <c r="W616" s="15">
        <v>0.17300686315303679</v>
      </c>
      <c r="X616" s="15">
        <v>3.0983061549538272E-2</v>
      </c>
      <c r="Y616" s="15">
        <v>0.83442272498241676</v>
      </c>
      <c r="Z616" s="15">
        <v>0.1800491636667492</v>
      </c>
      <c r="AA616" s="15">
        <v>2.0235985365812427E-2</v>
      </c>
      <c r="AB616" s="16">
        <v>0</v>
      </c>
      <c r="AC616" s="16">
        <v>1</v>
      </c>
      <c r="AD616" s="16">
        <v>1</v>
      </c>
    </row>
    <row r="617" spans="1:30" x14ac:dyDescent="0.3">
      <c r="A617" s="8">
        <v>45491</v>
      </c>
      <c r="B617" s="9">
        <v>0.12167866099999999</v>
      </c>
      <c r="C617" s="9">
        <v>4.8289339000000001E-2</v>
      </c>
      <c r="D617" s="9">
        <v>0.115123921</v>
      </c>
      <c r="E617" s="9">
        <v>3.0060824E-2</v>
      </c>
      <c r="F617" s="10">
        <v>3.7166560000000001E-2</v>
      </c>
      <c r="G617" s="10">
        <v>3.3885666000000002E-2</v>
      </c>
      <c r="H617" s="10">
        <v>2.7769495000000002E-2</v>
      </c>
      <c r="I617" s="10">
        <v>3.2583621E-2</v>
      </c>
      <c r="J617" s="11">
        <v>0.28024129199999998</v>
      </c>
      <c r="K617" s="11">
        <v>0.14604470999999999</v>
      </c>
      <c r="L617" s="11">
        <v>0.31785735700000001</v>
      </c>
      <c r="M617" s="11">
        <v>0.152554408</v>
      </c>
      <c r="N617" s="12">
        <v>0.33027124000000002</v>
      </c>
      <c r="O617" s="12">
        <v>0.133384277</v>
      </c>
      <c r="P617" s="12">
        <v>0.29298113599999998</v>
      </c>
      <c r="Q617" s="12">
        <v>0.13159816999999999</v>
      </c>
      <c r="R617" s="13">
        <v>0.246567341</v>
      </c>
      <c r="S617" s="13">
        <v>7.7472716999999997E-2</v>
      </c>
      <c r="T617" s="13">
        <v>0.225148133</v>
      </c>
      <c r="U617" s="13">
        <v>0.11211681799999999</v>
      </c>
      <c r="V617" s="15">
        <v>0.96766741780328436</v>
      </c>
      <c r="W617" s="15">
        <v>0.17826494469298315</v>
      </c>
      <c r="X617" s="15">
        <v>4.5289442732038401E-2</v>
      </c>
      <c r="Y617" s="15">
        <v>0.83442272498241676</v>
      </c>
      <c r="Z617" s="15">
        <v>0.18118923438162671</v>
      </c>
      <c r="AA617" s="15">
        <v>3.1027792042153154E-2</v>
      </c>
      <c r="AB617" s="16">
        <v>0</v>
      </c>
      <c r="AC617" s="16">
        <v>1</v>
      </c>
      <c r="AD617" s="16">
        <v>1</v>
      </c>
    </row>
    <row r="618" spans="1:30" x14ac:dyDescent="0.3">
      <c r="A618" s="8">
        <v>45492</v>
      </c>
      <c r="B618" s="9">
        <v>0.125289558</v>
      </c>
      <c r="C618" s="9">
        <v>4.4360204E-2</v>
      </c>
      <c r="D618" s="9">
        <v>8.4156304000000001E-2</v>
      </c>
      <c r="E618" s="9">
        <v>5.0089938000000001E-2</v>
      </c>
      <c r="F618" s="10">
        <v>0.12167866099999999</v>
      </c>
      <c r="G618" s="10">
        <v>4.8289339000000001E-2</v>
      </c>
      <c r="H618" s="10">
        <v>0.115123921</v>
      </c>
      <c r="I618" s="10">
        <v>3.0060824E-2</v>
      </c>
      <c r="J618" s="11">
        <v>3.7166560000000001E-2</v>
      </c>
      <c r="K618" s="11">
        <v>3.3885666000000002E-2</v>
      </c>
      <c r="L618" s="11">
        <v>2.7769495000000002E-2</v>
      </c>
      <c r="M618" s="11">
        <v>3.2583621E-2</v>
      </c>
      <c r="N618" s="12">
        <v>0.28024129199999998</v>
      </c>
      <c r="O618" s="12">
        <v>0.14604470999999999</v>
      </c>
      <c r="P618" s="12">
        <v>0.31785735700000001</v>
      </c>
      <c r="Q618" s="12">
        <v>0.152554408</v>
      </c>
      <c r="R618" s="13">
        <v>0.33027124000000002</v>
      </c>
      <c r="S618" s="13">
        <v>0.133384277</v>
      </c>
      <c r="T618" s="13">
        <v>0.29298113599999998</v>
      </c>
      <c r="U618" s="13">
        <v>0.13159816999999999</v>
      </c>
      <c r="V618" s="15">
        <v>0.92698304950892541</v>
      </c>
      <c r="W618" s="15">
        <v>0.17867523854245199</v>
      </c>
      <c r="X618" s="15">
        <v>6.0835130227180803E-2</v>
      </c>
      <c r="Y618" s="15">
        <v>0.83442272498241676</v>
      </c>
      <c r="Z618" s="15">
        <v>0.18501486672484155</v>
      </c>
      <c r="AA618" s="15">
        <v>4.3287781102461398E-2</v>
      </c>
      <c r="AB618" s="16">
        <v>0</v>
      </c>
      <c r="AC618" s="16">
        <v>1</v>
      </c>
      <c r="AD618" s="16">
        <v>1</v>
      </c>
    </row>
    <row r="619" spans="1:30" x14ac:dyDescent="0.3">
      <c r="A619" s="8">
        <v>45495</v>
      </c>
      <c r="B619" s="9">
        <v>0.12064143400000001</v>
      </c>
      <c r="C619" s="9">
        <v>4.0482642999999999E-2</v>
      </c>
      <c r="D619" s="9">
        <v>6.4608919000000001E-2</v>
      </c>
      <c r="E619" s="9">
        <v>6.7240616000000003E-2</v>
      </c>
      <c r="F619" s="10">
        <v>0.125289558</v>
      </c>
      <c r="G619" s="10">
        <v>4.4360204E-2</v>
      </c>
      <c r="H619" s="10">
        <v>8.4156304000000001E-2</v>
      </c>
      <c r="I619" s="10">
        <v>5.0089938000000001E-2</v>
      </c>
      <c r="J619" s="11">
        <v>0.12167866099999999</v>
      </c>
      <c r="K619" s="11">
        <v>4.8289339000000001E-2</v>
      </c>
      <c r="L619" s="11">
        <v>0.115123921</v>
      </c>
      <c r="M619" s="11">
        <v>3.0060824E-2</v>
      </c>
      <c r="N619" s="12">
        <v>3.7166560000000001E-2</v>
      </c>
      <c r="O619" s="12">
        <v>3.3885666000000002E-2</v>
      </c>
      <c r="P619" s="12">
        <v>2.7769495000000002E-2</v>
      </c>
      <c r="Q619" s="12">
        <v>3.2583621E-2</v>
      </c>
      <c r="R619" s="13">
        <v>0.28024129199999998</v>
      </c>
      <c r="S619" s="13">
        <v>0.14604470999999999</v>
      </c>
      <c r="T619" s="13">
        <v>0.31785735700000001</v>
      </c>
      <c r="U619" s="13">
        <v>0.152554408</v>
      </c>
      <c r="V619" s="15">
        <v>0.92698304950892541</v>
      </c>
      <c r="W619" s="15">
        <v>0.17978234588103922</v>
      </c>
      <c r="X619" s="15">
        <v>4.2974178169846548E-2</v>
      </c>
      <c r="Y619" s="15">
        <v>0.76677487762724683</v>
      </c>
      <c r="Z619" s="15">
        <v>0.18751290258620146</v>
      </c>
      <c r="AA619" s="15">
        <v>3.0431305046932196E-2</v>
      </c>
      <c r="AB619" s="16">
        <v>0</v>
      </c>
      <c r="AC619" s="16">
        <v>0</v>
      </c>
      <c r="AD619" s="16">
        <v>0</v>
      </c>
    </row>
    <row r="620" spans="1:30" x14ac:dyDescent="0.3">
      <c r="A620" s="8">
        <v>45496</v>
      </c>
      <c r="B620" s="9">
        <v>3.5198118E-2</v>
      </c>
      <c r="C620" s="9">
        <v>4.4103753000000002E-2</v>
      </c>
      <c r="D620" s="9">
        <v>9.4471526E-2</v>
      </c>
      <c r="E620" s="9">
        <v>4.3293577999999999E-2</v>
      </c>
      <c r="F620" s="10">
        <v>0.12064143400000001</v>
      </c>
      <c r="G620" s="10">
        <v>4.0482642999999999E-2</v>
      </c>
      <c r="H620" s="10">
        <v>6.4608919000000001E-2</v>
      </c>
      <c r="I620" s="10">
        <v>6.7240616000000003E-2</v>
      </c>
      <c r="J620" s="11">
        <v>0.125289558</v>
      </c>
      <c r="K620" s="11">
        <v>4.4360204E-2</v>
      </c>
      <c r="L620" s="11">
        <v>8.4156304000000001E-2</v>
      </c>
      <c r="M620" s="11">
        <v>5.0089938000000001E-2</v>
      </c>
      <c r="N620" s="12">
        <v>0.12167866099999999</v>
      </c>
      <c r="O620" s="12">
        <v>4.8289339000000001E-2</v>
      </c>
      <c r="P620" s="12">
        <v>0.115123921</v>
      </c>
      <c r="Q620" s="12">
        <v>3.0060824E-2</v>
      </c>
      <c r="R620" s="13">
        <v>3.7166560000000001E-2</v>
      </c>
      <c r="S620" s="13">
        <v>3.3885666000000002E-2</v>
      </c>
      <c r="T620" s="13">
        <v>2.7769495000000002E-2</v>
      </c>
      <c r="U620" s="13">
        <v>3.2583621E-2</v>
      </c>
      <c r="V620" s="15">
        <v>0.92698304950892541</v>
      </c>
      <c r="W620" s="15">
        <v>0.18846060407668386</v>
      </c>
      <c r="X620" s="15">
        <v>0</v>
      </c>
      <c r="Y620" s="15">
        <v>0.76677487762724683</v>
      </c>
      <c r="Z620" s="15">
        <v>0.18802171549844923</v>
      </c>
      <c r="AA620" s="15">
        <v>0</v>
      </c>
      <c r="AB620" s="16">
        <v>0</v>
      </c>
      <c r="AC620" s="16">
        <v>0</v>
      </c>
      <c r="AD620" s="16">
        <v>0</v>
      </c>
    </row>
    <row r="621" spans="1:30" x14ac:dyDescent="0.3">
      <c r="A621" s="8">
        <v>45499</v>
      </c>
      <c r="B621" s="9">
        <v>7.2142319999999996E-2</v>
      </c>
      <c r="C621" s="9">
        <v>6.2746130999999997E-2</v>
      </c>
      <c r="D621" s="9">
        <v>5.7581720000000003E-2</v>
      </c>
      <c r="E621" s="9">
        <v>6.9455778999999995E-2</v>
      </c>
      <c r="F621" s="10">
        <v>3.5198118E-2</v>
      </c>
      <c r="G621" s="10">
        <v>4.4103753000000002E-2</v>
      </c>
      <c r="H621" s="10">
        <v>9.4471526E-2</v>
      </c>
      <c r="I621" s="10">
        <v>4.3293577999999999E-2</v>
      </c>
      <c r="J621" s="11">
        <v>0.12064143400000001</v>
      </c>
      <c r="K621" s="11">
        <v>4.0482642999999999E-2</v>
      </c>
      <c r="L621" s="11">
        <v>6.4608919000000001E-2</v>
      </c>
      <c r="M621" s="11">
        <v>6.7240616000000003E-2</v>
      </c>
      <c r="N621" s="12">
        <v>0.125289558</v>
      </c>
      <c r="O621" s="12">
        <v>4.4360204E-2</v>
      </c>
      <c r="P621" s="12">
        <v>8.4156304000000001E-2</v>
      </c>
      <c r="Q621" s="12">
        <v>5.0089938000000001E-2</v>
      </c>
      <c r="R621" s="13">
        <v>0.12167866099999999</v>
      </c>
      <c r="S621" s="13">
        <v>4.8289339000000001E-2</v>
      </c>
      <c r="T621" s="13">
        <v>0.115123921</v>
      </c>
      <c r="U621" s="13">
        <v>3.0060824E-2</v>
      </c>
      <c r="V621" s="15">
        <v>0.89252011189078828</v>
      </c>
      <c r="W621" s="15">
        <v>0.19434137995119521</v>
      </c>
      <c r="X621" s="15">
        <v>5.1324114339183595E-2</v>
      </c>
      <c r="Y621" s="15">
        <v>0.61701505381163568</v>
      </c>
      <c r="Z621" s="15">
        <v>0.19153233350287022</v>
      </c>
      <c r="AA621" s="15">
        <v>3.6471832966918964E-2</v>
      </c>
      <c r="AB621" s="16">
        <v>0</v>
      </c>
      <c r="AC621" s="16">
        <v>1</v>
      </c>
      <c r="AD621" s="16">
        <v>1</v>
      </c>
    </row>
    <row r="622" spans="1:30" x14ac:dyDescent="0.3">
      <c r="A622" s="8">
        <v>45502</v>
      </c>
      <c r="B622" s="9">
        <v>0.1115907</v>
      </c>
      <c r="C622" s="9">
        <v>4.7753531000000002E-2</v>
      </c>
      <c r="D622" s="9">
        <v>0.103584841</v>
      </c>
      <c r="E622" s="9">
        <v>5.0123676999999998E-2</v>
      </c>
      <c r="F622" s="10">
        <v>7.2142319999999996E-2</v>
      </c>
      <c r="G622" s="10">
        <v>6.2746130999999997E-2</v>
      </c>
      <c r="H622" s="10">
        <v>5.7581720000000003E-2</v>
      </c>
      <c r="I622" s="10">
        <v>6.9455778999999995E-2</v>
      </c>
      <c r="J622" s="11">
        <v>3.5198118E-2</v>
      </c>
      <c r="K622" s="11">
        <v>4.4103753000000002E-2</v>
      </c>
      <c r="L622" s="11">
        <v>9.4471526E-2</v>
      </c>
      <c r="M622" s="11">
        <v>4.3293577999999999E-2</v>
      </c>
      <c r="N622" s="12">
        <v>0.12064143400000001</v>
      </c>
      <c r="O622" s="12">
        <v>4.0482642999999999E-2</v>
      </c>
      <c r="P622" s="12">
        <v>6.4608919000000001E-2</v>
      </c>
      <c r="Q622" s="12">
        <v>6.7240616000000003E-2</v>
      </c>
      <c r="R622" s="13">
        <v>0.125289558</v>
      </c>
      <c r="S622" s="13">
        <v>4.4360204E-2</v>
      </c>
      <c r="T622" s="13">
        <v>8.4156304000000001E-2</v>
      </c>
      <c r="U622" s="13">
        <v>5.0089938000000001E-2</v>
      </c>
      <c r="V622" s="15">
        <v>0.89252011189078828</v>
      </c>
      <c r="W622" s="15">
        <v>0.19369468516369195</v>
      </c>
      <c r="X622" s="15">
        <v>1.0123959729531403E-3</v>
      </c>
      <c r="Y622" s="15">
        <v>0.52896036525002266</v>
      </c>
      <c r="Z622" s="15">
        <v>0.19150916124780626</v>
      </c>
      <c r="AA622" s="15">
        <v>6.8983416157714485E-4</v>
      </c>
      <c r="AB622" s="16">
        <v>0</v>
      </c>
      <c r="AC622" s="16">
        <v>1</v>
      </c>
      <c r="AD622" s="16">
        <v>1</v>
      </c>
    </row>
    <row r="623" spans="1:30" x14ac:dyDescent="0.3">
      <c r="A623" s="8">
        <v>45503</v>
      </c>
      <c r="B623" s="9">
        <v>4.8857144999999998E-2</v>
      </c>
      <c r="C623" s="9">
        <v>4.0972456999999997E-2</v>
      </c>
      <c r="D623" s="9">
        <v>0.11852850600000001</v>
      </c>
      <c r="E623" s="9">
        <v>6.6844776999999994E-2</v>
      </c>
      <c r="F623" s="10">
        <v>0.1115907</v>
      </c>
      <c r="G623" s="10">
        <v>4.7753531000000002E-2</v>
      </c>
      <c r="H623" s="10">
        <v>0.103584841</v>
      </c>
      <c r="I623" s="10">
        <v>5.0123676999999998E-2</v>
      </c>
      <c r="J623" s="11">
        <v>7.2142319999999996E-2</v>
      </c>
      <c r="K623" s="11">
        <v>6.2746130999999997E-2</v>
      </c>
      <c r="L623" s="11">
        <v>5.7581720000000003E-2</v>
      </c>
      <c r="M623" s="11">
        <v>6.9455778999999995E-2</v>
      </c>
      <c r="N623" s="12">
        <v>3.5198118E-2</v>
      </c>
      <c r="O623" s="12">
        <v>4.4103753000000002E-2</v>
      </c>
      <c r="P623" s="12">
        <v>9.4471526E-2</v>
      </c>
      <c r="Q623" s="12">
        <v>4.3293577999999999E-2</v>
      </c>
      <c r="R623" s="13">
        <v>0.12064143400000001</v>
      </c>
      <c r="S623" s="13">
        <v>4.0482642999999999E-2</v>
      </c>
      <c r="T623" s="13">
        <v>6.4608919000000001E-2</v>
      </c>
      <c r="U623" s="13">
        <v>6.7240616000000003E-2</v>
      </c>
      <c r="V623" s="15">
        <v>0.92698304950892541</v>
      </c>
      <c r="W623" s="15">
        <v>0.19275469214310173</v>
      </c>
      <c r="X623" s="15">
        <v>0</v>
      </c>
      <c r="Y623" s="15">
        <v>0.61701505381163568</v>
      </c>
      <c r="Z623" s="15">
        <v>0.19149996996100685</v>
      </c>
      <c r="AA623" s="15">
        <v>0</v>
      </c>
      <c r="AB623" s="16">
        <v>0</v>
      </c>
      <c r="AC623" s="16">
        <v>1</v>
      </c>
      <c r="AD623" s="16">
        <v>1</v>
      </c>
    </row>
    <row r="624" spans="1:30" x14ac:dyDescent="0.3">
      <c r="A624" s="8">
        <v>45504</v>
      </c>
      <c r="B624" s="9">
        <v>4.0191985999999999E-2</v>
      </c>
      <c r="C624" s="9">
        <v>4.4173360000000002E-2</v>
      </c>
      <c r="D624" s="9">
        <v>5.6595075000000002E-2</v>
      </c>
      <c r="E624" s="9">
        <v>5.4205705E-2</v>
      </c>
      <c r="F624" s="10">
        <v>4.8857144999999998E-2</v>
      </c>
      <c r="G624" s="10">
        <v>4.0972456999999997E-2</v>
      </c>
      <c r="H624" s="10">
        <v>0.11852850600000001</v>
      </c>
      <c r="I624" s="10">
        <v>6.6844776999999994E-2</v>
      </c>
      <c r="J624" s="11">
        <v>0.1115907</v>
      </c>
      <c r="K624" s="11">
        <v>4.7753531000000002E-2</v>
      </c>
      <c r="L624" s="11">
        <v>0.103584841</v>
      </c>
      <c r="M624" s="11">
        <v>5.0123676999999998E-2</v>
      </c>
      <c r="N624" s="12">
        <v>7.2142319999999996E-2</v>
      </c>
      <c r="O624" s="12">
        <v>6.2746130999999997E-2</v>
      </c>
      <c r="P624" s="12">
        <v>5.7581720000000003E-2</v>
      </c>
      <c r="Q624" s="12">
        <v>6.9455778999999995E-2</v>
      </c>
      <c r="R624" s="13">
        <v>3.5198118E-2</v>
      </c>
      <c r="S624" s="13">
        <v>4.4103753000000002E-2</v>
      </c>
      <c r="T624" s="13">
        <v>9.4471526E-2</v>
      </c>
      <c r="U624" s="13">
        <v>4.3293577999999999E-2</v>
      </c>
      <c r="V624" s="15">
        <v>0.89252011189078828</v>
      </c>
      <c r="W624" s="15">
        <v>0.19266580919797621</v>
      </c>
      <c r="X624" s="15">
        <v>6.7091031999180597E-3</v>
      </c>
      <c r="Y624" s="15">
        <v>0.52896036525002266</v>
      </c>
      <c r="Z624" s="15">
        <v>0.19131369636231754</v>
      </c>
      <c r="AA624" s="15">
        <v>4.5698426714812475E-3</v>
      </c>
      <c r="AB624" s="16">
        <v>0</v>
      </c>
      <c r="AC624" s="16">
        <v>1</v>
      </c>
      <c r="AD624" s="16">
        <v>1</v>
      </c>
    </row>
    <row r="625" spans="1:30" x14ac:dyDescent="0.3">
      <c r="A625" s="8">
        <v>45505</v>
      </c>
      <c r="B625" s="9">
        <v>0.114866684</v>
      </c>
      <c r="C625" s="9">
        <v>4.3215178E-2</v>
      </c>
      <c r="D625" s="9">
        <v>0.17755933700000001</v>
      </c>
      <c r="E625" s="9">
        <v>7.8971951999999998E-2</v>
      </c>
      <c r="F625" s="10">
        <v>4.0191985999999999E-2</v>
      </c>
      <c r="G625" s="10">
        <v>4.4173360000000002E-2</v>
      </c>
      <c r="H625" s="10">
        <v>5.6595075000000002E-2</v>
      </c>
      <c r="I625" s="10">
        <v>5.4205705E-2</v>
      </c>
      <c r="J625" s="11">
        <v>4.8857144999999998E-2</v>
      </c>
      <c r="K625" s="11">
        <v>4.0972456999999997E-2</v>
      </c>
      <c r="L625" s="11">
        <v>0.11852850600000001</v>
      </c>
      <c r="M625" s="11">
        <v>6.6844776999999994E-2</v>
      </c>
      <c r="N625" s="12">
        <v>0.1115907</v>
      </c>
      <c r="O625" s="12">
        <v>4.7753531000000002E-2</v>
      </c>
      <c r="P625" s="12">
        <v>0.103584841</v>
      </c>
      <c r="Q625" s="12">
        <v>5.0123676999999998E-2</v>
      </c>
      <c r="R625" s="13">
        <v>7.2142319999999996E-2</v>
      </c>
      <c r="S625" s="13">
        <v>6.2746130999999997E-2</v>
      </c>
      <c r="T625" s="13">
        <v>5.7581720000000003E-2</v>
      </c>
      <c r="U625" s="13">
        <v>6.9455778999999995E-2</v>
      </c>
      <c r="V625" s="15">
        <v>0.89252011189078828</v>
      </c>
      <c r="W625" s="15">
        <v>0.19758382812305786</v>
      </c>
      <c r="X625" s="15">
        <v>0</v>
      </c>
      <c r="Y625" s="15">
        <v>0.61701505381163568</v>
      </c>
      <c r="Z625" s="15">
        <v>0.19389911591446804</v>
      </c>
      <c r="AA625" s="15">
        <v>0</v>
      </c>
      <c r="AB625" s="16">
        <v>0</v>
      </c>
      <c r="AC625" s="16">
        <v>1</v>
      </c>
      <c r="AD625" s="16">
        <v>1</v>
      </c>
    </row>
    <row r="626" spans="1:30" x14ac:dyDescent="0.3">
      <c r="A626" s="8">
        <v>45506</v>
      </c>
      <c r="B626" s="9">
        <v>0.18404969199999999</v>
      </c>
      <c r="C626" s="9">
        <v>5.8997447000000001E-2</v>
      </c>
      <c r="D626" s="9">
        <v>0.110864518</v>
      </c>
      <c r="E626" s="9">
        <v>9.1418342E-2</v>
      </c>
      <c r="F626" s="10">
        <v>0.114866684</v>
      </c>
      <c r="G626" s="10">
        <v>4.3215178E-2</v>
      </c>
      <c r="H626" s="10">
        <v>0.17755933700000001</v>
      </c>
      <c r="I626" s="10">
        <v>7.8971951999999998E-2</v>
      </c>
      <c r="J626" s="11">
        <v>4.0191985999999999E-2</v>
      </c>
      <c r="K626" s="11">
        <v>4.4173360000000002E-2</v>
      </c>
      <c r="L626" s="11">
        <v>5.6595075000000002E-2</v>
      </c>
      <c r="M626" s="11">
        <v>5.4205705E-2</v>
      </c>
      <c r="N626" s="12">
        <v>4.8857144999999998E-2</v>
      </c>
      <c r="O626" s="12">
        <v>4.0972456999999997E-2</v>
      </c>
      <c r="P626" s="12">
        <v>0.11852850600000001</v>
      </c>
      <c r="Q626" s="12">
        <v>6.6844776999999994E-2</v>
      </c>
      <c r="R626" s="13">
        <v>0.1115907</v>
      </c>
      <c r="S626" s="13">
        <v>4.7753531000000002E-2</v>
      </c>
      <c r="T626" s="13">
        <v>0.103584841</v>
      </c>
      <c r="U626" s="13">
        <v>5.0123676999999998E-2</v>
      </c>
      <c r="V626" s="15">
        <v>0.85040543580851213</v>
      </c>
      <c r="W626" s="15">
        <v>0.22899207365748656</v>
      </c>
      <c r="X626" s="15">
        <v>0.11435019100328915</v>
      </c>
      <c r="Y626" s="15">
        <v>0.52896036525002266</v>
      </c>
      <c r="Z626" s="15">
        <v>0.21049850704950451</v>
      </c>
      <c r="AA626" s="15">
        <v>8.1346393581933019E-2</v>
      </c>
      <c r="AB626" s="16">
        <v>0</v>
      </c>
      <c r="AC626" s="16">
        <v>0</v>
      </c>
      <c r="AD626" s="16">
        <v>0</v>
      </c>
    </row>
    <row r="627" spans="1:30" x14ac:dyDescent="0.3">
      <c r="A627" s="8">
        <v>45509</v>
      </c>
      <c r="B627" s="9">
        <v>0.31770805699999999</v>
      </c>
      <c r="C627" s="9">
        <v>8.2990792999999993E-2</v>
      </c>
      <c r="D627" s="9">
        <v>0.13894313899999999</v>
      </c>
      <c r="E627" s="9">
        <v>0.18910701899999999</v>
      </c>
      <c r="F627" s="10">
        <v>0.18404969199999999</v>
      </c>
      <c r="G627" s="10">
        <v>5.8997447000000001E-2</v>
      </c>
      <c r="H627" s="10">
        <v>0.110864518</v>
      </c>
      <c r="I627" s="10">
        <v>9.1418342E-2</v>
      </c>
      <c r="J627" s="11">
        <v>0.114866684</v>
      </c>
      <c r="K627" s="11">
        <v>4.3215178E-2</v>
      </c>
      <c r="L627" s="11">
        <v>0.17755933700000001</v>
      </c>
      <c r="M627" s="11">
        <v>7.8971951999999998E-2</v>
      </c>
      <c r="N627" s="12">
        <v>4.0191985999999999E-2</v>
      </c>
      <c r="O627" s="12">
        <v>4.4173360000000002E-2</v>
      </c>
      <c r="P627" s="12">
        <v>5.6595075000000002E-2</v>
      </c>
      <c r="Q627" s="12">
        <v>5.4205705E-2</v>
      </c>
      <c r="R627" s="13">
        <v>4.8857144999999998E-2</v>
      </c>
      <c r="S627" s="13">
        <v>4.0972456999999997E-2</v>
      </c>
      <c r="T627" s="13">
        <v>0.11852850600000001</v>
      </c>
      <c r="U627" s="13">
        <v>6.6844776999999994E-2</v>
      </c>
      <c r="V627" s="15">
        <v>0.69981330729068325</v>
      </c>
      <c r="W627" s="15">
        <v>0.26165032686648526</v>
      </c>
      <c r="X627" s="15">
        <v>0.12451345097398363</v>
      </c>
      <c r="Y627" s="15">
        <v>0.52896036525002266</v>
      </c>
      <c r="Z627" s="15">
        <v>0.22874827763961586</v>
      </c>
      <c r="AA627" s="15">
        <v>8.9399105811581808E-2</v>
      </c>
      <c r="AB627" s="16">
        <v>1</v>
      </c>
      <c r="AC627" s="16">
        <v>0</v>
      </c>
      <c r="AD627" s="16">
        <v>1</v>
      </c>
    </row>
    <row r="628" spans="1:30" x14ac:dyDescent="0.3">
      <c r="A628" s="8">
        <v>45510</v>
      </c>
      <c r="B628" s="9">
        <v>0.16732070600000001</v>
      </c>
      <c r="C628" s="9">
        <v>8.9314034E-2</v>
      </c>
      <c r="D628" s="9">
        <v>0.39867625099999998</v>
      </c>
      <c r="E628" s="9">
        <v>0.216321228</v>
      </c>
      <c r="F628" s="10">
        <v>0.31770805699999999</v>
      </c>
      <c r="G628" s="10">
        <v>8.2990792999999993E-2</v>
      </c>
      <c r="H628" s="10">
        <v>0.13894313899999999</v>
      </c>
      <c r="I628" s="10">
        <v>0.18910701899999999</v>
      </c>
      <c r="J628" s="11">
        <v>0.18404969199999999</v>
      </c>
      <c r="K628" s="11">
        <v>5.8997447000000001E-2</v>
      </c>
      <c r="L628" s="11">
        <v>0.110864518</v>
      </c>
      <c r="M628" s="11">
        <v>9.1418342E-2</v>
      </c>
      <c r="N628" s="12">
        <v>0.114866684</v>
      </c>
      <c r="O628" s="12">
        <v>4.3215178E-2</v>
      </c>
      <c r="P628" s="12">
        <v>0.17755933700000001</v>
      </c>
      <c r="Q628" s="12">
        <v>7.8971951999999998E-2</v>
      </c>
      <c r="R628" s="13">
        <v>4.0191985999999999E-2</v>
      </c>
      <c r="S628" s="13">
        <v>4.4173360000000002E-2</v>
      </c>
      <c r="T628" s="13">
        <v>5.6595075000000002E-2</v>
      </c>
      <c r="U628" s="13">
        <v>5.4205705E-2</v>
      </c>
      <c r="V628" s="15">
        <v>0.89252011189078828</v>
      </c>
      <c r="W628" s="15">
        <v>0.27346108894617133</v>
      </c>
      <c r="X628" s="15">
        <v>0</v>
      </c>
      <c r="Y628" s="15">
        <v>0.61701505381163568</v>
      </c>
      <c r="Z628" s="15">
        <v>0.23503236534110974</v>
      </c>
      <c r="AA628" s="15">
        <v>0</v>
      </c>
      <c r="AB628" s="16">
        <v>1</v>
      </c>
      <c r="AC628" s="16">
        <v>0</v>
      </c>
      <c r="AD628" s="16">
        <v>1</v>
      </c>
    </row>
    <row r="629" spans="1:30" x14ac:dyDescent="0.3">
      <c r="A629" s="8">
        <v>45511</v>
      </c>
      <c r="B629" s="9">
        <v>3.8496496999999998E-2</v>
      </c>
      <c r="C629" s="9">
        <v>8.1828937000000004E-2</v>
      </c>
      <c r="D629" s="9">
        <v>0.164873257</v>
      </c>
      <c r="E629" s="9">
        <v>0.14909308800000001</v>
      </c>
      <c r="F629" s="10">
        <v>0.16732070600000001</v>
      </c>
      <c r="G629" s="10">
        <v>8.9314034E-2</v>
      </c>
      <c r="H629" s="10">
        <v>0.39867625099999998</v>
      </c>
      <c r="I629" s="10">
        <v>0.216321228</v>
      </c>
      <c r="J629" s="11">
        <v>0.31770805699999999</v>
      </c>
      <c r="K629" s="11">
        <v>8.2990792999999993E-2</v>
      </c>
      <c r="L629" s="11">
        <v>0.13894313899999999</v>
      </c>
      <c r="M629" s="11">
        <v>0.18910701899999999</v>
      </c>
      <c r="N629" s="12">
        <v>0.18404969199999999</v>
      </c>
      <c r="O629" s="12">
        <v>5.8997447000000001E-2</v>
      </c>
      <c r="P629" s="12">
        <v>0.110864518</v>
      </c>
      <c r="Q629" s="12">
        <v>9.1418342E-2</v>
      </c>
      <c r="R629" s="13">
        <v>0.114866684</v>
      </c>
      <c r="S629" s="13">
        <v>4.3215178E-2</v>
      </c>
      <c r="T629" s="13">
        <v>0.17755933700000001</v>
      </c>
      <c r="U629" s="13">
        <v>7.8971951999999998E-2</v>
      </c>
      <c r="V629" s="15">
        <v>0.89252011189078828</v>
      </c>
      <c r="W629" s="15">
        <v>0.28809526545151598</v>
      </c>
      <c r="X629" s="15">
        <v>0</v>
      </c>
      <c r="Y629" s="15">
        <v>0.61701505381163568</v>
      </c>
      <c r="Z629" s="15">
        <v>0.24356935703086796</v>
      </c>
      <c r="AA629" s="15">
        <v>0</v>
      </c>
      <c r="AB629" s="16">
        <v>1</v>
      </c>
      <c r="AC629" s="16">
        <v>0</v>
      </c>
      <c r="AD629" s="16">
        <v>1</v>
      </c>
    </row>
    <row r="630" spans="1:30" x14ac:dyDescent="0.3">
      <c r="A630" s="8">
        <v>45512</v>
      </c>
      <c r="B630" s="9">
        <v>0.29258849799999997</v>
      </c>
      <c r="C630" s="9">
        <v>7.1122171999999997E-2</v>
      </c>
      <c r="D630" s="9">
        <v>0.369687137</v>
      </c>
      <c r="E630" s="9">
        <v>0.108648037</v>
      </c>
      <c r="F630" s="10">
        <v>3.8496496999999998E-2</v>
      </c>
      <c r="G630" s="10">
        <v>8.1828937000000004E-2</v>
      </c>
      <c r="H630" s="10">
        <v>0.164873257</v>
      </c>
      <c r="I630" s="10">
        <v>0.14909308800000001</v>
      </c>
      <c r="J630" s="11">
        <v>0.16732070600000001</v>
      </c>
      <c r="K630" s="11">
        <v>8.9314034E-2</v>
      </c>
      <c r="L630" s="11">
        <v>0.39867625099999998</v>
      </c>
      <c r="M630" s="11">
        <v>0.216321228</v>
      </c>
      <c r="N630" s="12">
        <v>0.31770805699999999</v>
      </c>
      <c r="O630" s="12">
        <v>8.2990792999999993E-2</v>
      </c>
      <c r="P630" s="12">
        <v>0.13894313899999999</v>
      </c>
      <c r="Q630" s="12">
        <v>0.18910701899999999</v>
      </c>
      <c r="R630" s="13">
        <v>0.18404969199999999</v>
      </c>
      <c r="S630" s="13">
        <v>5.8997447000000001E-2</v>
      </c>
      <c r="T630" s="13">
        <v>0.110864518</v>
      </c>
      <c r="U630" s="13">
        <v>9.1418342E-2</v>
      </c>
      <c r="V630" s="15">
        <v>0.72083486514790984</v>
      </c>
      <c r="W630" s="15">
        <v>0.29281815605281458</v>
      </c>
      <c r="X630" s="15">
        <v>5.1975572252851737E-2</v>
      </c>
      <c r="Y630" s="15">
        <v>0.52896036525002266</v>
      </c>
      <c r="Z630" s="15">
        <v>0.24640387077574502</v>
      </c>
      <c r="AA630" s="15">
        <v>3.7476271754434104E-2</v>
      </c>
      <c r="AB630" s="16">
        <v>1</v>
      </c>
      <c r="AC630" s="16">
        <v>0</v>
      </c>
      <c r="AD630" s="16">
        <v>1</v>
      </c>
    </row>
    <row r="631" spans="1:30" x14ac:dyDescent="0.3">
      <c r="A631" s="8">
        <v>45513</v>
      </c>
      <c r="B631" s="9">
        <v>0.19358076099999999</v>
      </c>
      <c r="C631" s="9">
        <v>0.10390400299999999</v>
      </c>
      <c r="D631" s="9">
        <v>0.33748066399999999</v>
      </c>
      <c r="E631" s="9">
        <v>9.0037787999999994E-2</v>
      </c>
      <c r="F631" s="10">
        <v>0.29258849799999997</v>
      </c>
      <c r="G631" s="10">
        <v>7.1122171999999997E-2</v>
      </c>
      <c r="H631" s="10">
        <v>0.369687137</v>
      </c>
      <c r="I631" s="10">
        <v>0.108648037</v>
      </c>
      <c r="J631" s="11">
        <v>3.8496496999999998E-2</v>
      </c>
      <c r="K631" s="11">
        <v>8.1828937000000004E-2</v>
      </c>
      <c r="L631" s="11">
        <v>0.164873257</v>
      </c>
      <c r="M631" s="11">
        <v>0.14909308800000001</v>
      </c>
      <c r="N631" s="12">
        <v>0.16732070600000001</v>
      </c>
      <c r="O631" s="12">
        <v>8.9314034E-2</v>
      </c>
      <c r="P631" s="12">
        <v>0.39867625099999998</v>
      </c>
      <c r="Q631" s="12">
        <v>0.216321228</v>
      </c>
      <c r="R631" s="13">
        <v>0.31770805699999999</v>
      </c>
      <c r="S631" s="13">
        <v>8.2990792999999993E-2</v>
      </c>
      <c r="T631" s="13">
        <v>0.13894313899999999</v>
      </c>
      <c r="U631" s="13">
        <v>0.18910701899999999</v>
      </c>
      <c r="V631" s="15">
        <v>0.72083486514790984</v>
      </c>
      <c r="W631" s="15">
        <v>0.30027239120459587</v>
      </c>
      <c r="X631" s="15">
        <v>0</v>
      </c>
      <c r="Y631" s="15">
        <v>0.61701505381163568</v>
      </c>
      <c r="Z631" s="15">
        <v>0.25085328389711936</v>
      </c>
      <c r="AA631" s="15">
        <v>0</v>
      </c>
      <c r="AB631" s="16">
        <v>1</v>
      </c>
      <c r="AC631" s="16">
        <v>0</v>
      </c>
      <c r="AD631" s="16">
        <v>1</v>
      </c>
    </row>
    <row r="632" spans="1:30" x14ac:dyDescent="0.3">
      <c r="A632" s="8">
        <v>45516</v>
      </c>
      <c r="B632" s="9">
        <v>0.18527592500000001</v>
      </c>
      <c r="C632" s="9">
        <v>7.1180139000000003E-2</v>
      </c>
      <c r="D632" s="9">
        <v>0.31131054499999999</v>
      </c>
      <c r="E632" s="9">
        <v>0.10153055499999999</v>
      </c>
      <c r="F632" s="10">
        <v>0.19358076099999999</v>
      </c>
      <c r="G632" s="10">
        <v>0.10390400299999999</v>
      </c>
      <c r="H632" s="10">
        <v>0.33748066399999999</v>
      </c>
      <c r="I632" s="10">
        <v>9.0037787999999994E-2</v>
      </c>
      <c r="J632" s="11">
        <v>0.29258849799999997</v>
      </c>
      <c r="K632" s="11">
        <v>7.1122171999999997E-2</v>
      </c>
      <c r="L632" s="11">
        <v>0.369687137</v>
      </c>
      <c r="M632" s="11">
        <v>0.108648037</v>
      </c>
      <c r="N632" s="12">
        <v>3.8496496999999998E-2</v>
      </c>
      <c r="O632" s="12">
        <v>8.1828937000000004E-2</v>
      </c>
      <c r="P632" s="12">
        <v>0.164873257</v>
      </c>
      <c r="Q632" s="12">
        <v>0.14909308800000001</v>
      </c>
      <c r="R632" s="13">
        <v>0.16732070600000001</v>
      </c>
      <c r="S632" s="13">
        <v>8.9314034E-2</v>
      </c>
      <c r="T632" s="13">
        <v>0.39867625099999998</v>
      </c>
      <c r="U632" s="13">
        <v>0.216321228</v>
      </c>
      <c r="V632" s="15">
        <v>0.72083486514790984</v>
      </c>
      <c r="W632" s="15">
        <v>0.3003357762694932</v>
      </c>
      <c r="X632" s="15">
        <v>0</v>
      </c>
      <c r="Y632" s="15">
        <v>0.61701505381163568</v>
      </c>
      <c r="Z632" s="15">
        <v>0.25073655377702414</v>
      </c>
      <c r="AA632" s="15">
        <v>0</v>
      </c>
      <c r="AB632" s="16">
        <v>1</v>
      </c>
      <c r="AC632" s="16">
        <v>0</v>
      </c>
      <c r="AD632" s="16">
        <v>1</v>
      </c>
    </row>
    <row r="633" spans="1:30" x14ac:dyDescent="0.3">
      <c r="A633" s="8">
        <v>45517</v>
      </c>
      <c r="B633" s="9">
        <v>0.13872525399999999</v>
      </c>
      <c r="C633" s="9">
        <v>7.8718827000000005E-2</v>
      </c>
      <c r="D633" s="9">
        <v>0.221824302</v>
      </c>
      <c r="E633" s="9">
        <v>0.1060487</v>
      </c>
      <c r="F633" s="10">
        <v>0.18527592500000001</v>
      </c>
      <c r="G633" s="10">
        <v>7.1180139000000003E-2</v>
      </c>
      <c r="H633" s="10">
        <v>0.31131054499999999</v>
      </c>
      <c r="I633" s="10">
        <v>0.10153055499999999</v>
      </c>
      <c r="J633" s="11">
        <v>0.19358076099999999</v>
      </c>
      <c r="K633" s="11">
        <v>0.10390400299999999</v>
      </c>
      <c r="L633" s="11">
        <v>0.33748066399999999</v>
      </c>
      <c r="M633" s="11">
        <v>9.0037787999999994E-2</v>
      </c>
      <c r="N633" s="12">
        <v>0.29258849799999997</v>
      </c>
      <c r="O633" s="12">
        <v>7.1122171999999997E-2</v>
      </c>
      <c r="P633" s="12">
        <v>0.369687137</v>
      </c>
      <c r="Q633" s="12">
        <v>0.108648037</v>
      </c>
      <c r="R633" s="13">
        <v>3.8496496999999998E-2</v>
      </c>
      <c r="S633" s="13">
        <v>8.1828937000000004E-2</v>
      </c>
      <c r="T633" s="13">
        <v>0.164873257</v>
      </c>
      <c r="U633" s="13">
        <v>0.14909308800000001</v>
      </c>
      <c r="V633" s="15">
        <v>0.45934022969350802</v>
      </c>
      <c r="W633" s="15">
        <v>0.29994377543009321</v>
      </c>
      <c r="X633" s="15">
        <v>2.636348327432273E-4</v>
      </c>
      <c r="Y633" s="15">
        <v>0.61701505381163568</v>
      </c>
      <c r="Z633" s="15">
        <v>0.25066077531945197</v>
      </c>
      <c r="AA633" s="15">
        <v>8.5643655826821694E-4</v>
      </c>
      <c r="AB633" s="16">
        <v>1</v>
      </c>
      <c r="AC633" s="16">
        <v>0</v>
      </c>
      <c r="AD633" s="16">
        <v>1</v>
      </c>
    </row>
    <row r="634" spans="1:30" x14ac:dyDescent="0.3">
      <c r="A634" s="8">
        <v>45518</v>
      </c>
      <c r="B634" s="9">
        <v>6.1666353E-2</v>
      </c>
      <c r="C634" s="9">
        <v>7.2749668000000003E-2</v>
      </c>
      <c r="D634" s="9">
        <v>0.15596806799999999</v>
      </c>
      <c r="E634" s="9">
        <v>0.14764295699999999</v>
      </c>
      <c r="F634" s="10">
        <v>0.13872525399999999</v>
      </c>
      <c r="G634" s="10">
        <v>7.8718827000000005E-2</v>
      </c>
      <c r="H634" s="10">
        <v>0.221824302</v>
      </c>
      <c r="I634" s="10">
        <v>0.1060487</v>
      </c>
      <c r="J634" s="11">
        <v>0.18527592500000001</v>
      </c>
      <c r="K634" s="11">
        <v>7.1180139000000003E-2</v>
      </c>
      <c r="L634" s="11">
        <v>0.31131054499999999</v>
      </c>
      <c r="M634" s="11">
        <v>0.10153055499999999</v>
      </c>
      <c r="N634" s="12">
        <v>0.19358076099999999</v>
      </c>
      <c r="O634" s="12">
        <v>0.10390400299999999</v>
      </c>
      <c r="P634" s="12">
        <v>0.33748066399999999</v>
      </c>
      <c r="Q634" s="12">
        <v>9.0037787999999994E-2</v>
      </c>
      <c r="R634" s="13">
        <v>0.29258849799999997</v>
      </c>
      <c r="S634" s="13">
        <v>7.1122171999999997E-2</v>
      </c>
      <c r="T634" s="13">
        <v>0.369687137</v>
      </c>
      <c r="U634" s="13">
        <v>0.108648037</v>
      </c>
      <c r="V634" s="15">
        <v>0.72083486514790984</v>
      </c>
      <c r="W634" s="15">
        <v>0.30070264255408902</v>
      </c>
      <c r="X634" s="15">
        <v>0</v>
      </c>
      <c r="Y634" s="15">
        <v>0.76677487762724683</v>
      </c>
      <c r="Z634" s="15">
        <v>0.25114468566168219</v>
      </c>
      <c r="AA634" s="15">
        <v>0</v>
      </c>
      <c r="AB634" s="16">
        <v>0</v>
      </c>
      <c r="AC634" s="16">
        <v>0</v>
      </c>
      <c r="AD634" s="16">
        <v>0</v>
      </c>
    </row>
    <row r="635" spans="1:30" x14ac:dyDescent="0.3">
      <c r="A635" s="8">
        <v>45519</v>
      </c>
      <c r="B635" s="9">
        <v>0.23789386000000001</v>
      </c>
      <c r="C635" s="9">
        <v>6.8635383999999994E-2</v>
      </c>
      <c r="D635" s="9">
        <v>0.309919579</v>
      </c>
      <c r="E635" s="9">
        <v>9.6393409999999999E-2</v>
      </c>
      <c r="F635" s="10">
        <v>6.1666353E-2</v>
      </c>
      <c r="G635" s="10">
        <v>7.2749668000000003E-2</v>
      </c>
      <c r="H635" s="10">
        <v>0.15596806799999999</v>
      </c>
      <c r="I635" s="10">
        <v>0.14764295699999999</v>
      </c>
      <c r="J635" s="11">
        <v>0.13872525399999999</v>
      </c>
      <c r="K635" s="11">
        <v>7.8718827000000005E-2</v>
      </c>
      <c r="L635" s="11">
        <v>0.221824302</v>
      </c>
      <c r="M635" s="11">
        <v>0.1060487</v>
      </c>
      <c r="N635" s="12">
        <v>0.18527592500000001</v>
      </c>
      <c r="O635" s="12">
        <v>7.1180139000000003E-2</v>
      </c>
      <c r="P635" s="12">
        <v>0.31131054499999999</v>
      </c>
      <c r="Q635" s="12">
        <v>0.10153055499999999</v>
      </c>
      <c r="R635" s="13">
        <v>0.19358076099999999</v>
      </c>
      <c r="S635" s="13">
        <v>0.10390400299999999</v>
      </c>
      <c r="T635" s="13">
        <v>0.33748066399999999</v>
      </c>
      <c r="U635" s="13">
        <v>9.0037787999999994E-2</v>
      </c>
      <c r="V635" s="15">
        <v>0.72083486514790984</v>
      </c>
      <c r="W635" s="15">
        <v>0.30124792905683812</v>
      </c>
      <c r="X635" s="15">
        <v>1.7995857116249143E-2</v>
      </c>
      <c r="Y635" s="15">
        <v>0.61701505381163568</v>
      </c>
      <c r="Z635" s="15">
        <v>0.25136353462015903</v>
      </c>
      <c r="AA635" s="15">
        <v>1.3173153083988351E-2</v>
      </c>
      <c r="AB635" s="16">
        <v>0</v>
      </c>
      <c r="AC635" s="16">
        <v>0</v>
      </c>
      <c r="AD635" s="16">
        <v>0</v>
      </c>
    </row>
    <row r="636" spans="1:30" x14ac:dyDescent="0.3">
      <c r="A636" s="8">
        <v>45520</v>
      </c>
      <c r="B636" s="9">
        <v>0.17378126199999999</v>
      </c>
      <c r="C636" s="9">
        <v>8.4030323000000004E-2</v>
      </c>
      <c r="D636" s="9">
        <v>0.33102964800000001</v>
      </c>
      <c r="E636" s="9">
        <v>0.121702965</v>
      </c>
      <c r="F636" s="10">
        <v>0.23789386000000001</v>
      </c>
      <c r="G636" s="10">
        <v>6.8635383999999994E-2</v>
      </c>
      <c r="H636" s="10">
        <v>0.309919579</v>
      </c>
      <c r="I636" s="10">
        <v>9.6393409999999999E-2</v>
      </c>
      <c r="J636" s="11">
        <v>6.1666353E-2</v>
      </c>
      <c r="K636" s="11">
        <v>7.2749668000000003E-2</v>
      </c>
      <c r="L636" s="11">
        <v>0.15596806799999999</v>
      </c>
      <c r="M636" s="11">
        <v>0.14764295699999999</v>
      </c>
      <c r="N636" s="12">
        <v>0.13872525399999999</v>
      </c>
      <c r="O636" s="12">
        <v>7.8718827000000005E-2</v>
      </c>
      <c r="P636" s="12">
        <v>0.221824302</v>
      </c>
      <c r="Q636" s="12">
        <v>0.1060487</v>
      </c>
      <c r="R636" s="13">
        <v>0.18527592500000001</v>
      </c>
      <c r="S636" s="13">
        <v>7.1180139000000003E-2</v>
      </c>
      <c r="T636" s="13">
        <v>0.31131054499999999</v>
      </c>
      <c r="U636" s="13">
        <v>0.10153055499999999</v>
      </c>
      <c r="V636" s="15">
        <v>0.92698304950892541</v>
      </c>
      <c r="W636" s="15">
        <v>0.30485868297342861</v>
      </c>
      <c r="X636" s="15">
        <v>0</v>
      </c>
      <c r="Y636" s="15">
        <v>0.76677487762724683</v>
      </c>
      <c r="Z636" s="15">
        <v>0.25333103255317929</v>
      </c>
      <c r="AA636" s="15">
        <v>0</v>
      </c>
      <c r="AB636" s="16">
        <v>0</v>
      </c>
      <c r="AC636" s="16">
        <v>0</v>
      </c>
      <c r="AD636" s="16">
        <v>0</v>
      </c>
    </row>
    <row r="637" spans="1:30" x14ac:dyDescent="0.3">
      <c r="A637" s="8">
        <v>45523</v>
      </c>
      <c r="B637" s="9">
        <v>0.23408738300000001</v>
      </c>
      <c r="C637" s="9">
        <v>9.6279255999999994E-2</v>
      </c>
      <c r="D637" s="9">
        <v>0.34835444799999998</v>
      </c>
      <c r="E637" s="9">
        <v>0.19898080300000001</v>
      </c>
      <c r="F637" s="10">
        <v>0.17378126199999999</v>
      </c>
      <c r="G637" s="10">
        <v>8.4030323000000004E-2</v>
      </c>
      <c r="H637" s="10">
        <v>0.33102964800000001</v>
      </c>
      <c r="I637" s="10">
        <v>0.121702965</v>
      </c>
      <c r="J637" s="11">
        <v>0.23789386000000001</v>
      </c>
      <c r="K637" s="11">
        <v>6.8635383999999994E-2</v>
      </c>
      <c r="L637" s="11">
        <v>0.309919579</v>
      </c>
      <c r="M637" s="11">
        <v>9.6393409999999999E-2</v>
      </c>
      <c r="N637" s="12">
        <v>6.1666353E-2</v>
      </c>
      <c r="O637" s="12">
        <v>7.2749668000000003E-2</v>
      </c>
      <c r="P637" s="12">
        <v>0.15596806799999999</v>
      </c>
      <c r="Q637" s="12">
        <v>0.14764295699999999</v>
      </c>
      <c r="R637" s="13">
        <v>0.13872525399999999</v>
      </c>
      <c r="S637" s="13">
        <v>7.8718827000000005E-2</v>
      </c>
      <c r="T637" s="13">
        <v>0.221824302</v>
      </c>
      <c r="U637" s="13">
        <v>0.1060487</v>
      </c>
      <c r="V637" s="15">
        <v>0.72083486514790984</v>
      </c>
      <c r="W637" s="15">
        <v>0.30308944854981101</v>
      </c>
      <c r="X637" s="15">
        <v>0</v>
      </c>
      <c r="Y637" s="15">
        <v>0.61701505381163568</v>
      </c>
      <c r="Z637" s="15">
        <v>0.25297265739872626</v>
      </c>
      <c r="AA637" s="15">
        <v>2.1496751055340865E-4</v>
      </c>
      <c r="AB637" s="16">
        <v>0</v>
      </c>
      <c r="AC637" s="16">
        <v>0</v>
      </c>
      <c r="AD637" s="16">
        <v>0</v>
      </c>
    </row>
    <row r="638" spans="1:30" x14ac:dyDescent="0.3">
      <c r="A638" s="8">
        <v>45524</v>
      </c>
      <c r="B638" s="9">
        <v>0.26118488699999998</v>
      </c>
      <c r="C638" s="9">
        <v>0.107499809</v>
      </c>
      <c r="D638" s="9">
        <v>0.34451004099999999</v>
      </c>
      <c r="E638" s="9">
        <v>0.27769774899999999</v>
      </c>
      <c r="F638" s="10">
        <v>0.23408738300000001</v>
      </c>
      <c r="G638" s="10">
        <v>9.6279255999999994E-2</v>
      </c>
      <c r="H638" s="10">
        <v>0.34835444799999998</v>
      </c>
      <c r="I638" s="10">
        <v>0.19898080300000001</v>
      </c>
      <c r="J638" s="11">
        <v>0.17378126199999999</v>
      </c>
      <c r="K638" s="11">
        <v>8.4030323000000004E-2</v>
      </c>
      <c r="L638" s="11">
        <v>0.33102964800000001</v>
      </c>
      <c r="M638" s="11">
        <v>0.121702965</v>
      </c>
      <c r="N638" s="12">
        <v>0.23789386000000001</v>
      </c>
      <c r="O638" s="12">
        <v>6.8635383999999994E-2</v>
      </c>
      <c r="P638" s="12">
        <v>0.309919579</v>
      </c>
      <c r="Q638" s="12">
        <v>9.6393409999999999E-2</v>
      </c>
      <c r="R638" s="13">
        <v>6.1666353E-2</v>
      </c>
      <c r="S638" s="13">
        <v>7.2749668000000003E-2</v>
      </c>
      <c r="T638" s="13">
        <v>0.15596806799999999</v>
      </c>
      <c r="U638" s="13">
        <v>0.14764295699999999</v>
      </c>
      <c r="V638" s="15">
        <v>0.45934022969350802</v>
      </c>
      <c r="W638" s="15">
        <v>0.30307882563544353</v>
      </c>
      <c r="X638" s="15">
        <v>1.3197991753900002E-3</v>
      </c>
      <c r="Y638" s="15">
        <v>0.52896036525002266</v>
      </c>
      <c r="Z638" s="15">
        <v>0.25297620190225018</v>
      </c>
      <c r="AA638" s="15">
        <v>1.3980269139515912E-3</v>
      </c>
      <c r="AB638" s="16">
        <v>0</v>
      </c>
      <c r="AC638" s="16">
        <v>0</v>
      </c>
      <c r="AD638" s="16">
        <v>0</v>
      </c>
    </row>
    <row r="639" spans="1:30" x14ac:dyDescent="0.3">
      <c r="A639" s="8">
        <v>45525</v>
      </c>
      <c r="B639" s="9">
        <v>3.1501016E-2</v>
      </c>
      <c r="C639" s="9">
        <v>3.2020897E-2</v>
      </c>
      <c r="D639" s="9">
        <v>4.4605983000000002E-2</v>
      </c>
      <c r="E639" s="9">
        <v>5.1599526E-2</v>
      </c>
      <c r="F639" s="10">
        <v>0.26118488699999998</v>
      </c>
      <c r="G639" s="10">
        <v>0.107499809</v>
      </c>
      <c r="H639" s="10">
        <v>0.34451004099999999</v>
      </c>
      <c r="I639" s="10">
        <v>0.27769774899999999</v>
      </c>
      <c r="J639" s="11">
        <v>0.23408738300000001</v>
      </c>
      <c r="K639" s="11">
        <v>9.6279255999999994E-2</v>
      </c>
      <c r="L639" s="11">
        <v>0.34835444799999998</v>
      </c>
      <c r="M639" s="11">
        <v>0.19898080300000001</v>
      </c>
      <c r="N639" s="12">
        <v>0.17378126199999999</v>
      </c>
      <c r="O639" s="12">
        <v>8.4030323000000004E-2</v>
      </c>
      <c r="P639" s="12">
        <v>0.33102964800000001</v>
      </c>
      <c r="Q639" s="12">
        <v>0.121702965</v>
      </c>
      <c r="R639" s="13">
        <v>0.23789386000000001</v>
      </c>
      <c r="S639" s="13">
        <v>6.8635383999999994E-2</v>
      </c>
      <c r="T639" s="13">
        <v>0.309919579</v>
      </c>
      <c r="U639" s="13">
        <v>9.6393409999999999E-2</v>
      </c>
      <c r="V639" s="15">
        <v>0.45934022969350802</v>
      </c>
      <c r="W639" s="15">
        <v>0.30396881852540353</v>
      </c>
      <c r="X639" s="15">
        <v>2.4306740534925656E-2</v>
      </c>
      <c r="Y639" s="15">
        <v>0.52896036525002266</v>
      </c>
      <c r="Z639" s="15">
        <v>0.25360454912019742</v>
      </c>
      <c r="AA639" s="15">
        <v>1.7693897879431673E-2</v>
      </c>
      <c r="AB639" s="16">
        <v>0</v>
      </c>
      <c r="AC639" s="16">
        <v>0</v>
      </c>
      <c r="AD639" s="16">
        <v>0</v>
      </c>
    </row>
    <row r="640" spans="1:30" x14ac:dyDescent="0.3">
      <c r="A640" s="8">
        <v>45526</v>
      </c>
      <c r="B640" s="9">
        <v>9.8552872999999999E-2</v>
      </c>
      <c r="C640" s="9">
        <v>2.9913506999999999E-2</v>
      </c>
      <c r="D640" s="9">
        <v>0.135720331</v>
      </c>
      <c r="E640" s="9">
        <v>6.1411360999999998E-2</v>
      </c>
      <c r="F640" s="10">
        <v>3.1501016E-2</v>
      </c>
      <c r="G640" s="10">
        <v>3.2020897E-2</v>
      </c>
      <c r="H640" s="10">
        <v>4.4605983000000002E-2</v>
      </c>
      <c r="I640" s="10">
        <v>5.1599526E-2</v>
      </c>
      <c r="J640" s="11">
        <v>0.26118488699999998</v>
      </c>
      <c r="K640" s="11">
        <v>0.107499809</v>
      </c>
      <c r="L640" s="11">
        <v>0.34451004099999999</v>
      </c>
      <c r="M640" s="11">
        <v>0.27769774899999999</v>
      </c>
      <c r="N640" s="12">
        <v>0.23408738300000001</v>
      </c>
      <c r="O640" s="12">
        <v>9.6279255999999994E-2</v>
      </c>
      <c r="P640" s="12">
        <v>0.34835444799999998</v>
      </c>
      <c r="Q640" s="12">
        <v>0.19898080300000001</v>
      </c>
      <c r="R640" s="13">
        <v>0.17378126199999999</v>
      </c>
      <c r="S640" s="13">
        <v>8.4030323000000004E-2</v>
      </c>
      <c r="T640" s="13">
        <v>0.33102964800000001</v>
      </c>
      <c r="U640" s="13">
        <v>0.121702965</v>
      </c>
      <c r="V640" s="15">
        <v>0.36280962546152595</v>
      </c>
      <c r="W640" s="15">
        <v>0.30397711447538861</v>
      </c>
      <c r="X640" s="15">
        <v>1.2661681722447063E-2</v>
      </c>
      <c r="Y640" s="15">
        <v>0.52896036525002266</v>
      </c>
      <c r="Z640" s="15">
        <v>0.25353542394519513</v>
      </c>
      <c r="AA640" s="15">
        <v>9.7744489913367174E-3</v>
      </c>
      <c r="AB640" s="16">
        <v>0</v>
      </c>
      <c r="AC640" s="16">
        <v>0</v>
      </c>
      <c r="AD640" s="16">
        <v>0</v>
      </c>
    </row>
    <row r="641" spans="1:30" x14ac:dyDescent="0.3">
      <c r="A641" s="8">
        <v>45527</v>
      </c>
      <c r="B641" s="9">
        <v>8.7647969000000006E-2</v>
      </c>
      <c r="C641" s="9">
        <v>4.4597244000000001E-2</v>
      </c>
      <c r="D641" s="9">
        <v>0.13605357500000001</v>
      </c>
      <c r="E641" s="9">
        <v>8.1338288999999994E-2</v>
      </c>
      <c r="F641" s="10">
        <v>9.8552872999999999E-2</v>
      </c>
      <c r="G641" s="10">
        <v>2.9913506999999999E-2</v>
      </c>
      <c r="H641" s="10">
        <v>0.135720331</v>
      </c>
      <c r="I641" s="10">
        <v>6.1411360999999998E-2</v>
      </c>
      <c r="J641" s="11">
        <v>3.1501016E-2</v>
      </c>
      <c r="K641" s="11">
        <v>3.2020897E-2</v>
      </c>
      <c r="L641" s="11">
        <v>4.4605983000000002E-2</v>
      </c>
      <c r="M641" s="11">
        <v>5.1599526E-2</v>
      </c>
      <c r="N641" s="12">
        <v>0.26118488699999998</v>
      </c>
      <c r="O641" s="12">
        <v>0.107499809</v>
      </c>
      <c r="P641" s="12">
        <v>0.34451004099999999</v>
      </c>
      <c r="Q641" s="12">
        <v>0.27769774899999999</v>
      </c>
      <c r="R641" s="13">
        <v>0.23408738300000001</v>
      </c>
      <c r="S641" s="13">
        <v>9.6279255999999994E-2</v>
      </c>
      <c r="T641" s="13">
        <v>0.34835444799999998</v>
      </c>
      <c r="U641" s="13">
        <v>0.19898080300000001</v>
      </c>
      <c r="V641" s="15">
        <v>0.3314448403948681</v>
      </c>
      <c r="W641" s="15">
        <v>0.30396198542796615</v>
      </c>
      <c r="X641" s="15">
        <v>1.6517749864053727E-3</v>
      </c>
      <c r="Y641" s="15">
        <v>0.45934022969350802</v>
      </c>
      <c r="Z641" s="15">
        <v>0.25350185645737372</v>
      </c>
      <c r="AA641" s="15">
        <v>1.9949102251498978E-3</v>
      </c>
      <c r="AB641" s="16">
        <v>0</v>
      </c>
      <c r="AC641" s="16">
        <v>0</v>
      </c>
      <c r="AD641" s="16">
        <v>0</v>
      </c>
    </row>
    <row r="642" spans="1:30" x14ac:dyDescent="0.3">
      <c r="A642" s="8">
        <v>45530</v>
      </c>
      <c r="B642" s="9">
        <v>9.0918555999999998E-2</v>
      </c>
      <c r="C642" s="9">
        <v>4.7327284999999997E-2</v>
      </c>
      <c r="D642" s="9">
        <v>0.104776314</v>
      </c>
      <c r="E642" s="9">
        <v>6.8132317999999997E-2</v>
      </c>
      <c r="F642" s="10">
        <v>8.7647969000000006E-2</v>
      </c>
      <c r="G642" s="10">
        <v>4.4597244000000001E-2</v>
      </c>
      <c r="H642" s="10">
        <v>0.13605357500000001</v>
      </c>
      <c r="I642" s="10">
        <v>8.1338288999999994E-2</v>
      </c>
      <c r="J642" s="11">
        <v>9.8552872999999999E-2</v>
      </c>
      <c r="K642" s="11">
        <v>2.9913506999999999E-2</v>
      </c>
      <c r="L642" s="11">
        <v>0.135720331</v>
      </c>
      <c r="M642" s="11">
        <v>6.1411360999999998E-2</v>
      </c>
      <c r="N642" s="12">
        <v>3.1501016E-2</v>
      </c>
      <c r="O642" s="12">
        <v>3.2020897E-2</v>
      </c>
      <c r="P642" s="12">
        <v>4.4605983000000002E-2</v>
      </c>
      <c r="Q642" s="12">
        <v>5.1599526E-2</v>
      </c>
      <c r="R642" s="13">
        <v>0.26118488699999998</v>
      </c>
      <c r="S642" s="13">
        <v>0.107499809</v>
      </c>
      <c r="T642" s="13">
        <v>0.34451004099999999</v>
      </c>
      <c r="U642" s="13">
        <v>0.27769774899999999</v>
      </c>
      <c r="V642" s="15">
        <v>0.36280962546152595</v>
      </c>
      <c r="W642" s="15">
        <v>0.3029145070915944</v>
      </c>
      <c r="X642" s="15">
        <v>0</v>
      </c>
      <c r="Y642" s="15">
        <v>0.48896507250867827</v>
      </c>
      <c r="Z642" s="15">
        <v>0.25344167153299541</v>
      </c>
      <c r="AA642" s="15">
        <v>0</v>
      </c>
      <c r="AB642" s="16">
        <v>0</v>
      </c>
      <c r="AC642" s="16">
        <v>0</v>
      </c>
      <c r="AD642" s="16">
        <v>0</v>
      </c>
    </row>
    <row r="643" spans="1:30" x14ac:dyDescent="0.3">
      <c r="A643" s="8">
        <v>45531</v>
      </c>
      <c r="B643" s="9">
        <v>5.2432246000000002E-2</v>
      </c>
      <c r="C643" s="9">
        <v>3.3288520000000002E-2</v>
      </c>
      <c r="D643" s="9">
        <v>8.5491295999999994E-2</v>
      </c>
      <c r="E643" s="9">
        <v>5.3185323E-2</v>
      </c>
      <c r="F643" s="10">
        <v>9.0918555999999998E-2</v>
      </c>
      <c r="G643" s="10">
        <v>4.7327284999999997E-2</v>
      </c>
      <c r="H643" s="10">
        <v>0.104776314</v>
      </c>
      <c r="I643" s="10">
        <v>6.8132317999999997E-2</v>
      </c>
      <c r="J643" s="11">
        <v>8.7647969000000006E-2</v>
      </c>
      <c r="K643" s="11">
        <v>4.4597244000000001E-2</v>
      </c>
      <c r="L643" s="11">
        <v>0.13605357500000001</v>
      </c>
      <c r="M643" s="11">
        <v>8.1338288999999994E-2</v>
      </c>
      <c r="N643" s="12">
        <v>9.8552872999999999E-2</v>
      </c>
      <c r="O643" s="12">
        <v>2.9913506999999999E-2</v>
      </c>
      <c r="P643" s="12">
        <v>0.135720331</v>
      </c>
      <c r="Q643" s="12">
        <v>6.1411360999999998E-2</v>
      </c>
      <c r="R643" s="13">
        <v>3.1501016E-2</v>
      </c>
      <c r="S643" s="13">
        <v>3.2020897E-2</v>
      </c>
      <c r="T643" s="13">
        <v>4.4605983000000002E-2</v>
      </c>
      <c r="U643" s="13">
        <v>5.1599526E-2</v>
      </c>
      <c r="V643" s="15">
        <v>0.36280962546152595</v>
      </c>
      <c r="W643" s="15">
        <v>0.30069230394310204</v>
      </c>
      <c r="X643" s="15">
        <v>9.7239899266535167E-3</v>
      </c>
      <c r="Y643" s="15">
        <v>0.42017724165438142</v>
      </c>
      <c r="Z643" s="15">
        <v>0.25297893114659814</v>
      </c>
      <c r="AA643" s="15">
        <v>6.9050541589748436E-3</v>
      </c>
      <c r="AB643" s="16">
        <v>0</v>
      </c>
      <c r="AC643" s="16">
        <v>0</v>
      </c>
      <c r="AD643" s="16">
        <v>0</v>
      </c>
    </row>
    <row r="644" spans="1:30" x14ac:dyDescent="0.3">
      <c r="A644" s="8">
        <v>45532</v>
      </c>
      <c r="B644" s="9">
        <v>2.101567E-2</v>
      </c>
      <c r="C644" s="9">
        <v>4.7348534999999997E-2</v>
      </c>
      <c r="D644" s="9">
        <v>7.1011695999999999E-2</v>
      </c>
      <c r="E644" s="9">
        <v>7.1169002999999995E-2</v>
      </c>
      <c r="F644" s="10">
        <v>5.2432246000000002E-2</v>
      </c>
      <c r="G644" s="10">
        <v>3.3288520000000002E-2</v>
      </c>
      <c r="H644" s="10">
        <v>8.5491295999999994E-2</v>
      </c>
      <c r="I644" s="10">
        <v>5.3185323E-2</v>
      </c>
      <c r="J644" s="11">
        <v>9.0918555999999998E-2</v>
      </c>
      <c r="K644" s="11">
        <v>4.7327284999999997E-2</v>
      </c>
      <c r="L644" s="11">
        <v>0.104776314</v>
      </c>
      <c r="M644" s="11">
        <v>6.8132317999999997E-2</v>
      </c>
      <c r="N644" s="12">
        <v>8.7647969000000006E-2</v>
      </c>
      <c r="O644" s="12">
        <v>4.4597244000000001E-2</v>
      </c>
      <c r="P644" s="12">
        <v>0.13605357500000001</v>
      </c>
      <c r="Q644" s="12">
        <v>8.1338288999999994E-2</v>
      </c>
      <c r="R644" s="13">
        <v>9.8552872999999999E-2</v>
      </c>
      <c r="S644" s="13">
        <v>2.9913506999999999E-2</v>
      </c>
      <c r="T644" s="13">
        <v>0.135720331</v>
      </c>
      <c r="U644" s="13">
        <v>6.1411360999999998E-2</v>
      </c>
      <c r="V644" s="15">
        <v>0.42017724165438142</v>
      </c>
      <c r="W644" s="15">
        <v>0.30001225947848892</v>
      </c>
      <c r="X644" s="15">
        <v>0</v>
      </c>
      <c r="Y644" s="15">
        <v>0.42017724165438142</v>
      </c>
      <c r="Z644" s="15">
        <v>0.25321739270498284</v>
      </c>
      <c r="AA644" s="15">
        <v>0</v>
      </c>
      <c r="AB644" s="16">
        <v>0</v>
      </c>
      <c r="AC644" s="16">
        <v>1</v>
      </c>
      <c r="AD644" s="16">
        <v>1</v>
      </c>
    </row>
    <row r="645" spans="1:30" x14ac:dyDescent="0.3">
      <c r="A645" s="8">
        <v>45533</v>
      </c>
      <c r="B645" s="9">
        <v>0.13642589899999999</v>
      </c>
      <c r="C645" s="9">
        <v>4.3230797000000001E-2</v>
      </c>
      <c r="D645" s="9">
        <v>0.18016298</v>
      </c>
      <c r="E645" s="9">
        <v>6.7140794000000004E-2</v>
      </c>
      <c r="F645" s="10">
        <v>2.101567E-2</v>
      </c>
      <c r="G645" s="10">
        <v>4.7348534999999997E-2</v>
      </c>
      <c r="H645" s="10">
        <v>7.1011695999999999E-2</v>
      </c>
      <c r="I645" s="10">
        <v>7.1169002999999995E-2</v>
      </c>
      <c r="J645" s="11">
        <v>5.2432246000000002E-2</v>
      </c>
      <c r="K645" s="11">
        <v>3.3288520000000002E-2</v>
      </c>
      <c r="L645" s="11">
        <v>8.5491295999999994E-2</v>
      </c>
      <c r="M645" s="11">
        <v>5.3185323E-2</v>
      </c>
      <c r="N645" s="12">
        <v>9.0918555999999998E-2</v>
      </c>
      <c r="O645" s="12">
        <v>4.7327284999999997E-2</v>
      </c>
      <c r="P645" s="12">
        <v>0.104776314</v>
      </c>
      <c r="Q645" s="12">
        <v>6.8132317999999997E-2</v>
      </c>
      <c r="R645" s="13">
        <v>8.7647969000000006E-2</v>
      </c>
      <c r="S645" s="13">
        <v>4.4597244000000001E-2</v>
      </c>
      <c r="T645" s="13">
        <v>0.13605357500000001</v>
      </c>
      <c r="U645" s="13">
        <v>8.1338288999999994E-2</v>
      </c>
      <c r="V645" s="15">
        <v>0.36280962546152595</v>
      </c>
      <c r="W645" s="15">
        <v>0.30018805231945389</v>
      </c>
      <c r="X645" s="15">
        <v>2.2282031526957617E-2</v>
      </c>
      <c r="Y645" s="15">
        <v>0.36280962546152595</v>
      </c>
      <c r="Z645" s="15">
        <v>0.25359745409525553</v>
      </c>
      <c r="AA645" s="15">
        <v>1.5653360440264823E-2</v>
      </c>
      <c r="AB645" s="16">
        <v>0</v>
      </c>
      <c r="AC645" s="16">
        <v>1</v>
      </c>
      <c r="AD645" s="16">
        <v>1</v>
      </c>
    </row>
    <row r="646" spans="1:30" x14ac:dyDescent="0.3">
      <c r="A646" s="8">
        <v>45534</v>
      </c>
      <c r="B646" s="9">
        <v>0.114481501</v>
      </c>
      <c r="C646" s="9">
        <v>3.8678034E-2</v>
      </c>
      <c r="D646" s="9">
        <v>0.13549625700000001</v>
      </c>
      <c r="E646" s="9">
        <v>8.5644565000000006E-2</v>
      </c>
      <c r="F646" s="10">
        <v>0.13642589899999999</v>
      </c>
      <c r="G646" s="10">
        <v>4.3230797000000001E-2</v>
      </c>
      <c r="H646" s="10">
        <v>0.18016298</v>
      </c>
      <c r="I646" s="10">
        <v>6.7140794000000004E-2</v>
      </c>
      <c r="J646" s="11">
        <v>2.101567E-2</v>
      </c>
      <c r="K646" s="11">
        <v>4.7348534999999997E-2</v>
      </c>
      <c r="L646" s="11">
        <v>7.1011695999999999E-2</v>
      </c>
      <c r="M646" s="11">
        <v>7.1169002999999995E-2</v>
      </c>
      <c r="N646" s="12">
        <v>5.2432246000000002E-2</v>
      </c>
      <c r="O646" s="12">
        <v>3.3288520000000002E-2</v>
      </c>
      <c r="P646" s="12">
        <v>8.5491295999999994E-2</v>
      </c>
      <c r="Q646" s="12">
        <v>5.3185323E-2</v>
      </c>
      <c r="R646" s="13">
        <v>9.0918555999999998E-2</v>
      </c>
      <c r="S646" s="13">
        <v>4.7327284999999997E-2</v>
      </c>
      <c r="T646" s="13">
        <v>0.104776314</v>
      </c>
      <c r="U646" s="13">
        <v>6.8132317999999997E-2</v>
      </c>
      <c r="V646" s="15">
        <v>0.42017724165438142</v>
      </c>
      <c r="W646" s="15">
        <v>0.29918638831576</v>
      </c>
      <c r="X646" s="15">
        <v>0</v>
      </c>
      <c r="Y646" s="15">
        <v>0.36280962546152595</v>
      </c>
      <c r="Z646" s="15">
        <v>0.2531725444826019</v>
      </c>
      <c r="AA646" s="15">
        <v>0</v>
      </c>
      <c r="AB646" s="16">
        <v>0</v>
      </c>
      <c r="AC646" s="16">
        <v>1</v>
      </c>
      <c r="AD646" s="16">
        <v>1</v>
      </c>
    </row>
    <row r="647" spans="1:30" x14ac:dyDescent="0.3">
      <c r="A647" s="8">
        <v>45537</v>
      </c>
      <c r="B647" s="9">
        <v>9.5254343000000005E-2</v>
      </c>
      <c r="C647" s="9">
        <v>4.4018928999999998E-2</v>
      </c>
      <c r="D647" s="9">
        <v>9.6256518999999999E-2</v>
      </c>
      <c r="E647" s="9">
        <v>6.9300004999999998E-2</v>
      </c>
      <c r="F647" s="10">
        <v>0.114481501</v>
      </c>
      <c r="G647" s="10">
        <v>3.8678034E-2</v>
      </c>
      <c r="H647" s="10">
        <v>0.13549625700000001</v>
      </c>
      <c r="I647" s="10">
        <v>8.5644565000000006E-2</v>
      </c>
      <c r="J647" s="11">
        <v>0.13642589899999999</v>
      </c>
      <c r="K647" s="11">
        <v>4.3230797000000001E-2</v>
      </c>
      <c r="L647" s="11">
        <v>0.18016298</v>
      </c>
      <c r="M647" s="11">
        <v>6.7140794000000004E-2</v>
      </c>
      <c r="N647" s="12">
        <v>2.101567E-2</v>
      </c>
      <c r="O647" s="12">
        <v>4.7348534999999997E-2</v>
      </c>
      <c r="P647" s="12">
        <v>7.1011695999999999E-2</v>
      </c>
      <c r="Q647" s="12">
        <v>7.1169002999999995E-2</v>
      </c>
      <c r="R647" s="13">
        <v>5.2432246000000002E-2</v>
      </c>
      <c r="S647" s="13">
        <v>3.3288520000000002E-2</v>
      </c>
      <c r="T647" s="13">
        <v>8.5491295999999994E-2</v>
      </c>
      <c r="U647" s="13">
        <v>5.3185323E-2</v>
      </c>
      <c r="V647" s="15">
        <v>0.36280962546152595</v>
      </c>
      <c r="W647" s="15">
        <v>0.29904855227561028</v>
      </c>
      <c r="X647" s="15">
        <v>5.8972049121148624E-3</v>
      </c>
      <c r="Y647" s="15">
        <v>0.3314448403948681</v>
      </c>
      <c r="Z647" s="15">
        <v>0.25313403062873213</v>
      </c>
      <c r="AA647" s="15">
        <v>3.7550544585121964E-3</v>
      </c>
      <c r="AB647" s="16">
        <v>0</v>
      </c>
      <c r="AC647" s="16">
        <v>1</v>
      </c>
      <c r="AD647" s="16">
        <v>1</v>
      </c>
    </row>
    <row r="648" spans="1:30" x14ac:dyDescent="0.3">
      <c r="A648" s="8">
        <v>45538</v>
      </c>
      <c r="B648" s="9">
        <v>8.6851495000000001E-2</v>
      </c>
      <c r="C648" s="9">
        <v>4.8255275E-2</v>
      </c>
      <c r="D648" s="9">
        <v>6.4403160000000001E-2</v>
      </c>
      <c r="E648" s="9">
        <v>6.6337509000000003E-2</v>
      </c>
      <c r="F648" s="10">
        <v>9.5254343000000005E-2</v>
      </c>
      <c r="G648" s="10">
        <v>4.4018928999999998E-2</v>
      </c>
      <c r="H648" s="10">
        <v>9.6256518999999999E-2</v>
      </c>
      <c r="I648" s="10">
        <v>6.9300004999999998E-2</v>
      </c>
      <c r="J648" s="11">
        <v>0.114481501</v>
      </c>
      <c r="K648" s="11">
        <v>3.8678034E-2</v>
      </c>
      <c r="L648" s="11">
        <v>0.13549625700000001</v>
      </c>
      <c r="M648" s="11">
        <v>8.5644565000000006E-2</v>
      </c>
      <c r="N648" s="12">
        <v>0.13642589899999999</v>
      </c>
      <c r="O648" s="12">
        <v>4.3230797000000001E-2</v>
      </c>
      <c r="P648" s="12">
        <v>0.18016298</v>
      </c>
      <c r="Q648" s="12">
        <v>6.7140794000000004E-2</v>
      </c>
      <c r="R648" s="13">
        <v>2.101567E-2</v>
      </c>
      <c r="S648" s="13">
        <v>4.7348534999999997E-2</v>
      </c>
      <c r="T648" s="13">
        <v>7.1011695999999999E-2</v>
      </c>
      <c r="U648" s="13">
        <v>7.1169002999999995E-2</v>
      </c>
      <c r="V648" s="15">
        <v>0.3314448403948681</v>
      </c>
      <c r="W648" s="15">
        <v>0.29633143565481074</v>
      </c>
      <c r="X648" s="15">
        <v>1.8630530501653753E-2</v>
      </c>
      <c r="Y648" s="15">
        <v>0.3314448403948681</v>
      </c>
      <c r="Z648" s="15">
        <v>0.25344050142073082</v>
      </c>
      <c r="AA648" s="15">
        <v>1.343758631079219E-2</v>
      </c>
      <c r="AB648" s="16">
        <v>0</v>
      </c>
      <c r="AC648" s="16">
        <v>1</v>
      </c>
      <c r="AD648" s="16">
        <v>1</v>
      </c>
    </row>
    <row r="649" spans="1:30" x14ac:dyDescent="0.3">
      <c r="A649" s="8">
        <v>45539</v>
      </c>
      <c r="B649" s="9">
        <v>0.13047326400000001</v>
      </c>
      <c r="C649" s="9">
        <v>8.0867751000000002E-2</v>
      </c>
      <c r="D649" s="9">
        <v>5.8605606999999997E-2</v>
      </c>
      <c r="E649" s="9">
        <v>0.11568223</v>
      </c>
      <c r="F649" s="10">
        <v>8.6851495000000001E-2</v>
      </c>
      <c r="G649" s="10">
        <v>4.8255275E-2</v>
      </c>
      <c r="H649" s="10">
        <v>6.4403160000000001E-2</v>
      </c>
      <c r="I649" s="10">
        <v>6.6337509000000003E-2</v>
      </c>
      <c r="J649" s="11">
        <v>9.5254343000000005E-2</v>
      </c>
      <c r="K649" s="11">
        <v>4.4018928999999998E-2</v>
      </c>
      <c r="L649" s="11">
        <v>9.6256518999999999E-2</v>
      </c>
      <c r="M649" s="11">
        <v>6.9300004999999998E-2</v>
      </c>
      <c r="N649" s="12">
        <v>0.114481501</v>
      </c>
      <c r="O649" s="12">
        <v>3.8678034E-2</v>
      </c>
      <c r="P649" s="12">
        <v>0.13549625700000001</v>
      </c>
      <c r="Q649" s="12">
        <v>8.5644565000000006E-2</v>
      </c>
      <c r="R649" s="13">
        <v>0.13642589899999999</v>
      </c>
      <c r="S649" s="13">
        <v>4.3230797000000001E-2</v>
      </c>
      <c r="T649" s="13">
        <v>0.18016298</v>
      </c>
      <c r="U649" s="13">
        <v>6.7140794000000004E-2</v>
      </c>
      <c r="V649" s="15">
        <v>0.3314448403948681</v>
      </c>
      <c r="W649" s="15">
        <v>0.31851264833017912</v>
      </c>
      <c r="X649" s="15">
        <v>0.11509497606229467</v>
      </c>
      <c r="Y649" s="15">
        <v>0.32240275535755841</v>
      </c>
      <c r="Z649" s="15">
        <v>0.26623239919723946</v>
      </c>
      <c r="AA649" s="15">
        <v>8.2124017315436684E-2</v>
      </c>
      <c r="AB649" s="16">
        <v>0</v>
      </c>
      <c r="AC649" s="16">
        <v>0</v>
      </c>
      <c r="AD649" s="16">
        <v>0</v>
      </c>
    </row>
    <row r="650" spans="1:30" x14ac:dyDescent="0.3">
      <c r="A650" s="8">
        <v>45540</v>
      </c>
      <c r="B650" s="9">
        <v>0.18979816799999999</v>
      </c>
      <c r="C650" s="9">
        <v>4.1561252E-2</v>
      </c>
      <c r="D650" s="9">
        <v>0.27645088299999998</v>
      </c>
      <c r="E650" s="9">
        <v>0.10141657</v>
      </c>
      <c r="F650" s="10">
        <v>0.13047326400000001</v>
      </c>
      <c r="G650" s="10">
        <v>8.0867751000000002E-2</v>
      </c>
      <c r="H650" s="10">
        <v>5.8605606999999997E-2</v>
      </c>
      <c r="I650" s="10">
        <v>0.11568223</v>
      </c>
      <c r="J650" s="11">
        <v>8.6851495000000001E-2</v>
      </c>
      <c r="K650" s="11">
        <v>4.8255275E-2</v>
      </c>
      <c r="L650" s="11">
        <v>6.4403160000000001E-2</v>
      </c>
      <c r="M650" s="11">
        <v>6.6337509000000003E-2</v>
      </c>
      <c r="N650" s="12">
        <v>9.5254343000000005E-2</v>
      </c>
      <c r="O650" s="12">
        <v>4.4018928999999998E-2</v>
      </c>
      <c r="P650" s="12">
        <v>9.6256518999999999E-2</v>
      </c>
      <c r="Q650" s="12">
        <v>6.9300004999999998E-2</v>
      </c>
      <c r="R650" s="13">
        <v>0.114481501</v>
      </c>
      <c r="S650" s="13">
        <v>3.8678034E-2</v>
      </c>
      <c r="T650" s="13">
        <v>0.13549625700000001</v>
      </c>
      <c r="U650" s="13">
        <v>8.5644565000000006E-2</v>
      </c>
      <c r="V650" s="15">
        <v>0.36280962546152595</v>
      </c>
      <c r="W650" s="15">
        <v>0.3186373124298702</v>
      </c>
      <c r="X650" s="15">
        <v>0</v>
      </c>
      <c r="Y650" s="15">
        <v>0.3314448403948681</v>
      </c>
      <c r="Z650" s="15">
        <v>0.26631047297470511</v>
      </c>
      <c r="AA650" s="15">
        <v>0</v>
      </c>
      <c r="AB650" s="16">
        <v>1</v>
      </c>
      <c r="AC650" s="16">
        <v>0</v>
      </c>
      <c r="AD650" s="16">
        <v>1</v>
      </c>
    </row>
    <row r="651" spans="1:30" x14ac:dyDescent="0.3">
      <c r="A651" s="8">
        <v>45541</v>
      </c>
      <c r="B651" s="9">
        <v>0.15633649599999999</v>
      </c>
      <c r="C651" s="9">
        <v>4.1672002E-2</v>
      </c>
      <c r="D651" s="9">
        <v>0.31226448299999998</v>
      </c>
      <c r="E651" s="9">
        <v>7.7892876999999999E-2</v>
      </c>
      <c r="F651" s="10">
        <v>0.18979816799999999</v>
      </c>
      <c r="G651" s="10">
        <v>4.1561252E-2</v>
      </c>
      <c r="H651" s="10">
        <v>0.27645088299999998</v>
      </c>
      <c r="I651" s="10">
        <v>0.10141657</v>
      </c>
      <c r="J651" s="11">
        <v>0.13047326400000001</v>
      </c>
      <c r="K651" s="11">
        <v>8.0867751000000002E-2</v>
      </c>
      <c r="L651" s="11">
        <v>5.8605606999999997E-2</v>
      </c>
      <c r="M651" s="11">
        <v>0.11568223</v>
      </c>
      <c r="N651" s="12">
        <v>8.6851495000000001E-2</v>
      </c>
      <c r="O651" s="12">
        <v>4.8255275E-2</v>
      </c>
      <c r="P651" s="12">
        <v>6.4403160000000001E-2</v>
      </c>
      <c r="Q651" s="12">
        <v>6.6337509000000003E-2</v>
      </c>
      <c r="R651" s="13">
        <v>9.5254343000000005E-2</v>
      </c>
      <c r="S651" s="13">
        <v>4.4018928999999998E-2</v>
      </c>
      <c r="T651" s="13">
        <v>9.6256518999999999E-2</v>
      </c>
      <c r="U651" s="13">
        <v>6.9300004999999998E-2</v>
      </c>
      <c r="V651" s="15">
        <v>0.36280962546152595</v>
      </c>
      <c r="W651" s="15">
        <v>0.31861463106322901</v>
      </c>
      <c r="X651" s="15">
        <v>0</v>
      </c>
      <c r="Y651" s="15">
        <v>0.36280962546152595</v>
      </c>
      <c r="Z651" s="15">
        <v>0.2669732232239207</v>
      </c>
      <c r="AA651" s="15">
        <v>0</v>
      </c>
      <c r="AB651" s="16">
        <v>1</v>
      </c>
      <c r="AC651" s="16">
        <v>0</v>
      </c>
      <c r="AD651" s="16">
        <v>1</v>
      </c>
    </row>
    <row r="652" spans="1:30" x14ac:dyDescent="0.3">
      <c r="A652" s="8">
        <v>45544</v>
      </c>
      <c r="B652" s="9">
        <v>0.17699506400000001</v>
      </c>
      <c r="C652" s="9">
        <v>9.7660188999999994E-2</v>
      </c>
      <c r="D652" s="9">
        <v>0.32339160700000003</v>
      </c>
      <c r="E652" s="9">
        <v>0.12245177</v>
      </c>
      <c r="F652" s="10">
        <v>0.15633649599999999</v>
      </c>
      <c r="G652" s="10">
        <v>4.1672002E-2</v>
      </c>
      <c r="H652" s="10">
        <v>0.31226448299999998</v>
      </c>
      <c r="I652" s="10">
        <v>7.7892876999999999E-2</v>
      </c>
      <c r="J652" s="11">
        <v>0.18979816799999999</v>
      </c>
      <c r="K652" s="11">
        <v>4.1561252E-2</v>
      </c>
      <c r="L652" s="11">
        <v>0.27645088299999998</v>
      </c>
      <c r="M652" s="11">
        <v>0.10141657</v>
      </c>
      <c r="N652" s="12">
        <v>0.13047326400000001</v>
      </c>
      <c r="O652" s="12">
        <v>8.0867751000000002E-2</v>
      </c>
      <c r="P652" s="12">
        <v>5.8605606999999997E-2</v>
      </c>
      <c r="Q652" s="12">
        <v>0.11568223</v>
      </c>
      <c r="R652" s="13">
        <v>8.6851495000000001E-2</v>
      </c>
      <c r="S652" s="13">
        <v>4.8255275E-2</v>
      </c>
      <c r="T652" s="13">
        <v>6.4403160000000001E-2</v>
      </c>
      <c r="U652" s="13">
        <v>6.6337509000000003E-2</v>
      </c>
      <c r="V652" s="15">
        <v>0.3314448403948681</v>
      </c>
      <c r="W652" s="15">
        <v>0.31796775908569153</v>
      </c>
      <c r="X652" s="15">
        <v>1.9788002777458485E-2</v>
      </c>
      <c r="Y652" s="15">
        <v>0.36280962546152595</v>
      </c>
      <c r="Z652" s="15">
        <v>0.26632060847455258</v>
      </c>
      <c r="AA652" s="15">
        <v>1.542391777037321E-2</v>
      </c>
      <c r="AB652" s="16">
        <v>1</v>
      </c>
      <c r="AC652" s="16">
        <v>0</v>
      </c>
      <c r="AD652" s="16">
        <v>1</v>
      </c>
    </row>
    <row r="653" spans="1:30" x14ac:dyDescent="0.3">
      <c r="A653" s="8">
        <v>45545</v>
      </c>
      <c r="B653" s="9">
        <v>0.14487836700000001</v>
      </c>
      <c r="C653" s="9">
        <v>5.5627878999999998E-2</v>
      </c>
      <c r="D653" s="9">
        <v>0.187221042</v>
      </c>
      <c r="E653" s="9">
        <v>9.0515024999999999E-2</v>
      </c>
      <c r="F653" s="10">
        <v>0.17699506400000001</v>
      </c>
      <c r="G653" s="10">
        <v>9.7660188999999994E-2</v>
      </c>
      <c r="H653" s="10">
        <v>0.32339160700000003</v>
      </c>
      <c r="I653" s="10">
        <v>0.12245177</v>
      </c>
      <c r="J653" s="11">
        <v>0.15633649599999999</v>
      </c>
      <c r="K653" s="11">
        <v>4.1672002E-2</v>
      </c>
      <c r="L653" s="11">
        <v>0.31226448299999998</v>
      </c>
      <c r="M653" s="11">
        <v>7.7892876999999999E-2</v>
      </c>
      <c r="N653" s="12">
        <v>0.18979816799999999</v>
      </c>
      <c r="O653" s="12">
        <v>4.1561252E-2</v>
      </c>
      <c r="P653" s="12">
        <v>0.27645088299999998</v>
      </c>
      <c r="Q653" s="12">
        <v>0.10141657</v>
      </c>
      <c r="R653" s="13">
        <v>0.13047326400000001</v>
      </c>
      <c r="S653" s="13">
        <v>8.0867751000000002E-2</v>
      </c>
      <c r="T653" s="13">
        <v>5.8605606999999997E-2</v>
      </c>
      <c r="U653" s="13">
        <v>0.11568223</v>
      </c>
      <c r="V653" s="15">
        <v>0.32240275535755841</v>
      </c>
      <c r="W653" s="15">
        <v>0.31739740054756443</v>
      </c>
      <c r="X653" s="15">
        <v>9.2220981980658968E-3</v>
      </c>
      <c r="Y653" s="15">
        <v>0.3314448403948681</v>
      </c>
      <c r="Z653" s="15">
        <v>0.26631431864489252</v>
      </c>
      <c r="AA653" s="15">
        <v>8.1742595032692055E-3</v>
      </c>
      <c r="AB653" s="16">
        <v>1</v>
      </c>
      <c r="AC653" s="16">
        <v>0</v>
      </c>
      <c r="AD653" s="16">
        <v>1</v>
      </c>
    </row>
    <row r="654" spans="1:30" x14ac:dyDescent="0.3">
      <c r="A654" s="8">
        <v>45546</v>
      </c>
      <c r="B654" s="9">
        <v>8.5615109999999994E-2</v>
      </c>
      <c r="C654" s="9">
        <v>6.3856277000000003E-2</v>
      </c>
      <c r="D654" s="9">
        <v>0.103233481</v>
      </c>
      <c r="E654" s="9">
        <v>0.12044395200000001</v>
      </c>
      <c r="F654" s="10">
        <v>0.14487836700000001</v>
      </c>
      <c r="G654" s="10">
        <v>5.5627878999999998E-2</v>
      </c>
      <c r="H654" s="10">
        <v>0.187221042</v>
      </c>
      <c r="I654" s="10">
        <v>9.0515024999999999E-2</v>
      </c>
      <c r="J654" s="11">
        <v>0.17699506400000001</v>
      </c>
      <c r="K654" s="11">
        <v>9.7660188999999994E-2</v>
      </c>
      <c r="L654" s="11">
        <v>0.32339160700000003</v>
      </c>
      <c r="M654" s="11">
        <v>0.12245177</v>
      </c>
      <c r="N654" s="12">
        <v>0.15633649599999999</v>
      </c>
      <c r="O654" s="12">
        <v>4.1672002E-2</v>
      </c>
      <c r="P654" s="12">
        <v>0.31226448299999998</v>
      </c>
      <c r="Q654" s="12">
        <v>7.7892876999999999E-2</v>
      </c>
      <c r="R654" s="13">
        <v>0.18979816799999999</v>
      </c>
      <c r="S654" s="13">
        <v>4.1561252E-2</v>
      </c>
      <c r="T654" s="13">
        <v>0.27645088299999998</v>
      </c>
      <c r="U654" s="13">
        <v>0.10141657</v>
      </c>
      <c r="V654" s="15">
        <v>0.32240275535755841</v>
      </c>
      <c r="W654" s="15">
        <v>0.31741891752252632</v>
      </c>
      <c r="X654" s="15">
        <v>3.6509536161229302E-3</v>
      </c>
      <c r="Y654" s="15">
        <v>0.3314448403948681</v>
      </c>
      <c r="Z654" s="15">
        <v>0.26632542182215779</v>
      </c>
      <c r="AA654" s="15">
        <v>4.2681674262852014E-3</v>
      </c>
      <c r="AB654" s="16">
        <v>1</v>
      </c>
      <c r="AC654" s="16">
        <v>0</v>
      </c>
      <c r="AD654" s="16">
        <v>1</v>
      </c>
    </row>
    <row r="655" spans="1:30" x14ac:dyDescent="0.3">
      <c r="A655" s="8">
        <v>45547</v>
      </c>
      <c r="B655" s="9">
        <v>0.19055033800000001</v>
      </c>
      <c r="C655" s="9">
        <v>0.104880864</v>
      </c>
      <c r="D655" s="9">
        <v>0.394777567</v>
      </c>
      <c r="E655" s="9">
        <v>0.14779725599999999</v>
      </c>
      <c r="F655" s="10">
        <v>8.5615109999999994E-2</v>
      </c>
      <c r="G655" s="10">
        <v>6.3856277000000003E-2</v>
      </c>
      <c r="H655" s="10">
        <v>0.103233481</v>
      </c>
      <c r="I655" s="10">
        <v>0.12044395200000001</v>
      </c>
      <c r="J655" s="11">
        <v>0.14487836700000001</v>
      </c>
      <c r="K655" s="11">
        <v>5.5627878999999998E-2</v>
      </c>
      <c r="L655" s="11">
        <v>0.187221042</v>
      </c>
      <c r="M655" s="11">
        <v>9.0515024999999999E-2</v>
      </c>
      <c r="N655" s="12">
        <v>0.17699506400000001</v>
      </c>
      <c r="O655" s="12">
        <v>9.7660188999999994E-2</v>
      </c>
      <c r="P655" s="12">
        <v>0.32339160700000003</v>
      </c>
      <c r="Q655" s="12">
        <v>0.12245177</v>
      </c>
      <c r="R655" s="13">
        <v>0.15633649599999999</v>
      </c>
      <c r="S655" s="13">
        <v>4.1672002E-2</v>
      </c>
      <c r="T655" s="13">
        <v>0.31226448299999998</v>
      </c>
      <c r="U655" s="13">
        <v>7.7892876999999999E-2</v>
      </c>
      <c r="V655" s="15">
        <v>0.32240275535755841</v>
      </c>
      <c r="W655" s="15">
        <v>0.32431436029479083</v>
      </c>
      <c r="X655" s="15">
        <v>0</v>
      </c>
      <c r="Y655" s="15">
        <v>0.36280962546152595</v>
      </c>
      <c r="Z655" s="15">
        <v>0.27072449953089767</v>
      </c>
      <c r="AA655" s="15">
        <v>0</v>
      </c>
      <c r="AB655" s="16">
        <v>1</v>
      </c>
      <c r="AC655" s="16">
        <v>0</v>
      </c>
      <c r="AD655" s="16">
        <v>1</v>
      </c>
    </row>
    <row r="656" spans="1:30" x14ac:dyDescent="0.3">
      <c r="A656" s="8">
        <v>45548</v>
      </c>
      <c r="B656" s="9">
        <v>0.19094851600000001</v>
      </c>
      <c r="C656" s="9">
        <v>6.2065059999999998E-2</v>
      </c>
      <c r="D656" s="9">
        <v>0.29247876299999997</v>
      </c>
      <c r="E656" s="9">
        <v>0.121679369</v>
      </c>
      <c r="F656" s="10">
        <v>0.19055033800000001</v>
      </c>
      <c r="G656" s="10">
        <v>0.104880864</v>
      </c>
      <c r="H656" s="10">
        <v>0.394777567</v>
      </c>
      <c r="I656" s="10">
        <v>0.14779725599999999</v>
      </c>
      <c r="J656" s="11">
        <v>8.5615109999999994E-2</v>
      </c>
      <c r="K656" s="11">
        <v>6.3856277000000003E-2</v>
      </c>
      <c r="L656" s="11">
        <v>0.103233481</v>
      </c>
      <c r="M656" s="11">
        <v>0.12044395200000001</v>
      </c>
      <c r="N656" s="12">
        <v>0.14487836700000001</v>
      </c>
      <c r="O656" s="12">
        <v>5.5627878999999998E-2</v>
      </c>
      <c r="P656" s="12">
        <v>0.187221042</v>
      </c>
      <c r="Q656" s="12">
        <v>9.0515024999999999E-2</v>
      </c>
      <c r="R656" s="13">
        <v>0.17699506400000001</v>
      </c>
      <c r="S656" s="13">
        <v>9.7660188999999994E-2</v>
      </c>
      <c r="T656" s="13">
        <v>0.32339160700000003</v>
      </c>
      <c r="U656" s="13">
        <v>0.12245177</v>
      </c>
      <c r="V656" s="15">
        <v>0.32240275535755841</v>
      </c>
      <c r="W656" s="15">
        <v>0.32085655665874108</v>
      </c>
      <c r="X656" s="15">
        <v>0</v>
      </c>
      <c r="Y656" s="15">
        <v>0.36280962546152595</v>
      </c>
      <c r="Z656" s="15">
        <v>0.26860971425434976</v>
      </c>
      <c r="AA656" s="15">
        <v>0</v>
      </c>
      <c r="AB656" s="16">
        <v>1</v>
      </c>
      <c r="AC656" s="16">
        <v>0</v>
      </c>
      <c r="AD656" s="16">
        <v>1</v>
      </c>
    </row>
    <row r="657" spans="1:30" x14ac:dyDescent="0.3">
      <c r="A657" s="8">
        <v>45551</v>
      </c>
      <c r="B657" s="9">
        <v>0.22542399699999999</v>
      </c>
      <c r="C657" s="9">
        <v>0.20866084600000001</v>
      </c>
      <c r="D657" s="9">
        <v>0.34871934300000001</v>
      </c>
      <c r="E657" s="9">
        <v>0.19005429500000001</v>
      </c>
      <c r="F657" s="10">
        <v>0.19094851600000001</v>
      </c>
      <c r="G657" s="10">
        <v>6.2065059999999998E-2</v>
      </c>
      <c r="H657" s="10">
        <v>0.29247876299999997</v>
      </c>
      <c r="I657" s="10">
        <v>0.121679369</v>
      </c>
      <c r="J657" s="11">
        <v>0.19055033800000001</v>
      </c>
      <c r="K657" s="11">
        <v>0.104880864</v>
      </c>
      <c r="L657" s="11">
        <v>0.394777567</v>
      </c>
      <c r="M657" s="11">
        <v>0.14779725599999999</v>
      </c>
      <c r="N657" s="12">
        <v>8.5615109999999994E-2</v>
      </c>
      <c r="O657" s="12">
        <v>6.3856277000000003E-2</v>
      </c>
      <c r="P657" s="12">
        <v>0.103233481</v>
      </c>
      <c r="Q657" s="12">
        <v>0.12044395200000001</v>
      </c>
      <c r="R657" s="13">
        <v>0.14487836700000001</v>
      </c>
      <c r="S657" s="13">
        <v>5.5627878999999998E-2</v>
      </c>
      <c r="T657" s="13">
        <v>0.187221042</v>
      </c>
      <c r="U657" s="13">
        <v>9.0515024999999999E-2</v>
      </c>
      <c r="V657" s="15">
        <v>0.32240275535755841</v>
      </c>
      <c r="W657" s="15">
        <v>0.32021459214989539</v>
      </c>
      <c r="X657" s="15">
        <v>0</v>
      </c>
      <c r="Y657" s="15">
        <v>0.36280962546152595</v>
      </c>
      <c r="Z657" s="15">
        <v>0.26861942431438657</v>
      </c>
      <c r="AA657" s="15">
        <v>0</v>
      </c>
      <c r="AB657" s="16">
        <v>1</v>
      </c>
      <c r="AC657" s="16">
        <v>0</v>
      </c>
      <c r="AD657" s="16">
        <v>1</v>
      </c>
    </row>
    <row r="658" spans="1:30" x14ac:dyDescent="0.3">
      <c r="A658" s="8">
        <v>45553</v>
      </c>
      <c r="B658" s="9">
        <v>3.2182054000000002E-2</v>
      </c>
      <c r="C658" s="9">
        <v>7.6645188000000003E-2</v>
      </c>
      <c r="D658" s="9">
        <v>3.5406699E-2</v>
      </c>
      <c r="E658" s="9">
        <v>5.4194052E-2</v>
      </c>
      <c r="F658" s="10">
        <v>0.22542399699999999</v>
      </c>
      <c r="G658" s="10">
        <v>0.20866084600000001</v>
      </c>
      <c r="H658" s="10">
        <v>0.34871934300000001</v>
      </c>
      <c r="I658" s="10">
        <v>0.19005429500000001</v>
      </c>
      <c r="J658" s="11">
        <v>0.19094851600000001</v>
      </c>
      <c r="K658" s="11">
        <v>6.2065059999999998E-2</v>
      </c>
      <c r="L658" s="11">
        <v>0.29247876299999997</v>
      </c>
      <c r="M658" s="11">
        <v>0.121679369</v>
      </c>
      <c r="N658" s="12">
        <v>0.19055033800000001</v>
      </c>
      <c r="O658" s="12">
        <v>0.104880864</v>
      </c>
      <c r="P658" s="12">
        <v>0.394777567</v>
      </c>
      <c r="Q658" s="12">
        <v>0.14779725599999999</v>
      </c>
      <c r="R658" s="13">
        <v>8.5615109999999994E-2</v>
      </c>
      <c r="S658" s="13">
        <v>6.3856277000000003E-2</v>
      </c>
      <c r="T658" s="13">
        <v>0.103233481</v>
      </c>
      <c r="U658" s="13">
        <v>0.12044395200000001</v>
      </c>
      <c r="V658" s="15">
        <v>0.32240275535755841</v>
      </c>
      <c r="W658" s="15">
        <v>0.32010225721780039</v>
      </c>
      <c r="X658" s="15">
        <v>1.3406032288615704E-2</v>
      </c>
      <c r="Y658" s="15">
        <v>0.36280962546152595</v>
      </c>
      <c r="Z658" s="15">
        <v>0.268841989524231</v>
      </c>
      <c r="AA658" s="15">
        <v>1.1424750449941252E-2</v>
      </c>
      <c r="AB658" s="16">
        <v>1</v>
      </c>
      <c r="AC658" s="16">
        <v>0</v>
      </c>
      <c r="AD658" s="16">
        <v>1</v>
      </c>
    </row>
    <row r="659" spans="1:30" x14ac:dyDescent="0.3">
      <c r="A659" s="8">
        <v>45554</v>
      </c>
      <c r="B659" s="9">
        <v>7.7846034999999994E-2</v>
      </c>
      <c r="C659" s="9">
        <v>3.7615014000000002E-2</v>
      </c>
      <c r="D659" s="9">
        <v>0.15145868200000001</v>
      </c>
      <c r="E659" s="9">
        <v>5.4145206000000001E-2</v>
      </c>
      <c r="F659" s="10">
        <v>3.2182054000000002E-2</v>
      </c>
      <c r="G659" s="10">
        <v>7.6645188000000003E-2</v>
      </c>
      <c r="H659" s="10">
        <v>3.5406699E-2</v>
      </c>
      <c r="I659" s="10">
        <v>5.4194052E-2</v>
      </c>
      <c r="J659" s="11">
        <v>0.22542399699999999</v>
      </c>
      <c r="K659" s="11">
        <v>0.20866084600000001</v>
      </c>
      <c r="L659" s="11">
        <v>0.34871934300000001</v>
      </c>
      <c r="M659" s="11">
        <v>0.19005429500000001</v>
      </c>
      <c r="N659" s="12">
        <v>0.19094851600000001</v>
      </c>
      <c r="O659" s="12">
        <v>6.2065059999999998E-2</v>
      </c>
      <c r="P659" s="12">
        <v>0.29247876299999997</v>
      </c>
      <c r="Q659" s="12">
        <v>0.121679369</v>
      </c>
      <c r="R659" s="13">
        <v>0.19055033800000001</v>
      </c>
      <c r="S659" s="13">
        <v>0.104880864</v>
      </c>
      <c r="T659" s="13">
        <v>0.394777567</v>
      </c>
      <c r="U659" s="13">
        <v>0.14779725599999999</v>
      </c>
      <c r="V659" s="15">
        <v>0.3314448403948681</v>
      </c>
      <c r="W659" s="15">
        <v>0.3215474427886767</v>
      </c>
      <c r="X659" s="15">
        <v>0</v>
      </c>
      <c r="Y659" s="15">
        <v>0.42017724165438142</v>
      </c>
      <c r="Z659" s="15">
        <v>0.27011555747334581</v>
      </c>
      <c r="AA659" s="15">
        <v>0</v>
      </c>
      <c r="AB659" s="16">
        <v>1</v>
      </c>
      <c r="AC659" s="16">
        <v>0</v>
      </c>
      <c r="AD659" s="16">
        <v>1</v>
      </c>
    </row>
    <row r="660" spans="1:30" x14ac:dyDescent="0.3">
      <c r="A660" s="8">
        <v>45555</v>
      </c>
      <c r="B660" s="9">
        <v>9.9797035000000006E-2</v>
      </c>
      <c r="C660" s="9">
        <v>3.9545980000000001E-2</v>
      </c>
      <c r="D660" s="9">
        <v>0.109406405</v>
      </c>
      <c r="E660" s="9">
        <v>7.7220523999999999E-2</v>
      </c>
      <c r="F660" s="10">
        <v>7.7846034999999994E-2</v>
      </c>
      <c r="G660" s="10">
        <v>3.7615014000000002E-2</v>
      </c>
      <c r="H660" s="10">
        <v>0.15145868200000001</v>
      </c>
      <c r="I660" s="10">
        <v>5.4145206000000001E-2</v>
      </c>
      <c r="J660" s="11">
        <v>3.2182054000000002E-2</v>
      </c>
      <c r="K660" s="11">
        <v>7.6645188000000003E-2</v>
      </c>
      <c r="L660" s="11">
        <v>3.5406699E-2</v>
      </c>
      <c r="M660" s="11">
        <v>5.4194052E-2</v>
      </c>
      <c r="N660" s="12">
        <v>0.22542399699999999</v>
      </c>
      <c r="O660" s="12">
        <v>0.20866084600000001</v>
      </c>
      <c r="P660" s="12">
        <v>0.34871934300000001</v>
      </c>
      <c r="Q660" s="12">
        <v>0.19005429500000001</v>
      </c>
      <c r="R660" s="13">
        <v>0.19094851600000001</v>
      </c>
      <c r="S660" s="13">
        <v>6.2065059999999998E-2</v>
      </c>
      <c r="T660" s="13">
        <v>0.29247876299999997</v>
      </c>
      <c r="U660" s="13">
        <v>0.121679369</v>
      </c>
      <c r="V660" s="15">
        <v>0.3314448403948681</v>
      </c>
      <c r="W660" s="15">
        <v>0.32172684884058889</v>
      </c>
      <c r="X660" s="15">
        <v>0</v>
      </c>
      <c r="Y660" s="15">
        <v>0.42017724165438142</v>
      </c>
      <c r="Z660" s="15">
        <v>0.27017675343383585</v>
      </c>
      <c r="AA660" s="15">
        <v>0</v>
      </c>
      <c r="AB660" s="16">
        <v>1</v>
      </c>
      <c r="AC660" s="16">
        <v>0</v>
      </c>
      <c r="AD660" s="16">
        <v>1</v>
      </c>
    </row>
    <row r="661" spans="1:30" x14ac:dyDescent="0.3">
      <c r="A661" s="8">
        <v>45558</v>
      </c>
      <c r="B661" s="9">
        <v>6.3212843000000005E-2</v>
      </c>
      <c r="C661" s="9">
        <v>4.4960900999999998E-2</v>
      </c>
      <c r="D661" s="9">
        <v>0.103986865</v>
      </c>
      <c r="E661" s="9">
        <v>6.3038267999999995E-2</v>
      </c>
      <c r="F661" s="10">
        <v>9.9797035000000006E-2</v>
      </c>
      <c r="G661" s="10">
        <v>3.9545980000000001E-2</v>
      </c>
      <c r="H661" s="10">
        <v>0.109406405</v>
      </c>
      <c r="I661" s="10">
        <v>7.7220523999999999E-2</v>
      </c>
      <c r="J661" s="11">
        <v>7.7846034999999994E-2</v>
      </c>
      <c r="K661" s="11">
        <v>3.7615014000000002E-2</v>
      </c>
      <c r="L661" s="11">
        <v>0.15145868200000001</v>
      </c>
      <c r="M661" s="11">
        <v>5.4145206000000001E-2</v>
      </c>
      <c r="N661" s="12">
        <v>3.2182054000000002E-2</v>
      </c>
      <c r="O661" s="12">
        <v>7.6645188000000003E-2</v>
      </c>
      <c r="P661" s="12">
        <v>3.5406699E-2</v>
      </c>
      <c r="Q661" s="12">
        <v>5.4194052E-2</v>
      </c>
      <c r="R661" s="13">
        <v>0.22542399699999999</v>
      </c>
      <c r="S661" s="13">
        <v>0.20866084600000001</v>
      </c>
      <c r="T661" s="13">
        <v>0.34871934300000001</v>
      </c>
      <c r="U661" s="13">
        <v>0.19005429500000001</v>
      </c>
      <c r="V661" s="15">
        <v>0.3314448403948681</v>
      </c>
      <c r="W661" s="15">
        <v>0.32161672262812607</v>
      </c>
      <c r="X661" s="15">
        <v>0</v>
      </c>
      <c r="Y661" s="15">
        <v>0.4771918139576104</v>
      </c>
      <c r="Z661" s="15">
        <v>0.27011741655551885</v>
      </c>
      <c r="AA661" s="15">
        <v>0</v>
      </c>
      <c r="AB661" s="16">
        <v>0</v>
      </c>
      <c r="AC661" s="16">
        <v>0</v>
      </c>
      <c r="AD661" s="16">
        <v>0</v>
      </c>
    </row>
    <row r="662" spans="1:30" x14ac:dyDescent="0.3">
      <c r="A662" s="8">
        <v>45559</v>
      </c>
      <c r="B662" s="9">
        <v>2.5010935000000001E-2</v>
      </c>
      <c r="C662" s="9">
        <v>4.1916720999999997E-2</v>
      </c>
      <c r="D662" s="9">
        <v>9.3730521999999997E-2</v>
      </c>
      <c r="E662" s="9">
        <v>7.433244E-2</v>
      </c>
      <c r="F662" s="10">
        <v>6.3212843000000005E-2</v>
      </c>
      <c r="G662" s="10">
        <v>4.4960900999999998E-2</v>
      </c>
      <c r="H662" s="10">
        <v>0.103986865</v>
      </c>
      <c r="I662" s="10">
        <v>6.3038267999999995E-2</v>
      </c>
      <c r="J662" s="11">
        <v>9.9797035000000006E-2</v>
      </c>
      <c r="K662" s="11">
        <v>3.9545980000000001E-2</v>
      </c>
      <c r="L662" s="11">
        <v>0.109406405</v>
      </c>
      <c r="M662" s="11">
        <v>7.7220523999999999E-2</v>
      </c>
      <c r="N662" s="12">
        <v>7.7846034999999994E-2</v>
      </c>
      <c r="O662" s="12">
        <v>3.7615014000000002E-2</v>
      </c>
      <c r="P662" s="12">
        <v>0.15145868200000001</v>
      </c>
      <c r="Q662" s="12">
        <v>5.4145206000000001E-2</v>
      </c>
      <c r="R662" s="13">
        <v>3.2182054000000002E-2</v>
      </c>
      <c r="S662" s="13">
        <v>7.6645188000000003E-2</v>
      </c>
      <c r="T662" s="13">
        <v>3.5406699E-2</v>
      </c>
      <c r="U662" s="13">
        <v>5.4194052E-2</v>
      </c>
      <c r="V662" s="15">
        <v>0.36280962546152595</v>
      </c>
      <c r="W662" s="15">
        <v>0.32182528669898175</v>
      </c>
      <c r="X662" s="15">
        <v>0</v>
      </c>
      <c r="Y662" s="15">
        <v>0.4771918139576104</v>
      </c>
      <c r="Z662" s="15">
        <v>0.27006723218995221</v>
      </c>
      <c r="AA662" s="15">
        <v>0</v>
      </c>
      <c r="AB662" s="16">
        <v>0</v>
      </c>
      <c r="AC662" s="16">
        <v>0</v>
      </c>
      <c r="AD662" s="16">
        <v>0</v>
      </c>
    </row>
    <row r="663" spans="1:30" x14ac:dyDescent="0.3">
      <c r="A663" s="8">
        <v>45560</v>
      </c>
      <c r="B663" s="9">
        <v>2.1491455E-2</v>
      </c>
      <c r="C663" s="9">
        <v>3.8836374999999999E-2</v>
      </c>
      <c r="D663" s="9">
        <v>6.0860662000000003E-2</v>
      </c>
      <c r="E663" s="9">
        <v>6.8410576000000001E-2</v>
      </c>
      <c r="F663" s="10">
        <v>2.5010935000000001E-2</v>
      </c>
      <c r="G663" s="10">
        <v>4.1916720999999997E-2</v>
      </c>
      <c r="H663" s="10">
        <v>9.3730521999999997E-2</v>
      </c>
      <c r="I663" s="10">
        <v>7.433244E-2</v>
      </c>
      <c r="J663" s="11">
        <v>6.3212843000000005E-2</v>
      </c>
      <c r="K663" s="11">
        <v>4.4960900999999998E-2</v>
      </c>
      <c r="L663" s="11">
        <v>0.103986865</v>
      </c>
      <c r="M663" s="11">
        <v>6.3038267999999995E-2</v>
      </c>
      <c r="N663" s="12">
        <v>9.9797035000000006E-2</v>
      </c>
      <c r="O663" s="12">
        <v>3.9545980000000001E-2</v>
      </c>
      <c r="P663" s="12">
        <v>0.109406405</v>
      </c>
      <c r="Q663" s="12">
        <v>7.7220523999999999E-2</v>
      </c>
      <c r="R663" s="13">
        <v>7.7846034999999994E-2</v>
      </c>
      <c r="S663" s="13">
        <v>3.7615014000000002E-2</v>
      </c>
      <c r="T663" s="13">
        <v>0.15145868200000001</v>
      </c>
      <c r="U663" s="13">
        <v>5.4145206000000001E-2</v>
      </c>
      <c r="V663" s="15">
        <v>0.36280962546152595</v>
      </c>
      <c r="W663" s="15">
        <v>0.32347455115697626</v>
      </c>
      <c r="X663" s="15">
        <v>0</v>
      </c>
      <c r="Y663" s="15">
        <v>0.516354801996737</v>
      </c>
      <c r="Z663" s="15">
        <v>0.27100952183070948</v>
      </c>
      <c r="AA663" s="15">
        <v>0</v>
      </c>
      <c r="AB663" s="16">
        <v>0</v>
      </c>
      <c r="AC663" s="16">
        <v>1</v>
      </c>
      <c r="AD663" s="16">
        <v>1</v>
      </c>
    </row>
    <row r="664" spans="1:30" x14ac:dyDescent="0.3">
      <c r="A664" s="8">
        <v>45561</v>
      </c>
      <c r="B664" s="9">
        <v>0.120718933</v>
      </c>
      <c r="C664" s="9">
        <v>4.4981439999999998E-2</v>
      </c>
      <c r="D664" s="9">
        <v>0.13939986300000001</v>
      </c>
      <c r="E664" s="9">
        <v>7.0558184999999995E-2</v>
      </c>
      <c r="F664" s="10">
        <v>2.1491455E-2</v>
      </c>
      <c r="G664" s="10">
        <v>3.8836374999999999E-2</v>
      </c>
      <c r="H664" s="10">
        <v>6.0860662000000003E-2</v>
      </c>
      <c r="I664" s="10">
        <v>6.8410576000000001E-2</v>
      </c>
      <c r="J664" s="11">
        <v>2.5010935000000001E-2</v>
      </c>
      <c r="K664" s="11">
        <v>4.1916720999999997E-2</v>
      </c>
      <c r="L664" s="11">
        <v>9.3730521999999997E-2</v>
      </c>
      <c r="M664" s="11">
        <v>7.433244E-2</v>
      </c>
      <c r="N664" s="12">
        <v>6.3212843000000005E-2</v>
      </c>
      <c r="O664" s="12">
        <v>4.4960900999999998E-2</v>
      </c>
      <c r="P664" s="12">
        <v>0.103986865</v>
      </c>
      <c r="Q664" s="12">
        <v>6.3038267999999995E-2</v>
      </c>
      <c r="R664" s="13">
        <v>9.9797035000000006E-2</v>
      </c>
      <c r="S664" s="13">
        <v>3.9545980000000001E-2</v>
      </c>
      <c r="T664" s="13">
        <v>0.109406405</v>
      </c>
      <c r="U664" s="13">
        <v>7.7220523999999999E-2</v>
      </c>
      <c r="V664" s="15">
        <v>0.42017724165438142</v>
      </c>
      <c r="W664" s="15">
        <v>0.32359588426773767</v>
      </c>
      <c r="X664" s="15">
        <v>0</v>
      </c>
      <c r="Y664" s="15">
        <v>0.516354801996737</v>
      </c>
      <c r="Z664" s="15">
        <v>0.27041138499243789</v>
      </c>
      <c r="AA664" s="15">
        <v>0</v>
      </c>
      <c r="AB664" s="16">
        <v>0</v>
      </c>
      <c r="AC664" s="16">
        <v>0</v>
      </c>
      <c r="AD664" s="16">
        <v>0</v>
      </c>
    </row>
    <row r="665" spans="1:30" x14ac:dyDescent="0.3">
      <c r="A665" s="8">
        <v>45562</v>
      </c>
      <c r="B665" s="9">
        <v>0.13476965399999999</v>
      </c>
      <c r="C665" s="9">
        <v>4.0269267999999997E-2</v>
      </c>
      <c r="D665" s="9">
        <v>9.6426781000000003E-2</v>
      </c>
      <c r="E665" s="9">
        <v>7.1781782000000002E-2</v>
      </c>
      <c r="F665" s="10">
        <v>0.120718933</v>
      </c>
      <c r="G665" s="10">
        <v>4.4981439999999998E-2</v>
      </c>
      <c r="H665" s="10">
        <v>0.13939986300000001</v>
      </c>
      <c r="I665" s="10">
        <v>7.0558184999999995E-2</v>
      </c>
      <c r="J665" s="11">
        <v>2.1491455E-2</v>
      </c>
      <c r="K665" s="11">
        <v>3.8836374999999999E-2</v>
      </c>
      <c r="L665" s="11">
        <v>6.0860662000000003E-2</v>
      </c>
      <c r="M665" s="11">
        <v>6.8410576000000001E-2</v>
      </c>
      <c r="N665" s="12">
        <v>2.5010935000000001E-2</v>
      </c>
      <c r="O665" s="12">
        <v>4.1916720999999997E-2</v>
      </c>
      <c r="P665" s="12">
        <v>9.3730521999999997E-2</v>
      </c>
      <c r="Q665" s="12">
        <v>7.433244E-2</v>
      </c>
      <c r="R665" s="13">
        <v>6.3212843000000005E-2</v>
      </c>
      <c r="S665" s="13">
        <v>4.4960900999999998E-2</v>
      </c>
      <c r="T665" s="13">
        <v>0.103986865</v>
      </c>
      <c r="U665" s="13">
        <v>6.3038267999999995E-2</v>
      </c>
      <c r="V665" s="15">
        <v>0.42017724165438142</v>
      </c>
      <c r="W665" s="15">
        <v>0.32294422089050367</v>
      </c>
      <c r="X665" s="15">
        <v>5.9436930771316881E-3</v>
      </c>
      <c r="Y665" s="15">
        <v>0.516354801996737</v>
      </c>
      <c r="Z665" s="15">
        <v>0.27012854734521008</v>
      </c>
      <c r="AA665" s="15">
        <v>5.0586219129497107E-3</v>
      </c>
      <c r="AB665" s="16">
        <v>0</v>
      </c>
      <c r="AC665" s="16">
        <v>0</v>
      </c>
      <c r="AD665" s="16">
        <v>0</v>
      </c>
    </row>
    <row r="666" spans="1:30" x14ac:dyDescent="0.3">
      <c r="A666" s="8">
        <v>45565</v>
      </c>
      <c r="B666" s="9">
        <v>0.15681120200000001</v>
      </c>
      <c r="C666" s="9">
        <v>4.9246195E-2</v>
      </c>
      <c r="D666" s="9">
        <v>7.8069585999999996E-2</v>
      </c>
      <c r="E666" s="9">
        <v>8.4669717000000005E-2</v>
      </c>
      <c r="F666" s="10">
        <v>0.13476965399999999</v>
      </c>
      <c r="G666" s="10">
        <v>4.0269267999999997E-2</v>
      </c>
      <c r="H666" s="10">
        <v>9.6426781000000003E-2</v>
      </c>
      <c r="I666" s="10">
        <v>7.1781782000000002E-2</v>
      </c>
      <c r="J666" s="11">
        <v>0.120718933</v>
      </c>
      <c r="K666" s="11">
        <v>4.4981439999999998E-2</v>
      </c>
      <c r="L666" s="11">
        <v>0.13939986300000001</v>
      </c>
      <c r="M666" s="11">
        <v>7.0558184999999995E-2</v>
      </c>
      <c r="N666" s="12">
        <v>2.1491455E-2</v>
      </c>
      <c r="O666" s="12">
        <v>3.8836374999999999E-2</v>
      </c>
      <c r="P666" s="12">
        <v>6.0860662000000003E-2</v>
      </c>
      <c r="Q666" s="12">
        <v>6.8410576000000001E-2</v>
      </c>
      <c r="R666" s="13">
        <v>2.5010935000000001E-2</v>
      </c>
      <c r="S666" s="13">
        <v>4.1916720999999997E-2</v>
      </c>
      <c r="T666" s="13">
        <v>9.3730521999999997E-2</v>
      </c>
      <c r="U666" s="13">
        <v>7.433244E-2</v>
      </c>
      <c r="V666" s="15">
        <v>0.36280962546152595</v>
      </c>
      <c r="W666" s="15">
        <v>0.32396570512728423</v>
      </c>
      <c r="X666" s="15">
        <v>3.8725530449664668E-2</v>
      </c>
      <c r="Y666" s="15">
        <v>0.516354801996737</v>
      </c>
      <c r="Z666" s="15">
        <v>0.2716848338773068</v>
      </c>
      <c r="AA666" s="15">
        <v>2.8806175139089635E-2</v>
      </c>
      <c r="AB666" s="16">
        <v>1</v>
      </c>
      <c r="AC666" s="16">
        <v>0</v>
      </c>
      <c r="AD666" s="16">
        <v>1</v>
      </c>
    </row>
    <row r="667" spans="1:30" x14ac:dyDescent="0.3">
      <c r="A667" s="8">
        <v>45566</v>
      </c>
      <c r="B667" s="9">
        <v>9.0738482999999995E-2</v>
      </c>
      <c r="C667" s="9">
        <v>6.3837503000000004E-2</v>
      </c>
      <c r="D667" s="9">
        <v>0.16567206400000001</v>
      </c>
      <c r="E667" s="9">
        <v>6.8942248999999997E-2</v>
      </c>
      <c r="F667" s="10">
        <v>0.15681120200000001</v>
      </c>
      <c r="G667" s="10">
        <v>4.9246195E-2</v>
      </c>
      <c r="H667" s="10">
        <v>7.8069585999999996E-2</v>
      </c>
      <c r="I667" s="10">
        <v>8.4669717000000005E-2</v>
      </c>
      <c r="J667" s="11">
        <v>0.13476965399999999</v>
      </c>
      <c r="K667" s="11">
        <v>4.0269267999999997E-2</v>
      </c>
      <c r="L667" s="11">
        <v>9.6426781000000003E-2</v>
      </c>
      <c r="M667" s="11">
        <v>7.1781782000000002E-2</v>
      </c>
      <c r="N667" s="12">
        <v>0.120718933</v>
      </c>
      <c r="O667" s="12">
        <v>4.4981439999999998E-2</v>
      </c>
      <c r="P667" s="12">
        <v>0.13939986300000001</v>
      </c>
      <c r="Q667" s="12">
        <v>7.0558184999999995E-2</v>
      </c>
      <c r="R667" s="13">
        <v>2.1491455E-2</v>
      </c>
      <c r="S667" s="13">
        <v>3.8836374999999999E-2</v>
      </c>
      <c r="T667" s="13">
        <v>6.0860662000000003E-2</v>
      </c>
      <c r="U667" s="13">
        <v>6.8410576000000001E-2</v>
      </c>
      <c r="V667" s="15">
        <v>0.36280962546152595</v>
      </c>
      <c r="W667" s="15">
        <v>0.32238624144718314</v>
      </c>
      <c r="X667" s="15">
        <v>0</v>
      </c>
      <c r="Y667" s="15">
        <v>0.516354801996737</v>
      </c>
      <c r="Z667" s="15">
        <v>0.2702286216055223</v>
      </c>
      <c r="AA667" s="15">
        <v>0</v>
      </c>
      <c r="AB667" s="16">
        <v>1</v>
      </c>
      <c r="AC667" s="16">
        <v>0</v>
      </c>
      <c r="AD667" s="16">
        <v>1</v>
      </c>
    </row>
    <row r="668" spans="1:30" x14ac:dyDescent="0.3">
      <c r="A668" s="8">
        <v>45569</v>
      </c>
      <c r="B668" s="9">
        <v>5.8154681E-2</v>
      </c>
      <c r="C668" s="9">
        <v>5.8006121000000001E-2</v>
      </c>
      <c r="D668" s="9">
        <v>9.2998559999999994E-2</v>
      </c>
      <c r="E668" s="9">
        <v>9.7126978000000003E-2</v>
      </c>
      <c r="F668" s="10">
        <v>9.0738482999999995E-2</v>
      </c>
      <c r="G668" s="10">
        <v>6.3837503000000004E-2</v>
      </c>
      <c r="H668" s="10">
        <v>0.16567206400000001</v>
      </c>
      <c r="I668" s="10">
        <v>6.8942248999999997E-2</v>
      </c>
      <c r="J668" s="11">
        <v>0.15681120200000001</v>
      </c>
      <c r="K668" s="11">
        <v>4.9246195E-2</v>
      </c>
      <c r="L668" s="11">
        <v>7.8069585999999996E-2</v>
      </c>
      <c r="M668" s="11">
        <v>8.4669717000000005E-2</v>
      </c>
      <c r="N668" s="12">
        <v>0.13476965399999999</v>
      </c>
      <c r="O668" s="12">
        <v>4.0269267999999997E-2</v>
      </c>
      <c r="P668" s="12">
        <v>9.6426781000000003E-2</v>
      </c>
      <c r="Q668" s="12">
        <v>7.1781782000000002E-2</v>
      </c>
      <c r="R668" s="13">
        <v>0.120718933</v>
      </c>
      <c r="S668" s="13">
        <v>4.4981439999999998E-2</v>
      </c>
      <c r="T668" s="13">
        <v>0.13939986300000001</v>
      </c>
      <c r="U668" s="13">
        <v>7.0558184999999995E-2</v>
      </c>
      <c r="V668" s="15">
        <v>0.3314448403948681</v>
      </c>
      <c r="W668" s="15">
        <v>0.3224302161109891</v>
      </c>
      <c r="X668" s="15">
        <v>6.0243764927328716E-3</v>
      </c>
      <c r="Y668" s="15">
        <v>0.516354801996737</v>
      </c>
      <c r="Z668" s="15">
        <v>0.27025226844201988</v>
      </c>
      <c r="AA668" s="15">
        <v>5.8416668309819609E-3</v>
      </c>
      <c r="AB668" s="16">
        <v>1</v>
      </c>
      <c r="AC668" s="16">
        <v>0</v>
      </c>
      <c r="AD668" s="16">
        <v>1</v>
      </c>
    </row>
    <row r="669" spans="1:30" x14ac:dyDescent="0.3">
      <c r="A669" s="8">
        <v>45572</v>
      </c>
      <c r="B669" s="9">
        <v>0.13573774</v>
      </c>
      <c r="C669" s="9">
        <v>6.7703471000000001E-2</v>
      </c>
      <c r="D669" s="9">
        <v>0.216606939</v>
      </c>
      <c r="E669" s="9">
        <v>8.5999998999999994E-2</v>
      </c>
      <c r="F669" s="10">
        <v>5.8154681E-2</v>
      </c>
      <c r="G669" s="10">
        <v>5.8006121000000001E-2</v>
      </c>
      <c r="H669" s="10">
        <v>9.2998559999999994E-2</v>
      </c>
      <c r="I669" s="10">
        <v>9.7126978000000003E-2</v>
      </c>
      <c r="J669" s="11">
        <v>9.0738482999999995E-2</v>
      </c>
      <c r="K669" s="11">
        <v>6.3837503000000004E-2</v>
      </c>
      <c r="L669" s="11">
        <v>0.16567206400000001</v>
      </c>
      <c r="M669" s="11">
        <v>6.8942248999999997E-2</v>
      </c>
      <c r="N669" s="12">
        <v>0.15681120200000001</v>
      </c>
      <c r="O669" s="12">
        <v>4.9246195E-2</v>
      </c>
      <c r="P669" s="12">
        <v>7.8069585999999996E-2</v>
      </c>
      <c r="Q669" s="12">
        <v>8.4669717000000005E-2</v>
      </c>
      <c r="R669" s="13">
        <v>0.13476965399999999</v>
      </c>
      <c r="S669" s="13">
        <v>4.0269267999999997E-2</v>
      </c>
      <c r="T669" s="13">
        <v>9.6426781000000003E-2</v>
      </c>
      <c r="U669" s="13">
        <v>7.1781782000000002E-2</v>
      </c>
      <c r="V669" s="15">
        <v>0.3314448403948681</v>
      </c>
      <c r="W669" s="15">
        <v>0.32284262866267982</v>
      </c>
      <c r="X669" s="15">
        <v>0</v>
      </c>
      <c r="Y669" s="15">
        <v>0.60928715484653295</v>
      </c>
      <c r="Z669" s="15">
        <v>0.27070993615056693</v>
      </c>
      <c r="AA669" s="15">
        <v>0</v>
      </c>
      <c r="AB669" s="16">
        <v>1</v>
      </c>
      <c r="AC669" s="16">
        <v>0</v>
      </c>
      <c r="AD669" s="16">
        <v>1</v>
      </c>
    </row>
    <row r="670" spans="1:30" x14ac:dyDescent="0.3">
      <c r="A670" s="8">
        <v>45573</v>
      </c>
      <c r="B670" s="9">
        <v>9.8321565999999999E-2</v>
      </c>
      <c r="C670" s="9">
        <v>5.1828515999999998E-2</v>
      </c>
      <c r="D670" s="9">
        <v>0.17090391799999999</v>
      </c>
      <c r="E670" s="9">
        <v>7.3333358000000001E-2</v>
      </c>
      <c r="F670" s="10">
        <v>0.13573774</v>
      </c>
      <c r="G670" s="10">
        <v>6.7703471000000001E-2</v>
      </c>
      <c r="H670" s="10">
        <v>0.216606939</v>
      </c>
      <c r="I670" s="10">
        <v>8.5999998999999994E-2</v>
      </c>
      <c r="J670" s="11">
        <v>5.8154681E-2</v>
      </c>
      <c r="K670" s="11">
        <v>5.8006121000000001E-2</v>
      </c>
      <c r="L670" s="11">
        <v>9.2998559999999994E-2</v>
      </c>
      <c r="M670" s="11">
        <v>9.7126978000000003E-2</v>
      </c>
      <c r="N670" s="12">
        <v>9.0738482999999995E-2</v>
      </c>
      <c r="O670" s="12">
        <v>6.3837503000000004E-2</v>
      </c>
      <c r="P670" s="12">
        <v>0.16567206400000001</v>
      </c>
      <c r="Q670" s="12">
        <v>6.8942248999999997E-2</v>
      </c>
      <c r="R670" s="13">
        <v>0.15681120200000001</v>
      </c>
      <c r="S670" s="13">
        <v>4.9246195E-2</v>
      </c>
      <c r="T670" s="13">
        <v>7.8069585999999996E-2</v>
      </c>
      <c r="U670" s="13">
        <v>8.4669717000000005E-2</v>
      </c>
      <c r="V670" s="15">
        <v>0.32240275535755841</v>
      </c>
      <c r="W670" s="15">
        <v>0.32300637176996627</v>
      </c>
      <c r="X670" s="15">
        <v>1.0258682773227713E-2</v>
      </c>
      <c r="Y670" s="15">
        <v>0.60928715484653295</v>
      </c>
      <c r="Z670" s="15">
        <v>0.27084033851849437</v>
      </c>
      <c r="AA670" s="15">
        <v>9.0182525793860505E-3</v>
      </c>
      <c r="AB670" s="16">
        <v>1</v>
      </c>
      <c r="AC670" s="16">
        <v>0</v>
      </c>
      <c r="AD670" s="16">
        <v>1</v>
      </c>
    </row>
    <row r="671" spans="1:30" x14ac:dyDescent="0.3">
      <c r="A671" s="8">
        <v>45574</v>
      </c>
      <c r="B671" s="9">
        <v>8.6419455000000006E-2</v>
      </c>
      <c r="C671" s="9">
        <v>6.9836914E-2</v>
      </c>
      <c r="D671" s="9">
        <v>7.8304438000000004E-2</v>
      </c>
      <c r="E671" s="9">
        <v>0.10912914899999999</v>
      </c>
      <c r="F671" s="10">
        <v>9.8321565999999999E-2</v>
      </c>
      <c r="G671" s="10">
        <v>5.1828515999999998E-2</v>
      </c>
      <c r="H671" s="10">
        <v>0.17090391799999999</v>
      </c>
      <c r="I671" s="10">
        <v>7.3333358000000001E-2</v>
      </c>
      <c r="J671" s="11">
        <v>0.13573774</v>
      </c>
      <c r="K671" s="11">
        <v>6.7703471000000001E-2</v>
      </c>
      <c r="L671" s="11">
        <v>0.216606939</v>
      </c>
      <c r="M671" s="11">
        <v>8.5999998999999994E-2</v>
      </c>
      <c r="N671" s="12">
        <v>5.8154681E-2</v>
      </c>
      <c r="O671" s="12">
        <v>5.8006121000000001E-2</v>
      </c>
      <c r="P671" s="12">
        <v>9.2998559999999994E-2</v>
      </c>
      <c r="Q671" s="12">
        <v>9.7126978000000003E-2</v>
      </c>
      <c r="R671" s="13">
        <v>9.0738482999999995E-2</v>
      </c>
      <c r="S671" s="13">
        <v>6.3837503000000004E-2</v>
      </c>
      <c r="T671" s="13">
        <v>0.16567206400000001</v>
      </c>
      <c r="U671" s="13">
        <v>6.8942248999999997E-2</v>
      </c>
      <c r="V671" s="15">
        <v>0.32240275535755841</v>
      </c>
      <c r="W671" s="15">
        <v>0.32286299389276935</v>
      </c>
      <c r="X671" s="15">
        <v>0</v>
      </c>
      <c r="Y671" s="15">
        <v>0.72973109277093584</v>
      </c>
      <c r="Z671" s="15">
        <v>0.27036227439669097</v>
      </c>
      <c r="AA671" s="15">
        <v>0</v>
      </c>
      <c r="AB671" s="16">
        <v>1</v>
      </c>
      <c r="AC671" s="16">
        <v>0</v>
      </c>
      <c r="AD671" s="16">
        <v>1</v>
      </c>
    </row>
    <row r="672" spans="1:30" x14ac:dyDescent="0.3">
      <c r="A672" s="8">
        <v>45576</v>
      </c>
      <c r="B672" s="9">
        <v>0.20821372099999999</v>
      </c>
      <c r="C672" s="9">
        <v>0.121426242</v>
      </c>
      <c r="D672" s="9">
        <v>0.29871307699999999</v>
      </c>
      <c r="E672" s="9">
        <v>0.166594136</v>
      </c>
      <c r="F672" s="10">
        <v>8.6419455000000006E-2</v>
      </c>
      <c r="G672" s="10">
        <v>6.9836914E-2</v>
      </c>
      <c r="H672" s="10">
        <v>7.8304438000000004E-2</v>
      </c>
      <c r="I672" s="10">
        <v>0.10912914899999999</v>
      </c>
      <c r="J672" s="11">
        <v>9.8321565999999999E-2</v>
      </c>
      <c r="K672" s="11">
        <v>5.1828515999999998E-2</v>
      </c>
      <c r="L672" s="11">
        <v>0.17090391799999999</v>
      </c>
      <c r="M672" s="11">
        <v>7.3333358000000001E-2</v>
      </c>
      <c r="N672" s="12">
        <v>0.13573774</v>
      </c>
      <c r="O672" s="12">
        <v>6.7703471000000001E-2</v>
      </c>
      <c r="P672" s="12">
        <v>0.216606939</v>
      </c>
      <c r="Q672" s="12">
        <v>8.5999998999999994E-2</v>
      </c>
      <c r="R672" s="13">
        <v>5.8154681E-2</v>
      </c>
      <c r="S672" s="13">
        <v>5.8006121000000001E-2</v>
      </c>
      <c r="T672" s="13">
        <v>9.2998559999999994E-2</v>
      </c>
      <c r="U672" s="13">
        <v>9.7126978000000003E-2</v>
      </c>
      <c r="V672" s="15">
        <v>0.32240275535755841</v>
      </c>
      <c r="W672" s="15">
        <v>0.32100556404712621</v>
      </c>
      <c r="X672" s="15">
        <v>0</v>
      </c>
      <c r="Y672" s="15">
        <v>0.79916412699003658</v>
      </c>
      <c r="Z672" s="15">
        <v>0.26592363311571565</v>
      </c>
      <c r="AA672" s="15">
        <v>0</v>
      </c>
      <c r="AB672" s="16">
        <v>1</v>
      </c>
      <c r="AC672" s="16">
        <v>0</v>
      </c>
      <c r="AD672" s="16">
        <v>1</v>
      </c>
    </row>
    <row r="673" spans="1:30" x14ac:dyDescent="0.3">
      <c r="A673" s="8">
        <v>45579</v>
      </c>
      <c r="B673" s="9">
        <v>0.25237647600000002</v>
      </c>
      <c r="C673" s="9">
        <v>0.159641121</v>
      </c>
      <c r="D673" s="9">
        <v>0.38673503599999998</v>
      </c>
      <c r="E673" s="9">
        <v>0.42429431299999998</v>
      </c>
      <c r="F673" s="10">
        <v>0.20821372099999999</v>
      </c>
      <c r="G673" s="10">
        <v>0.121426242</v>
      </c>
      <c r="H673" s="10">
        <v>0.29871307699999999</v>
      </c>
      <c r="I673" s="10">
        <v>0.166594136</v>
      </c>
      <c r="J673" s="11">
        <v>8.6419455000000006E-2</v>
      </c>
      <c r="K673" s="11">
        <v>6.9836914E-2</v>
      </c>
      <c r="L673" s="11">
        <v>7.8304438000000004E-2</v>
      </c>
      <c r="M673" s="11">
        <v>0.10912914899999999</v>
      </c>
      <c r="N673" s="12">
        <v>9.8321565999999999E-2</v>
      </c>
      <c r="O673" s="12">
        <v>5.1828515999999998E-2</v>
      </c>
      <c r="P673" s="12">
        <v>0.17090391799999999</v>
      </c>
      <c r="Q673" s="12">
        <v>7.3333358000000001E-2</v>
      </c>
      <c r="R673" s="13">
        <v>0.13573774</v>
      </c>
      <c r="S673" s="13">
        <v>6.7703471000000001E-2</v>
      </c>
      <c r="T673" s="13">
        <v>0.216606939</v>
      </c>
      <c r="U673" s="13">
        <v>8.5999998999999994E-2</v>
      </c>
      <c r="V673" s="15">
        <v>0.35918761377255332</v>
      </c>
      <c r="W673" s="15">
        <v>0.3172632845008922</v>
      </c>
      <c r="X673" s="15">
        <v>0</v>
      </c>
      <c r="Y673" s="15">
        <v>0.72973109277093584</v>
      </c>
      <c r="Z673" s="15">
        <v>0.26478191903167964</v>
      </c>
      <c r="AA673" s="15">
        <v>0</v>
      </c>
      <c r="AB673" s="16">
        <v>1</v>
      </c>
      <c r="AC673" s="16">
        <v>0</v>
      </c>
      <c r="AD673" s="16">
        <v>1</v>
      </c>
    </row>
    <row r="674" spans="1:30" x14ac:dyDescent="0.3">
      <c r="A674" s="8">
        <v>45580</v>
      </c>
      <c r="B674" s="9">
        <v>0.28314650000000002</v>
      </c>
      <c r="C674" s="9">
        <v>0.312154663</v>
      </c>
      <c r="D674" s="9">
        <v>0.45809886999999999</v>
      </c>
      <c r="E674" s="9">
        <v>0.52398780199999995</v>
      </c>
      <c r="F674" s="10">
        <v>0.25237647600000002</v>
      </c>
      <c r="G674" s="10">
        <v>0.159641121</v>
      </c>
      <c r="H674" s="10">
        <v>0.38673503599999998</v>
      </c>
      <c r="I674" s="10">
        <v>0.42429431299999998</v>
      </c>
      <c r="J674" s="11">
        <v>0.20821372099999999</v>
      </c>
      <c r="K674" s="11">
        <v>0.121426242</v>
      </c>
      <c r="L674" s="11">
        <v>0.29871307699999999</v>
      </c>
      <c r="M674" s="11">
        <v>0.166594136</v>
      </c>
      <c r="N674" s="12">
        <v>8.6419455000000006E-2</v>
      </c>
      <c r="O674" s="12">
        <v>6.9836914E-2</v>
      </c>
      <c r="P674" s="12">
        <v>7.8304438000000004E-2</v>
      </c>
      <c r="Q674" s="12">
        <v>0.10912914899999999</v>
      </c>
      <c r="R674" s="13">
        <v>9.8321565999999999E-2</v>
      </c>
      <c r="S674" s="13">
        <v>5.1828515999999998E-2</v>
      </c>
      <c r="T674" s="13">
        <v>0.17090391799999999</v>
      </c>
      <c r="U674" s="13">
        <v>7.3333358000000001E-2</v>
      </c>
      <c r="V674" s="15">
        <v>0.39059785015010939</v>
      </c>
      <c r="W674" s="15">
        <v>0.318954280749705</v>
      </c>
      <c r="X674" s="15">
        <v>0</v>
      </c>
      <c r="Y674" s="15">
        <v>0.72973109277093584</v>
      </c>
      <c r="Z674" s="15">
        <v>0.26560090785485241</v>
      </c>
      <c r="AA674" s="15">
        <v>0</v>
      </c>
      <c r="AB674" s="16">
        <v>0</v>
      </c>
      <c r="AC674" s="16">
        <v>0</v>
      </c>
      <c r="AD674" s="16">
        <v>0</v>
      </c>
    </row>
    <row r="675" spans="1:30" x14ac:dyDescent="0.3">
      <c r="A675" s="8">
        <v>45581</v>
      </c>
      <c r="B675" s="9">
        <v>3.0709456999999999E-2</v>
      </c>
      <c r="C675" s="9">
        <v>3.8243012999999999E-2</v>
      </c>
      <c r="D675" s="9">
        <v>3.0314642999999999E-2</v>
      </c>
      <c r="E675" s="9">
        <v>4.0827006999999998E-2</v>
      </c>
      <c r="F675" s="10">
        <v>0.28314650000000002</v>
      </c>
      <c r="G675" s="10">
        <v>0.312154663</v>
      </c>
      <c r="H675" s="10">
        <v>0.45809886999999999</v>
      </c>
      <c r="I675" s="10">
        <v>0.52398780199999995</v>
      </c>
      <c r="J675" s="11">
        <v>0.25237647600000002</v>
      </c>
      <c r="K675" s="11">
        <v>0.159641121</v>
      </c>
      <c r="L675" s="11">
        <v>0.38673503599999998</v>
      </c>
      <c r="M675" s="11">
        <v>0.42429431299999998</v>
      </c>
      <c r="N675" s="12">
        <v>0.20821372099999999</v>
      </c>
      <c r="O675" s="12">
        <v>0.121426242</v>
      </c>
      <c r="P675" s="12">
        <v>0.29871307699999999</v>
      </c>
      <c r="Q675" s="12">
        <v>0.166594136</v>
      </c>
      <c r="R675" s="13">
        <v>8.6419455000000006E-2</v>
      </c>
      <c r="S675" s="13">
        <v>6.9836914E-2</v>
      </c>
      <c r="T675" s="13">
        <v>7.8304438000000004E-2</v>
      </c>
      <c r="U675" s="13">
        <v>0.10912914899999999</v>
      </c>
      <c r="V675" s="15">
        <v>0.35918761377255332</v>
      </c>
      <c r="W675" s="15">
        <v>0.32028340917789383</v>
      </c>
      <c r="X675" s="15">
        <v>3.0618947341001554E-2</v>
      </c>
      <c r="Y675" s="15">
        <v>0.72973109277093584</v>
      </c>
      <c r="Z675" s="15">
        <v>0.25709643710694424</v>
      </c>
      <c r="AA675" s="15">
        <v>2.4150681011145383E-2</v>
      </c>
      <c r="AB675" s="16">
        <v>0</v>
      </c>
      <c r="AC675" s="16">
        <v>0</v>
      </c>
      <c r="AD675" s="16">
        <v>0</v>
      </c>
    </row>
    <row r="676" spans="1:30" x14ac:dyDescent="0.3">
      <c r="A676" s="8">
        <v>45582</v>
      </c>
      <c r="B676" s="9">
        <v>0.108549995</v>
      </c>
      <c r="C676" s="9">
        <v>4.4570585000000003E-2</v>
      </c>
      <c r="D676" s="9">
        <v>0.125845081</v>
      </c>
      <c r="E676" s="9">
        <v>2.9009933000000002E-2</v>
      </c>
      <c r="F676" s="10">
        <v>3.0709456999999999E-2</v>
      </c>
      <c r="G676" s="10">
        <v>3.8243012999999999E-2</v>
      </c>
      <c r="H676" s="10">
        <v>3.0314642999999999E-2</v>
      </c>
      <c r="I676" s="10">
        <v>4.0827006999999998E-2</v>
      </c>
      <c r="J676" s="11">
        <v>0.28314650000000002</v>
      </c>
      <c r="K676" s="11">
        <v>0.312154663</v>
      </c>
      <c r="L676" s="11">
        <v>0.45809886999999999</v>
      </c>
      <c r="M676" s="11">
        <v>0.52398780199999995</v>
      </c>
      <c r="N676" s="12">
        <v>0.25237647600000002</v>
      </c>
      <c r="O676" s="12">
        <v>0.159641121</v>
      </c>
      <c r="P676" s="12">
        <v>0.38673503599999998</v>
      </c>
      <c r="Q676" s="12">
        <v>0.42429431299999998</v>
      </c>
      <c r="R676" s="13">
        <v>0.20821372099999999</v>
      </c>
      <c r="S676" s="13">
        <v>0.121426242</v>
      </c>
      <c r="T676" s="13">
        <v>0.29871307699999999</v>
      </c>
      <c r="U676" s="13">
        <v>0.166594136</v>
      </c>
      <c r="V676" s="15">
        <v>0.39059785015010939</v>
      </c>
      <c r="W676" s="15">
        <v>0.31935865151553577</v>
      </c>
      <c r="X676" s="15">
        <v>0</v>
      </c>
      <c r="Y676" s="15">
        <v>0.72973109277093584</v>
      </c>
      <c r="Z676" s="15">
        <v>0.25693726875292405</v>
      </c>
      <c r="AA676" s="15">
        <v>0</v>
      </c>
      <c r="AB676" s="16">
        <v>0</v>
      </c>
      <c r="AC676" s="16">
        <v>0</v>
      </c>
      <c r="AD676" s="16">
        <v>0</v>
      </c>
    </row>
    <row r="677" spans="1:30" x14ac:dyDescent="0.3">
      <c r="A677" s="8">
        <v>45583</v>
      </c>
      <c r="B677" s="9">
        <v>0.10473951400000001</v>
      </c>
      <c r="C677" s="9">
        <v>5.6917929999999999E-2</v>
      </c>
      <c r="D677" s="9">
        <v>9.1647614000000002E-2</v>
      </c>
      <c r="E677" s="9">
        <v>5.0868003000000002E-2</v>
      </c>
      <c r="F677" s="10">
        <v>0.108549995</v>
      </c>
      <c r="G677" s="10">
        <v>4.4570585000000003E-2</v>
      </c>
      <c r="H677" s="10">
        <v>0.125845081</v>
      </c>
      <c r="I677" s="10">
        <v>2.9009933000000002E-2</v>
      </c>
      <c r="J677" s="11">
        <v>3.0709456999999999E-2</v>
      </c>
      <c r="K677" s="11">
        <v>3.8243012999999999E-2</v>
      </c>
      <c r="L677" s="11">
        <v>3.0314642999999999E-2</v>
      </c>
      <c r="M677" s="11">
        <v>4.0827006999999998E-2</v>
      </c>
      <c r="N677" s="12">
        <v>0.28314650000000002</v>
      </c>
      <c r="O677" s="12">
        <v>0.312154663</v>
      </c>
      <c r="P677" s="12">
        <v>0.45809886999999999</v>
      </c>
      <c r="Q677" s="12">
        <v>0.52398780199999995</v>
      </c>
      <c r="R677" s="13">
        <v>0.25237647600000002</v>
      </c>
      <c r="S677" s="13">
        <v>0.159641121</v>
      </c>
      <c r="T677" s="13">
        <v>0.38673503599999998</v>
      </c>
      <c r="U677" s="13">
        <v>0.42429431299999998</v>
      </c>
      <c r="V677" s="15">
        <v>0.42022269296527964</v>
      </c>
      <c r="W677" s="15">
        <v>0.319817667752889</v>
      </c>
      <c r="X677" s="15">
        <v>0</v>
      </c>
      <c r="Y677" s="15">
        <v>0.72973109277093584</v>
      </c>
      <c r="Z677" s="15">
        <v>0.2582579355819441</v>
      </c>
      <c r="AA677" s="15">
        <v>0</v>
      </c>
      <c r="AB677" s="16">
        <v>0</v>
      </c>
      <c r="AC677" s="16">
        <v>0</v>
      </c>
      <c r="AD677" s="16">
        <v>0</v>
      </c>
    </row>
    <row r="678" spans="1:30" x14ac:dyDescent="0.3">
      <c r="A678" s="8">
        <v>45586</v>
      </c>
      <c r="B678" s="9">
        <v>7.1041405000000002E-2</v>
      </c>
      <c r="C678" s="9">
        <v>2.7114234000000001E-2</v>
      </c>
      <c r="D678" s="9">
        <v>7.3797305999999993E-2</v>
      </c>
      <c r="E678" s="9">
        <v>6.6459115999999999E-2</v>
      </c>
      <c r="F678" s="10">
        <v>0.10473951400000001</v>
      </c>
      <c r="G678" s="10">
        <v>5.6917929999999999E-2</v>
      </c>
      <c r="H678" s="10">
        <v>9.1647614000000002E-2</v>
      </c>
      <c r="I678" s="10">
        <v>5.0868003000000002E-2</v>
      </c>
      <c r="J678" s="11">
        <v>0.108549995</v>
      </c>
      <c r="K678" s="11">
        <v>4.4570585000000003E-2</v>
      </c>
      <c r="L678" s="11">
        <v>0.125845081</v>
      </c>
      <c r="M678" s="11">
        <v>2.9009933000000002E-2</v>
      </c>
      <c r="N678" s="12">
        <v>3.0709456999999999E-2</v>
      </c>
      <c r="O678" s="12">
        <v>3.8243012999999999E-2</v>
      </c>
      <c r="P678" s="12">
        <v>3.0314642999999999E-2</v>
      </c>
      <c r="Q678" s="12">
        <v>4.0827006999999998E-2</v>
      </c>
      <c r="R678" s="13">
        <v>0.28314650000000002</v>
      </c>
      <c r="S678" s="13">
        <v>0.312154663</v>
      </c>
      <c r="T678" s="13">
        <v>0.45809886999999999</v>
      </c>
      <c r="U678" s="13">
        <v>0.52398780199999995</v>
      </c>
      <c r="V678" s="15">
        <v>0.42022269296527964</v>
      </c>
      <c r="W678" s="15">
        <v>0.3141427003176232</v>
      </c>
      <c r="X678" s="15">
        <v>2.0658827806939206E-4</v>
      </c>
      <c r="Y678" s="15">
        <v>0.68482945570107712</v>
      </c>
      <c r="Z678" s="15">
        <v>0.25449474374264952</v>
      </c>
      <c r="AA678" s="15">
        <v>4.4921540363771764E-4</v>
      </c>
      <c r="AB678" s="16">
        <v>0</v>
      </c>
      <c r="AC678" s="16">
        <v>0</v>
      </c>
      <c r="AD678" s="16">
        <v>0</v>
      </c>
    </row>
    <row r="679" spans="1:30" x14ac:dyDescent="0.3">
      <c r="A679" s="8">
        <v>45587</v>
      </c>
      <c r="B679" s="9">
        <v>3.9758433000000003E-2</v>
      </c>
      <c r="C679" s="9">
        <v>2.8489087999999999E-2</v>
      </c>
      <c r="D679" s="9">
        <v>7.7957862000000003E-2</v>
      </c>
      <c r="E679" s="9">
        <v>3.5236747999999998E-2</v>
      </c>
      <c r="F679" s="10">
        <v>7.1041405000000002E-2</v>
      </c>
      <c r="G679" s="10">
        <v>2.7114234000000001E-2</v>
      </c>
      <c r="H679" s="10">
        <v>7.3797305999999993E-2</v>
      </c>
      <c r="I679" s="10">
        <v>6.6459115999999999E-2</v>
      </c>
      <c r="J679" s="11">
        <v>0.10473951400000001</v>
      </c>
      <c r="K679" s="11">
        <v>5.6917929999999999E-2</v>
      </c>
      <c r="L679" s="11">
        <v>9.1647614000000002E-2</v>
      </c>
      <c r="M679" s="11">
        <v>5.0868003000000002E-2</v>
      </c>
      <c r="N679" s="12">
        <v>0.108549995</v>
      </c>
      <c r="O679" s="12">
        <v>4.4570585000000003E-2</v>
      </c>
      <c r="P679" s="12">
        <v>0.125845081</v>
      </c>
      <c r="Q679" s="12">
        <v>2.9009933000000002E-2</v>
      </c>
      <c r="R679" s="13">
        <v>3.0709456999999999E-2</v>
      </c>
      <c r="S679" s="13">
        <v>3.8243012999999999E-2</v>
      </c>
      <c r="T679" s="13">
        <v>3.0314642999999999E-2</v>
      </c>
      <c r="U679" s="13">
        <v>4.0827006999999998E-2</v>
      </c>
      <c r="V679" s="15">
        <v>0.42022269296527964</v>
      </c>
      <c r="W679" s="15">
        <v>0.31123835409602224</v>
      </c>
      <c r="X679" s="15">
        <v>4.9286018811777101E-3</v>
      </c>
      <c r="Y679" s="15">
        <v>0.68482945570107712</v>
      </c>
      <c r="Z679" s="15">
        <v>0.25308694956533473</v>
      </c>
      <c r="AA679" s="15">
        <v>3.5365453115682945E-3</v>
      </c>
      <c r="AB679" s="16">
        <v>0</v>
      </c>
      <c r="AC679" s="16">
        <v>1</v>
      </c>
      <c r="AD679" s="16">
        <v>1</v>
      </c>
    </row>
    <row r="680" spans="1:30" x14ac:dyDescent="0.3">
      <c r="A680" s="8">
        <v>45588</v>
      </c>
      <c r="B680" s="9">
        <v>3.9088493000000002E-2</v>
      </c>
      <c r="C680" s="9">
        <v>3.3293499999999997E-2</v>
      </c>
      <c r="D680" s="9">
        <v>2.9391515E-2</v>
      </c>
      <c r="E680" s="9">
        <v>3.8444895999999999E-2</v>
      </c>
      <c r="F680" s="10">
        <v>3.9758433000000003E-2</v>
      </c>
      <c r="G680" s="10">
        <v>2.8489087999999999E-2</v>
      </c>
      <c r="H680" s="10">
        <v>7.7957862000000003E-2</v>
      </c>
      <c r="I680" s="10">
        <v>3.5236747999999998E-2</v>
      </c>
      <c r="J680" s="11">
        <v>7.1041405000000002E-2</v>
      </c>
      <c r="K680" s="11">
        <v>2.7114234000000001E-2</v>
      </c>
      <c r="L680" s="11">
        <v>7.3797305999999993E-2</v>
      </c>
      <c r="M680" s="11">
        <v>6.6459115999999999E-2</v>
      </c>
      <c r="N680" s="12">
        <v>0.10473951400000001</v>
      </c>
      <c r="O680" s="12">
        <v>5.6917929999999999E-2</v>
      </c>
      <c r="P680" s="12">
        <v>9.1647614000000002E-2</v>
      </c>
      <c r="Q680" s="12">
        <v>5.0868003000000002E-2</v>
      </c>
      <c r="R680" s="13">
        <v>0.108549995</v>
      </c>
      <c r="S680" s="13">
        <v>4.4570585000000003E-2</v>
      </c>
      <c r="T680" s="13">
        <v>0.125845081</v>
      </c>
      <c r="U680" s="13">
        <v>2.9009933000000002E-2</v>
      </c>
      <c r="V680" s="15">
        <v>0.39059785015010939</v>
      </c>
      <c r="W680" s="15">
        <v>0.3055299335723502</v>
      </c>
      <c r="X680" s="15">
        <v>2.3832240364232246E-2</v>
      </c>
      <c r="Y680" s="15">
        <v>0.60367036140234909</v>
      </c>
      <c r="Z680" s="15">
        <v>0.2529120903494419</v>
      </c>
      <c r="AA680" s="15">
        <v>1.7628688217364148E-2</v>
      </c>
      <c r="AB680" s="16">
        <v>0</v>
      </c>
      <c r="AC680" s="16">
        <v>1</v>
      </c>
      <c r="AD680" s="16">
        <v>1</v>
      </c>
    </row>
    <row r="681" spans="1:30" x14ac:dyDescent="0.3">
      <c r="A681" s="8">
        <v>45589</v>
      </c>
      <c r="B681" s="9">
        <v>0.102505423</v>
      </c>
      <c r="C681" s="9">
        <v>2.8518449000000001E-2</v>
      </c>
      <c r="D681" s="9">
        <v>0.103133721</v>
      </c>
      <c r="E681" s="9">
        <v>3.8947010999999997E-2</v>
      </c>
      <c r="F681" s="10">
        <v>3.9088493000000002E-2</v>
      </c>
      <c r="G681" s="10">
        <v>3.3293499999999997E-2</v>
      </c>
      <c r="H681" s="10">
        <v>2.9391515E-2</v>
      </c>
      <c r="I681" s="10">
        <v>3.8444895999999999E-2</v>
      </c>
      <c r="J681" s="11">
        <v>3.9758433000000003E-2</v>
      </c>
      <c r="K681" s="11">
        <v>2.8489087999999999E-2</v>
      </c>
      <c r="L681" s="11">
        <v>7.7957862000000003E-2</v>
      </c>
      <c r="M681" s="11">
        <v>3.5236747999999998E-2</v>
      </c>
      <c r="N681" s="12">
        <v>7.1041405000000002E-2</v>
      </c>
      <c r="O681" s="12">
        <v>2.7114234000000001E-2</v>
      </c>
      <c r="P681" s="12">
        <v>7.3797305999999993E-2</v>
      </c>
      <c r="Q681" s="12">
        <v>6.6459115999999999E-2</v>
      </c>
      <c r="R681" s="13">
        <v>0.10473951400000001</v>
      </c>
      <c r="S681" s="13">
        <v>5.6917929999999999E-2</v>
      </c>
      <c r="T681" s="13">
        <v>9.1647614000000002E-2</v>
      </c>
      <c r="U681" s="13">
        <v>5.0868003000000002E-2</v>
      </c>
      <c r="V681" s="15">
        <v>0.39059785015010939</v>
      </c>
      <c r="W681" s="15">
        <v>0.30178378723803961</v>
      </c>
      <c r="X681" s="15">
        <v>1.8335762776592147E-2</v>
      </c>
      <c r="Y681" s="15">
        <v>0.516354801996737</v>
      </c>
      <c r="Z681" s="15">
        <v>0.25274958228226102</v>
      </c>
      <c r="AA681" s="15">
        <v>1.3114474888275468E-2</v>
      </c>
      <c r="AB681" s="16">
        <v>0</v>
      </c>
      <c r="AC681" s="16">
        <v>1</v>
      </c>
      <c r="AD681" s="16">
        <v>1</v>
      </c>
    </row>
    <row r="682" spans="1:30" x14ac:dyDescent="0.3">
      <c r="A682" s="8">
        <v>45590</v>
      </c>
      <c r="B682" s="9">
        <v>7.5530508999999996E-2</v>
      </c>
      <c r="C682" s="9">
        <v>3.2535152999999997E-2</v>
      </c>
      <c r="D682" s="9">
        <v>0.10265264</v>
      </c>
      <c r="E682" s="9">
        <v>2.5927059999999998E-2</v>
      </c>
      <c r="F682" s="10">
        <v>0.102505423</v>
      </c>
      <c r="G682" s="10">
        <v>2.8518449000000001E-2</v>
      </c>
      <c r="H682" s="10">
        <v>0.103133721</v>
      </c>
      <c r="I682" s="10">
        <v>3.8947010999999997E-2</v>
      </c>
      <c r="J682" s="11">
        <v>3.9088493000000002E-2</v>
      </c>
      <c r="K682" s="11">
        <v>3.3293499999999997E-2</v>
      </c>
      <c r="L682" s="11">
        <v>2.9391515E-2</v>
      </c>
      <c r="M682" s="11">
        <v>3.8444895999999999E-2</v>
      </c>
      <c r="N682" s="12">
        <v>3.9758433000000003E-2</v>
      </c>
      <c r="O682" s="12">
        <v>2.8489087999999999E-2</v>
      </c>
      <c r="P682" s="12">
        <v>7.7957862000000003E-2</v>
      </c>
      <c r="Q682" s="12">
        <v>3.5236747999999998E-2</v>
      </c>
      <c r="R682" s="13">
        <v>7.1041405000000002E-2</v>
      </c>
      <c r="S682" s="13">
        <v>2.7114234000000001E-2</v>
      </c>
      <c r="T682" s="13">
        <v>7.3797305999999993E-2</v>
      </c>
      <c r="U682" s="13">
        <v>6.6459115999999999E-2</v>
      </c>
      <c r="V682" s="15">
        <v>0.42022269296527964</v>
      </c>
      <c r="W682" s="15">
        <v>0.30207502418055682</v>
      </c>
      <c r="X682" s="15">
        <v>0</v>
      </c>
      <c r="Y682" s="15">
        <v>0.60367036140234909</v>
      </c>
      <c r="Z682" s="15">
        <v>0.25267646758654044</v>
      </c>
      <c r="AA682" s="15">
        <v>0</v>
      </c>
      <c r="AB682" s="16">
        <v>0</v>
      </c>
      <c r="AC682" s="16">
        <v>1</v>
      </c>
      <c r="AD682" s="16">
        <v>1</v>
      </c>
    </row>
    <row r="683" spans="1:30" x14ac:dyDescent="0.3">
      <c r="A683" s="8">
        <v>45593</v>
      </c>
      <c r="B683" s="9">
        <v>9.1248818999999995E-2</v>
      </c>
      <c r="C683" s="9">
        <v>4.0860536000000003E-2</v>
      </c>
      <c r="D683" s="9">
        <v>5.4099463E-2</v>
      </c>
      <c r="E683" s="9">
        <v>4.3070746E-2</v>
      </c>
      <c r="F683" s="10">
        <v>7.5530508999999996E-2</v>
      </c>
      <c r="G683" s="10">
        <v>3.2535152999999997E-2</v>
      </c>
      <c r="H683" s="10">
        <v>0.10265264</v>
      </c>
      <c r="I683" s="10">
        <v>2.5927059999999998E-2</v>
      </c>
      <c r="J683" s="11">
        <v>0.102505423</v>
      </c>
      <c r="K683" s="11">
        <v>2.8518449000000001E-2</v>
      </c>
      <c r="L683" s="11">
        <v>0.103133721</v>
      </c>
      <c r="M683" s="11">
        <v>3.8947010999999997E-2</v>
      </c>
      <c r="N683" s="12">
        <v>3.9088493000000002E-2</v>
      </c>
      <c r="O683" s="12">
        <v>3.3293499999999997E-2</v>
      </c>
      <c r="P683" s="12">
        <v>2.9391515E-2</v>
      </c>
      <c r="Q683" s="12">
        <v>3.8444895999999999E-2</v>
      </c>
      <c r="R683" s="13">
        <v>3.9758433000000003E-2</v>
      </c>
      <c r="S683" s="13">
        <v>2.8489087999999999E-2</v>
      </c>
      <c r="T683" s="13">
        <v>7.7957862000000003E-2</v>
      </c>
      <c r="U683" s="13">
        <v>3.5236747999999998E-2</v>
      </c>
      <c r="V683" s="15">
        <v>0.39059785015010939</v>
      </c>
      <c r="W683" s="15">
        <v>0.30232272868996307</v>
      </c>
      <c r="X683" s="15">
        <v>1.2420584091628382E-2</v>
      </c>
      <c r="Y683" s="15">
        <v>0.60367036140234909</v>
      </c>
      <c r="Z683" s="15">
        <v>0.25249490787139584</v>
      </c>
      <c r="AA683" s="15">
        <v>9.158782032545932E-3</v>
      </c>
      <c r="AB683" s="16">
        <v>0</v>
      </c>
      <c r="AC683" s="16">
        <v>0</v>
      </c>
      <c r="AD683" s="16">
        <v>0</v>
      </c>
    </row>
    <row r="684" spans="1:30" x14ac:dyDescent="0.3">
      <c r="A684" s="8">
        <v>45594</v>
      </c>
      <c r="B684" s="9">
        <v>6.9873003000000003E-2</v>
      </c>
      <c r="C684" s="9">
        <v>3.3007003E-2</v>
      </c>
      <c r="D684" s="9">
        <v>6.7976793999999993E-2</v>
      </c>
      <c r="E684" s="9">
        <v>6.0063553999999998E-2</v>
      </c>
      <c r="F684" s="10">
        <v>9.1248818999999995E-2</v>
      </c>
      <c r="G684" s="10">
        <v>4.0860536000000003E-2</v>
      </c>
      <c r="H684" s="10">
        <v>5.4099463E-2</v>
      </c>
      <c r="I684" s="10">
        <v>4.3070746E-2</v>
      </c>
      <c r="J684" s="11">
        <v>7.5530508999999996E-2</v>
      </c>
      <c r="K684" s="11">
        <v>3.2535152999999997E-2</v>
      </c>
      <c r="L684" s="11">
        <v>0.10265264</v>
      </c>
      <c r="M684" s="11">
        <v>2.5927059999999998E-2</v>
      </c>
      <c r="N684" s="12">
        <v>0.102505423</v>
      </c>
      <c r="O684" s="12">
        <v>2.8518449000000001E-2</v>
      </c>
      <c r="P684" s="12">
        <v>0.103133721</v>
      </c>
      <c r="Q684" s="12">
        <v>3.8947010999999997E-2</v>
      </c>
      <c r="R684" s="13">
        <v>3.9088493000000002E-2</v>
      </c>
      <c r="S684" s="13">
        <v>3.3293499999999997E-2</v>
      </c>
      <c r="T684" s="13">
        <v>2.9391515E-2</v>
      </c>
      <c r="U684" s="13">
        <v>3.8444895999999999E-2</v>
      </c>
      <c r="V684" s="15">
        <v>0.39059785015010939</v>
      </c>
      <c r="W684" s="15">
        <v>0.30398962278507169</v>
      </c>
      <c r="X684" s="15">
        <v>3.1814544222285475E-2</v>
      </c>
      <c r="Y684" s="15">
        <v>0.516354801996737</v>
      </c>
      <c r="Z684" s="15">
        <v>0.2534637882261665</v>
      </c>
      <c r="AA684" s="15">
        <v>2.2934446768671447E-2</v>
      </c>
      <c r="AB684" s="16">
        <v>0</v>
      </c>
      <c r="AC684" s="16">
        <v>0</v>
      </c>
      <c r="AD684" s="16">
        <v>0</v>
      </c>
    </row>
    <row r="685" spans="1:30" x14ac:dyDescent="0.3">
      <c r="A685" s="8">
        <v>45595</v>
      </c>
      <c r="B685" s="9">
        <v>5.6052686999999997E-2</v>
      </c>
      <c r="C685" s="9">
        <v>5.9547296E-2</v>
      </c>
      <c r="D685" s="9">
        <v>2.4099467999999999E-2</v>
      </c>
      <c r="E685" s="9">
        <v>4.2458243999999999E-2</v>
      </c>
      <c r="F685" s="10">
        <v>6.9873003000000003E-2</v>
      </c>
      <c r="G685" s="10">
        <v>3.3007003E-2</v>
      </c>
      <c r="H685" s="10">
        <v>6.7976793999999993E-2</v>
      </c>
      <c r="I685" s="10">
        <v>6.0063553999999998E-2</v>
      </c>
      <c r="J685" s="11">
        <v>9.1248818999999995E-2</v>
      </c>
      <c r="K685" s="11">
        <v>4.0860536000000003E-2</v>
      </c>
      <c r="L685" s="11">
        <v>5.4099463E-2</v>
      </c>
      <c r="M685" s="11">
        <v>4.3070746E-2</v>
      </c>
      <c r="N685" s="12">
        <v>7.5530508999999996E-2</v>
      </c>
      <c r="O685" s="12">
        <v>3.2535152999999997E-2</v>
      </c>
      <c r="P685" s="12">
        <v>0.10265264</v>
      </c>
      <c r="Q685" s="12">
        <v>2.5927059999999998E-2</v>
      </c>
      <c r="R685" s="13">
        <v>0.102505423</v>
      </c>
      <c r="S685" s="13">
        <v>2.8518449000000001E-2</v>
      </c>
      <c r="T685" s="13">
        <v>0.103133721</v>
      </c>
      <c r="U685" s="13">
        <v>3.8947010999999997E-2</v>
      </c>
      <c r="V685" s="15">
        <v>0.35918761377255332</v>
      </c>
      <c r="W685" s="15">
        <v>0.30068118463799431</v>
      </c>
      <c r="X685" s="15">
        <v>1.3224939113395322E-2</v>
      </c>
      <c r="Y685" s="15">
        <v>0.4771918139576104</v>
      </c>
      <c r="Z685" s="15">
        <v>0.25357733894543022</v>
      </c>
      <c r="AA685" s="15">
        <v>1.0351807271567445E-2</v>
      </c>
      <c r="AB685" s="16">
        <v>1</v>
      </c>
      <c r="AC685" s="16">
        <v>0</v>
      </c>
      <c r="AD685" s="16">
        <v>1</v>
      </c>
    </row>
    <row r="686" spans="1:30" x14ac:dyDescent="0.3">
      <c r="A686" s="8">
        <v>45597</v>
      </c>
      <c r="B686" s="9">
        <v>0.10653104200000001</v>
      </c>
      <c r="C686" s="9">
        <v>5.5508044999999999E-2</v>
      </c>
      <c r="D686" s="9">
        <v>0.20819385900000001</v>
      </c>
      <c r="E686" s="9">
        <v>5.5986396000000001E-2</v>
      </c>
      <c r="F686" s="10">
        <v>5.6052686999999997E-2</v>
      </c>
      <c r="G686" s="10">
        <v>5.9547296E-2</v>
      </c>
      <c r="H686" s="10">
        <v>2.4099467999999999E-2</v>
      </c>
      <c r="I686" s="10">
        <v>4.2458243999999999E-2</v>
      </c>
      <c r="J686" s="11">
        <v>6.9873003000000003E-2</v>
      </c>
      <c r="K686" s="11">
        <v>3.3007003E-2</v>
      </c>
      <c r="L686" s="11">
        <v>6.7976793999999993E-2</v>
      </c>
      <c r="M686" s="11">
        <v>6.0063553999999998E-2</v>
      </c>
      <c r="N686" s="12">
        <v>9.1248818999999995E-2</v>
      </c>
      <c r="O686" s="12">
        <v>4.0860536000000003E-2</v>
      </c>
      <c r="P686" s="12">
        <v>5.4099463E-2</v>
      </c>
      <c r="Q686" s="12">
        <v>4.3070746E-2</v>
      </c>
      <c r="R686" s="13">
        <v>7.5530508999999996E-2</v>
      </c>
      <c r="S686" s="13">
        <v>3.2535152999999997E-2</v>
      </c>
      <c r="T686" s="13">
        <v>0.10265264</v>
      </c>
      <c r="U686" s="13">
        <v>2.5927059999999998E-2</v>
      </c>
      <c r="V686" s="15">
        <v>0.35918761377255332</v>
      </c>
      <c r="W686" s="15">
        <v>0.27766623624207121</v>
      </c>
      <c r="X686" s="15">
        <v>6.6771987783120577E-3</v>
      </c>
      <c r="Y686" s="15">
        <v>0.42022269296527964</v>
      </c>
      <c r="Z686" s="15">
        <v>0.25346056140889844</v>
      </c>
      <c r="AA686" s="15">
        <v>4.3297476571885233E-3</v>
      </c>
      <c r="AB686" s="16">
        <v>1</v>
      </c>
      <c r="AC686" s="16">
        <v>0</v>
      </c>
      <c r="AD686" s="16">
        <v>1</v>
      </c>
    </row>
    <row r="687" spans="1:30" x14ac:dyDescent="0.3">
      <c r="A687" s="8">
        <v>45600</v>
      </c>
      <c r="B687" s="9">
        <v>9.9225437999999999E-2</v>
      </c>
      <c r="C687" s="9">
        <v>5.1869514999999998E-2</v>
      </c>
      <c r="D687" s="9">
        <v>0.180751145</v>
      </c>
      <c r="E687" s="9">
        <v>6.3044653000000006E-2</v>
      </c>
      <c r="F687" s="10">
        <v>0.10653104200000001</v>
      </c>
      <c r="G687" s="10">
        <v>5.5508044999999999E-2</v>
      </c>
      <c r="H687" s="10">
        <v>0.20819385900000001</v>
      </c>
      <c r="I687" s="10">
        <v>5.5986396000000001E-2</v>
      </c>
      <c r="J687" s="11">
        <v>5.6052686999999997E-2</v>
      </c>
      <c r="K687" s="11">
        <v>5.9547296E-2</v>
      </c>
      <c r="L687" s="11">
        <v>2.4099467999999999E-2</v>
      </c>
      <c r="M687" s="11">
        <v>4.2458243999999999E-2</v>
      </c>
      <c r="N687" s="12">
        <v>6.9873003000000003E-2</v>
      </c>
      <c r="O687" s="12">
        <v>3.3007003E-2</v>
      </c>
      <c r="P687" s="12">
        <v>6.7976793999999993E-2</v>
      </c>
      <c r="Q687" s="12">
        <v>6.0063553999999998E-2</v>
      </c>
      <c r="R687" s="13">
        <v>9.1248818999999995E-2</v>
      </c>
      <c r="S687" s="13">
        <v>4.0860536000000003E-2</v>
      </c>
      <c r="T687" s="13">
        <v>5.4099463E-2</v>
      </c>
      <c r="U687" s="13">
        <v>4.3070746E-2</v>
      </c>
      <c r="V687" s="15">
        <v>0.39059785015010939</v>
      </c>
      <c r="W687" s="15">
        <v>0.24544813977622637</v>
      </c>
      <c r="X687" s="15">
        <v>0</v>
      </c>
      <c r="Y687" s="15">
        <v>0.42022269296527964</v>
      </c>
      <c r="Z687" s="15">
        <v>0.25352557303261941</v>
      </c>
      <c r="AA687" s="15">
        <v>0</v>
      </c>
      <c r="AB687" s="16">
        <v>1</v>
      </c>
      <c r="AC687" s="16">
        <v>0</v>
      </c>
      <c r="AD687" s="16">
        <v>1</v>
      </c>
    </row>
    <row r="688" spans="1:30" x14ac:dyDescent="0.3">
      <c r="A688" s="8">
        <v>45601</v>
      </c>
      <c r="B688" s="9">
        <v>7.6071472000000001E-2</v>
      </c>
      <c r="C688" s="9">
        <v>4.7502358000000001E-2</v>
      </c>
      <c r="D688" s="9">
        <v>0.16342757399999999</v>
      </c>
      <c r="E688" s="9">
        <v>6.3986776999999995E-2</v>
      </c>
      <c r="F688" s="10">
        <v>9.9225437999999999E-2</v>
      </c>
      <c r="G688" s="10">
        <v>5.1869514999999998E-2</v>
      </c>
      <c r="H688" s="10">
        <v>0.180751145</v>
      </c>
      <c r="I688" s="10">
        <v>6.3044653000000006E-2</v>
      </c>
      <c r="J688" s="11">
        <v>0.10653104200000001</v>
      </c>
      <c r="K688" s="11">
        <v>5.5508044999999999E-2</v>
      </c>
      <c r="L688" s="11">
        <v>0.20819385900000001</v>
      </c>
      <c r="M688" s="11">
        <v>5.5986396000000001E-2</v>
      </c>
      <c r="N688" s="12">
        <v>5.6052686999999997E-2</v>
      </c>
      <c r="O688" s="12">
        <v>5.9547296E-2</v>
      </c>
      <c r="P688" s="12">
        <v>2.4099467999999999E-2</v>
      </c>
      <c r="Q688" s="12">
        <v>4.2458243999999999E-2</v>
      </c>
      <c r="R688" s="13">
        <v>6.9873003000000003E-2</v>
      </c>
      <c r="S688" s="13">
        <v>3.3007003E-2</v>
      </c>
      <c r="T688" s="13">
        <v>6.7976793999999993E-2</v>
      </c>
      <c r="U688" s="13">
        <v>6.0063553999999998E-2</v>
      </c>
      <c r="V688" s="15">
        <v>0.39059785015010939</v>
      </c>
      <c r="W688" s="15">
        <v>0.2331623972018686</v>
      </c>
      <c r="X688" s="15">
        <v>0</v>
      </c>
      <c r="Y688" s="15">
        <v>0.4771918139576104</v>
      </c>
      <c r="Z688" s="15">
        <v>0.25327196861139029</v>
      </c>
      <c r="AA688" s="15">
        <v>0</v>
      </c>
      <c r="AB688" s="16">
        <v>0</v>
      </c>
      <c r="AC688" s="16">
        <v>0</v>
      </c>
      <c r="AD688" s="16">
        <v>0</v>
      </c>
    </row>
    <row r="689" spans="1:30" x14ac:dyDescent="0.3">
      <c r="A689" s="8">
        <v>45602</v>
      </c>
      <c r="B689" s="9">
        <v>5.5689288000000003E-2</v>
      </c>
      <c r="C689" s="9">
        <v>5.9428441999999998E-2</v>
      </c>
      <c r="D689" s="9">
        <v>7.3381021000000005E-2</v>
      </c>
      <c r="E689" s="9">
        <v>9.0127558999999996E-2</v>
      </c>
      <c r="F689" s="10">
        <v>7.6071472000000001E-2</v>
      </c>
      <c r="G689" s="10">
        <v>4.7502358000000001E-2</v>
      </c>
      <c r="H689" s="10">
        <v>0.16342757399999999</v>
      </c>
      <c r="I689" s="10">
        <v>6.3986776999999995E-2</v>
      </c>
      <c r="J689" s="11">
        <v>9.9225437999999999E-2</v>
      </c>
      <c r="K689" s="11">
        <v>5.1869514999999998E-2</v>
      </c>
      <c r="L689" s="11">
        <v>0.180751145</v>
      </c>
      <c r="M689" s="11">
        <v>6.3044653000000006E-2</v>
      </c>
      <c r="N689" s="12">
        <v>0.10653104200000001</v>
      </c>
      <c r="O689" s="12">
        <v>5.5508044999999999E-2</v>
      </c>
      <c r="P689" s="12">
        <v>0.20819385900000001</v>
      </c>
      <c r="Q689" s="12">
        <v>5.5986396000000001E-2</v>
      </c>
      <c r="R689" s="13">
        <v>5.6052686999999997E-2</v>
      </c>
      <c r="S689" s="13">
        <v>5.9547296E-2</v>
      </c>
      <c r="T689" s="13">
        <v>2.4099467999999999E-2</v>
      </c>
      <c r="U689" s="13">
        <v>4.2458243999999999E-2</v>
      </c>
      <c r="V689" s="15">
        <v>0.39059785015010939</v>
      </c>
      <c r="W689" s="15">
        <v>0.21504343082424729</v>
      </c>
      <c r="X689" s="15">
        <v>0</v>
      </c>
      <c r="Y689" s="15">
        <v>0.4771918139576104</v>
      </c>
      <c r="Z689" s="15">
        <v>0.25313740410654617</v>
      </c>
      <c r="AA689" s="15">
        <v>0</v>
      </c>
      <c r="AB689" s="16">
        <v>0</v>
      </c>
      <c r="AC689" s="16">
        <v>1</v>
      </c>
      <c r="AD689" s="16">
        <v>1</v>
      </c>
    </row>
    <row r="690" spans="1:30" x14ac:dyDescent="0.3">
      <c r="A690" s="8">
        <v>45603</v>
      </c>
      <c r="B690" s="9">
        <v>0.13526184299999999</v>
      </c>
      <c r="C690" s="9">
        <v>3.9678585000000002E-2</v>
      </c>
      <c r="D690" s="9">
        <v>0.25779519699999998</v>
      </c>
      <c r="E690" s="9">
        <v>9.2789221000000005E-2</v>
      </c>
      <c r="F690" s="10">
        <v>5.5689288000000003E-2</v>
      </c>
      <c r="G690" s="10">
        <v>5.9428441999999998E-2</v>
      </c>
      <c r="H690" s="10">
        <v>7.3381021000000005E-2</v>
      </c>
      <c r="I690" s="10">
        <v>9.0127558999999996E-2</v>
      </c>
      <c r="J690" s="11">
        <v>7.6071472000000001E-2</v>
      </c>
      <c r="K690" s="11">
        <v>4.7502358000000001E-2</v>
      </c>
      <c r="L690" s="11">
        <v>0.16342757399999999</v>
      </c>
      <c r="M690" s="11">
        <v>6.3986776999999995E-2</v>
      </c>
      <c r="N690" s="12">
        <v>9.9225437999999999E-2</v>
      </c>
      <c r="O690" s="12">
        <v>5.1869514999999998E-2</v>
      </c>
      <c r="P690" s="12">
        <v>0.180751145</v>
      </c>
      <c r="Q690" s="12">
        <v>6.3044653000000006E-2</v>
      </c>
      <c r="R690" s="13">
        <v>0.10653104200000001</v>
      </c>
      <c r="S690" s="13">
        <v>5.5508044999999999E-2</v>
      </c>
      <c r="T690" s="13">
        <v>0.20819385900000001</v>
      </c>
      <c r="U690" s="13">
        <v>5.5986396000000001E-2</v>
      </c>
      <c r="V690" s="15">
        <v>0.42022269296527964</v>
      </c>
      <c r="W690" s="15">
        <v>0.20876138522755514</v>
      </c>
      <c r="X690" s="15">
        <v>0</v>
      </c>
      <c r="Y690" s="15">
        <v>0.4771918139576104</v>
      </c>
      <c r="Z690" s="15">
        <v>0.25337524604856054</v>
      </c>
      <c r="AA690" s="15">
        <v>0</v>
      </c>
      <c r="AB690" s="16">
        <v>0</v>
      </c>
      <c r="AC690" s="16">
        <v>1</v>
      </c>
      <c r="AD690" s="16">
        <v>1</v>
      </c>
    </row>
    <row r="691" spans="1:30" x14ac:dyDescent="0.3">
      <c r="A691" s="8">
        <v>45604</v>
      </c>
      <c r="B691" s="9">
        <v>0.137831817</v>
      </c>
      <c r="C691" s="9">
        <v>3.9214515999999998E-2</v>
      </c>
      <c r="D691" s="9">
        <v>0.172563102</v>
      </c>
      <c r="E691" s="9">
        <v>6.6494414000000002E-2</v>
      </c>
      <c r="F691" s="10">
        <v>0.13526184299999999</v>
      </c>
      <c r="G691" s="10">
        <v>3.9678585000000002E-2</v>
      </c>
      <c r="H691" s="10">
        <v>0.25779519699999998</v>
      </c>
      <c r="I691" s="10">
        <v>9.2789221000000005E-2</v>
      </c>
      <c r="J691" s="11">
        <v>5.5689288000000003E-2</v>
      </c>
      <c r="K691" s="11">
        <v>5.9428441999999998E-2</v>
      </c>
      <c r="L691" s="11">
        <v>7.3381021000000005E-2</v>
      </c>
      <c r="M691" s="11">
        <v>9.0127558999999996E-2</v>
      </c>
      <c r="N691" s="12">
        <v>7.6071472000000001E-2</v>
      </c>
      <c r="O691" s="12">
        <v>4.7502358000000001E-2</v>
      </c>
      <c r="P691" s="12">
        <v>0.16342757399999999</v>
      </c>
      <c r="Q691" s="12">
        <v>6.3986776999999995E-2</v>
      </c>
      <c r="R691" s="13">
        <v>9.9225437999999999E-2</v>
      </c>
      <c r="S691" s="13">
        <v>5.1869514999999998E-2</v>
      </c>
      <c r="T691" s="13">
        <v>0.180751145</v>
      </c>
      <c r="U691" s="13">
        <v>6.3044653000000006E-2</v>
      </c>
      <c r="V691" s="15">
        <v>0.42022269296527964</v>
      </c>
      <c r="W691" s="15">
        <v>0.19828911451454784</v>
      </c>
      <c r="X691" s="15">
        <v>0</v>
      </c>
      <c r="Y691" s="15">
        <v>0.4771918139576104</v>
      </c>
      <c r="Z691" s="15">
        <v>0.25337833353102646</v>
      </c>
      <c r="AA691" s="15">
        <v>0</v>
      </c>
      <c r="AB691" s="16">
        <v>0</v>
      </c>
      <c r="AC691" s="16">
        <v>1</v>
      </c>
      <c r="AD691" s="16">
        <v>1</v>
      </c>
    </row>
    <row r="692" spans="1:30" x14ac:dyDescent="0.3">
      <c r="A692" s="8">
        <v>45607</v>
      </c>
      <c r="B692" s="9">
        <v>0.120483037</v>
      </c>
      <c r="C692" s="9">
        <v>4.8263458000000002E-2</v>
      </c>
      <c r="D692" s="9">
        <v>0.162211139</v>
      </c>
      <c r="E692" s="9">
        <v>5.3036910999999999E-2</v>
      </c>
      <c r="F692" s="10">
        <v>0.137831817</v>
      </c>
      <c r="G692" s="10">
        <v>3.9214515999999998E-2</v>
      </c>
      <c r="H692" s="10">
        <v>0.172563102</v>
      </c>
      <c r="I692" s="10">
        <v>6.6494414000000002E-2</v>
      </c>
      <c r="J692" s="11">
        <v>0.13526184299999999</v>
      </c>
      <c r="K692" s="11">
        <v>3.9678585000000002E-2</v>
      </c>
      <c r="L692" s="11">
        <v>0.25779519699999998</v>
      </c>
      <c r="M692" s="11">
        <v>9.2789221000000005E-2</v>
      </c>
      <c r="N692" s="12">
        <v>5.5689288000000003E-2</v>
      </c>
      <c r="O692" s="12">
        <v>5.9428441999999998E-2</v>
      </c>
      <c r="P692" s="12">
        <v>7.3381021000000005E-2</v>
      </c>
      <c r="Q692" s="12">
        <v>9.0127558999999996E-2</v>
      </c>
      <c r="R692" s="13">
        <v>7.6071472000000001E-2</v>
      </c>
      <c r="S692" s="13">
        <v>4.7502358000000001E-2</v>
      </c>
      <c r="T692" s="13">
        <v>0.16342757399999999</v>
      </c>
      <c r="U692" s="13">
        <v>6.3986776999999995E-2</v>
      </c>
      <c r="V692" s="15">
        <v>0.39059785015010939</v>
      </c>
      <c r="W692" s="15">
        <v>0.19764447202583138</v>
      </c>
      <c r="X692" s="15">
        <v>4.7387804928503263E-3</v>
      </c>
      <c r="Y692" s="15">
        <v>0.42022269296527964</v>
      </c>
      <c r="Z692" s="15">
        <v>0.25315905635123603</v>
      </c>
      <c r="AA692" s="15">
        <v>3.3122775386251494E-3</v>
      </c>
      <c r="AB692" s="16">
        <v>0</v>
      </c>
      <c r="AC692" s="16">
        <v>1</v>
      </c>
      <c r="AD692" s="16">
        <v>1</v>
      </c>
    </row>
    <row r="693" spans="1:30" x14ac:dyDescent="0.3">
      <c r="A693" s="8">
        <v>45608</v>
      </c>
      <c r="B693" s="9">
        <v>0.15119969899999999</v>
      </c>
      <c r="C693" s="9">
        <v>7.0089822999999996E-2</v>
      </c>
      <c r="D693" s="9">
        <v>0.10625285</v>
      </c>
      <c r="E693" s="9">
        <v>0.10020011</v>
      </c>
      <c r="F693" s="10">
        <v>0.120483037</v>
      </c>
      <c r="G693" s="10">
        <v>4.8263458000000002E-2</v>
      </c>
      <c r="H693" s="10">
        <v>0.162211139</v>
      </c>
      <c r="I693" s="10">
        <v>5.3036910999999999E-2</v>
      </c>
      <c r="J693" s="11">
        <v>0.137831817</v>
      </c>
      <c r="K693" s="11">
        <v>3.9214515999999998E-2</v>
      </c>
      <c r="L693" s="11">
        <v>0.172563102</v>
      </c>
      <c r="M693" s="11">
        <v>6.6494414000000002E-2</v>
      </c>
      <c r="N693" s="12">
        <v>0.13526184299999999</v>
      </c>
      <c r="O693" s="12">
        <v>3.9678585000000002E-2</v>
      </c>
      <c r="P693" s="12">
        <v>0.25779519699999998</v>
      </c>
      <c r="Q693" s="12">
        <v>9.2789221000000005E-2</v>
      </c>
      <c r="R693" s="13">
        <v>5.5689288000000003E-2</v>
      </c>
      <c r="S693" s="13">
        <v>5.9428441999999998E-2</v>
      </c>
      <c r="T693" s="13">
        <v>7.3381021000000005E-2</v>
      </c>
      <c r="U693" s="13">
        <v>9.0127558999999996E-2</v>
      </c>
      <c r="V693" s="15">
        <v>0.3592330650834516</v>
      </c>
      <c r="W693" s="15">
        <v>0.20695841589511116</v>
      </c>
      <c r="X693" s="15">
        <v>6.0367879714654619E-2</v>
      </c>
      <c r="Y693" s="15">
        <v>0.39059785015010939</v>
      </c>
      <c r="Z693" s="15">
        <v>0.25660730912058577</v>
      </c>
      <c r="AA693" s="15">
        <v>4.291396457054366E-2</v>
      </c>
      <c r="AB693" s="16">
        <v>0</v>
      </c>
      <c r="AC693" s="16">
        <v>0</v>
      </c>
      <c r="AD693" s="16">
        <v>0</v>
      </c>
    </row>
    <row r="694" spans="1:30" x14ac:dyDescent="0.3">
      <c r="A694" s="8">
        <v>45609</v>
      </c>
      <c r="B694" s="9">
        <v>8.4162510999999995E-2</v>
      </c>
      <c r="C694" s="9">
        <v>6.7452647000000004E-2</v>
      </c>
      <c r="D694" s="9">
        <v>9.4348974000000002E-2</v>
      </c>
      <c r="E694" s="9">
        <v>0.10742484400000001</v>
      </c>
      <c r="F694" s="10">
        <v>0.15119969899999999</v>
      </c>
      <c r="G694" s="10">
        <v>7.0089822999999996E-2</v>
      </c>
      <c r="H694" s="10">
        <v>0.10625285</v>
      </c>
      <c r="I694" s="10">
        <v>0.10020011</v>
      </c>
      <c r="J694" s="11">
        <v>0.120483037</v>
      </c>
      <c r="K694" s="11">
        <v>4.8263458000000002E-2</v>
      </c>
      <c r="L694" s="11">
        <v>0.162211139</v>
      </c>
      <c r="M694" s="11">
        <v>5.3036910999999999E-2</v>
      </c>
      <c r="N694" s="12">
        <v>0.137831817</v>
      </c>
      <c r="O694" s="12">
        <v>3.9214515999999998E-2</v>
      </c>
      <c r="P694" s="12">
        <v>0.172563102</v>
      </c>
      <c r="Q694" s="12">
        <v>6.6494414000000002E-2</v>
      </c>
      <c r="R694" s="13">
        <v>0.13526184299999999</v>
      </c>
      <c r="S694" s="13">
        <v>3.9678585000000002E-2</v>
      </c>
      <c r="T694" s="13">
        <v>0.25779519699999998</v>
      </c>
      <c r="U694" s="13">
        <v>9.2789221000000005E-2</v>
      </c>
      <c r="V694" s="15">
        <v>0.32240275535755841</v>
      </c>
      <c r="W694" s="15">
        <v>0.20609139996770523</v>
      </c>
      <c r="X694" s="15">
        <v>1.4687227174321861E-2</v>
      </c>
      <c r="Y694" s="15">
        <v>0.39059785015010939</v>
      </c>
      <c r="Z694" s="15">
        <v>0.25678654028857556</v>
      </c>
      <c r="AA694" s="15">
        <v>1.1027214282360828E-2</v>
      </c>
      <c r="AB694" s="16">
        <v>0</v>
      </c>
      <c r="AC694" s="16">
        <v>0</v>
      </c>
      <c r="AD694" s="16">
        <v>0</v>
      </c>
    </row>
    <row r="695" spans="1:30" x14ac:dyDescent="0.3">
      <c r="A695" s="8">
        <v>45610</v>
      </c>
      <c r="B695" s="9">
        <v>0.23370490399999999</v>
      </c>
      <c r="C695" s="9">
        <v>5.8015156999999998E-2</v>
      </c>
      <c r="D695" s="9">
        <v>0.29073163299999999</v>
      </c>
      <c r="E695" s="9">
        <v>6.9604799999999994E-2</v>
      </c>
      <c r="F695" s="10">
        <v>8.4162510999999995E-2</v>
      </c>
      <c r="G695" s="10">
        <v>6.7452647000000004E-2</v>
      </c>
      <c r="H695" s="10">
        <v>9.4348974000000002E-2</v>
      </c>
      <c r="I695" s="10">
        <v>0.10742484400000001</v>
      </c>
      <c r="J695" s="11">
        <v>0.15119969899999999</v>
      </c>
      <c r="K695" s="11">
        <v>7.0089822999999996E-2</v>
      </c>
      <c r="L695" s="11">
        <v>0.10625285</v>
      </c>
      <c r="M695" s="11">
        <v>0.10020011</v>
      </c>
      <c r="N695" s="12">
        <v>0.120483037</v>
      </c>
      <c r="O695" s="12">
        <v>4.8263458000000002E-2</v>
      </c>
      <c r="P695" s="12">
        <v>0.162211139</v>
      </c>
      <c r="Q695" s="12">
        <v>5.3036910999999999E-2</v>
      </c>
      <c r="R695" s="13">
        <v>0.137831817</v>
      </c>
      <c r="S695" s="13">
        <v>3.9214515999999998E-2</v>
      </c>
      <c r="T695" s="13">
        <v>0.172563102</v>
      </c>
      <c r="U695" s="13">
        <v>6.6494414000000002E-2</v>
      </c>
      <c r="V695" s="15">
        <v>0.32240275535755841</v>
      </c>
      <c r="W695" s="15">
        <v>0.20616160250523557</v>
      </c>
      <c r="X695" s="15">
        <v>1.7272586054553962E-2</v>
      </c>
      <c r="Y695" s="15">
        <v>0.39059785015010939</v>
      </c>
      <c r="Z695" s="15">
        <v>0.25710646361871764</v>
      </c>
      <c r="AA695" s="15">
        <v>1.2767711042234153E-2</v>
      </c>
      <c r="AB695" s="16">
        <v>0</v>
      </c>
      <c r="AC695" s="16">
        <v>0</v>
      </c>
      <c r="AD695" s="16">
        <v>0</v>
      </c>
    </row>
    <row r="696" spans="1:30" x14ac:dyDescent="0.3">
      <c r="A696" s="8">
        <v>45611</v>
      </c>
      <c r="B696" s="9">
        <v>0.22042800000000001</v>
      </c>
      <c r="C696" s="9">
        <v>0.107452665</v>
      </c>
      <c r="D696" s="9">
        <v>0.258444544</v>
      </c>
      <c r="E696" s="9">
        <v>6.9139091999999999E-2</v>
      </c>
      <c r="F696" s="10">
        <v>0.23370490399999999</v>
      </c>
      <c r="G696" s="10">
        <v>5.8015156999999998E-2</v>
      </c>
      <c r="H696" s="10">
        <v>0.29073163299999999</v>
      </c>
      <c r="I696" s="10">
        <v>6.9604799999999994E-2</v>
      </c>
      <c r="J696" s="11">
        <v>8.4162510999999995E-2</v>
      </c>
      <c r="K696" s="11">
        <v>6.7452647000000004E-2</v>
      </c>
      <c r="L696" s="11">
        <v>9.4348974000000002E-2</v>
      </c>
      <c r="M696" s="11">
        <v>0.10742484400000001</v>
      </c>
      <c r="N696" s="12">
        <v>0.15119969899999999</v>
      </c>
      <c r="O696" s="12">
        <v>7.0089822999999996E-2</v>
      </c>
      <c r="P696" s="12">
        <v>0.10625285</v>
      </c>
      <c r="Q696" s="12">
        <v>0.10020011</v>
      </c>
      <c r="R696" s="13">
        <v>0.120483037</v>
      </c>
      <c r="S696" s="13">
        <v>4.8263458000000002E-2</v>
      </c>
      <c r="T696" s="13">
        <v>0.162211139</v>
      </c>
      <c r="U696" s="13">
        <v>5.3036910999999999E-2</v>
      </c>
      <c r="V696" s="15">
        <v>0.32240275535755841</v>
      </c>
      <c r="W696" s="15">
        <v>0.20005034644226222</v>
      </c>
      <c r="X696" s="15">
        <v>0</v>
      </c>
      <c r="Y696" s="15">
        <v>0.41524593735082388</v>
      </c>
      <c r="Z696" s="15">
        <v>0.25706591397681916</v>
      </c>
      <c r="AA696" s="15">
        <v>0</v>
      </c>
      <c r="AB696" s="16">
        <v>0</v>
      </c>
      <c r="AC696" s="16">
        <v>0</v>
      </c>
      <c r="AD696" s="16">
        <v>0</v>
      </c>
    </row>
    <row r="697" spans="1:30" x14ac:dyDescent="0.3">
      <c r="A697" s="8">
        <v>45614</v>
      </c>
      <c r="B697" s="9">
        <v>0.30559944100000003</v>
      </c>
      <c r="C697" s="9">
        <v>0.100946219</v>
      </c>
      <c r="D697" s="9">
        <v>0.30427296300000001</v>
      </c>
      <c r="E697" s="9">
        <v>0.12599155100000001</v>
      </c>
      <c r="F697" s="10">
        <v>0.22042800000000001</v>
      </c>
      <c r="G697" s="10">
        <v>0.107452665</v>
      </c>
      <c r="H697" s="10">
        <v>0.258444544</v>
      </c>
      <c r="I697" s="10">
        <v>6.9139091999999999E-2</v>
      </c>
      <c r="J697" s="11">
        <v>0.23370490399999999</v>
      </c>
      <c r="K697" s="11">
        <v>5.8015156999999998E-2</v>
      </c>
      <c r="L697" s="11">
        <v>0.29073163299999999</v>
      </c>
      <c r="M697" s="11">
        <v>6.9604799999999994E-2</v>
      </c>
      <c r="N697" s="12">
        <v>8.4162510999999995E-2</v>
      </c>
      <c r="O697" s="12">
        <v>6.7452647000000004E-2</v>
      </c>
      <c r="P697" s="12">
        <v>9.4348974000000002E-2</v>
      </c>
      <c r="Q697" s="12">
        <v>0.10742484400000001</v>
      </c>
      <c r="R697" s="13">
        <v>0.15119969899999999</v>
      </c>
      <c r="S697" s="13">
        <v>7.0089822999999996E-2</v>
      </c>
      <c r="T697" s="13">
        <v>0.10625285</v>
      </c>
      <c r="U697" s="13">
        <v>0.10020011</v>
      </c>
      <c r="V697" s="15">
        <v>0.30144970132337223</v>
      </c>
      <c r="W697" s="15">
        <v>0.20045428290643769</v>
      </c>
      <c r="X697" s="15">
        <v>1.2870577390346602E-2</v>
      </c>
      <c r="Y697" s="15">
        <v>0.39059785015010939</v>
      </c>
      <c r="Z697" s="15">
        <v>0.25613279888548368</v>
      </c>
      <c r="AA697" s="15">
        <v>1.0162004055352261E-2</v>
      </c>
      <c r="AB697" s="16">
        <v>1</v>
      </c>
      <c r="AC697" s="16">
        <v>0</v>
      </c>
      <c r="AD697" s="16">
        <v>1</v>
      </c>
    </row>
    <row r="698" spans="1:30" x14ac:dyDescent="0.3">
      <c r="A698" s="8">
        <v>45615</v>
      </c>
      <c r="B698" s="9">
        <v>0.17990471399999999</v>
      </c>
      <c r="C698" s="9">
        <v>0.15865732799999999</v>
      </c>
      <c r="D698" s="9">
        <v>0.43706959099999998</v>
      </c>
      <c r="E698" s="9">
        <v>0.22365999</v>
      </c>
      <c r="F698" s="10">
        <v>0.30559944100000003</v>
      </c>
      <c r="G698" s="10">
        <v>0.100946219</v>
      </c>
      <c r="H698" s="10">
        <v>0.30427296300000001</v>
      </c>
      <c r="I698" s="10">
        <v>0.12599155100000001</v>
      </c>
      <c r="J698" s="11">
        <v>0.22042800000000001</v>
      </c>
      <c r="K698" s="11">
        <v>0.107452665</v>
      </c>
      <c r="L698" s="11">
        <v>0.258444544</v>
      </c>
      <c r="M698" s="11">
        <v>6.9139091999999999E-2</v>
      </c>
      <c r="N698" s="12">
        <v>0.23370490399999999</v>
      </c>
      <c r="O698" s="12">
        <v>5.8015156999999998E-2</v>
      </c>
      <c r="P698" s="12">
        <v>0.29073163299999999</v>
      </c>
      <c r="Q698" s="12">
        <v>6.9604799999999994E-2</v>
      </c>
      <c r="R698" s="13">
        <v>8.4162510999999995E-2</v>
      </c>
      <c r="S698" s="13">
        <v>6.7452647000000004E-2</v>
      </c>
      <c r="T698" s="13">
        <v>9.4348974000000002E-2</v>
      </c>
      <c r="U698" s="13">
        <v>0.10742484400000001</v>
      </c>
      <c r="V698" s="15">
        <v>0.33828001104926542</v>
      </c>
      <c r="W698" s="15">
        <v>0.20304002908547933</v>
      </c>
      <c r="X698" s="15">
        <v>0</v>
      </c>
      <c r="Y698" s="15">
        <v>0.39059785015010939</v>
      </c>
      <c r="Z698" s="15">
        <v>0.25704160277099358</v>
      </c>
      <c r="AA698" s="15">
        <v>0</v>
      </c>
      <c r="AB698" s="16">
        <v>0</v>
      </c>
      <c r="AC698" s="16">
        <v>0</v>
      </c>
      <c r="AD698" s="16">
        <v>0</v>
      </c>
    </row>
    <row r="699" spans="1:30" x14ac:dyDescent="0.3">
      <c r="A699" s="8">
        <v>45616</v>
      </c>
      <c r="B699" s="9">
        <v>3.9694199999999999E-2</v>
      </c>
      <c r="C699" s="9">
        <v>4.1567539000000001E-2</v>
      </c>
      <c r="D699" s="9">
        <v>2.6747162000000001E-2</v>
      </c>
      <c r="E699" s="9">
        <v>3.7688705000000003E-2</v>
      </c>
      <c r="F699" s="10">
        <v>0.17990471399999999</v>
      </c>
      <c r="G699" s="10">
        <v>0.15865732799999999</v>
      </c>
      <c r="H699" s="10">
        <v>0.43706959099999998</v>
      </c>
      <c r="I699" s="10">
        <v>0.22365999</v>
      </c>
      <c r="J699" s="11">
        <v>0.30559944100000003</v>
      </c>
      <c r="K699" s="11">
        <v>0.100946219</v>
      </c>
      <c r="L699" s="11">
        <v>0.30427296300000001</v>
      </c>
      <c r="M699" s="11">
        <v>0.12599155100000001</v>
      </c>
      <c r="N699" s="12">
        <v>0.22042800000000001</v>
      </c>
      <c r="O699" s="12">
        <v>0.107452665</v>
      </c>
      <c r="P699" s="12">
        <v>0.258444544</v>
      </c>
      <c r="Q699" s="12">
        <v>6.9139091999999999E-2</v>
      </c>
      <c r="R699" s="13">
        <v>0.23370490399999999</v>
      </c>
      <c r="S699" s="13">
        <v>5.8015156999999998E-2</v>
      </c>
      <c r="T699" s="13">
        <v>0.29073163299999999</v>
      </c>
      <c r="U699" s="13">
        <v>6.9604799999999994E-2</v>
      </c>
      <c r="V699" s="15">
        <v>0.33828001104926542</v>
      </c>
      <c r="W699" s="15">
        <v>0.20265932561614719</v>
      </c>
      <c r="X699" s="15">
        <v>1.848463803387073E-2</v>
      </c>
      <c r="Y699" s="15">
        <v>0.39059785015010939</v>
      </c>
      <c r="Z699" s="15">
        <v>0.25736920893394871</v>
      </c>
      <c r="AA699" s="15">
        <v>1.3807884823264288E-2</v>
      </c>
      <c r="AB699" s="16">
        <v>0</v>
      </c>
      <c r="AC699" s="16">
        <v>1</v>
      </c>
      <c r="AD699" s="16">
        <v>1</v>
      </c>
    </row>
    <row r="700" spans="1:30" x14ac:dyDescent="0.3">
      <c r="A700" s="8">
        <v>45617</v>
      </c>
      <c r="B700" s="9">
        <v>0.110878699</v>
      </c>
      <c r="C700" s="9">
        <v>3.8894155E-2</v>
      </c>
      <c r="D700" s="9">
        <v>0.13354914400000001</v>
      </c>
      <c r="E700" s="9">
        <v>6.8359044999999993E-2</v>
      </c>
      <c r="F700" s="10">
        <v>3.9694199999999999E-2</v>
      </c>
      <c r="G700" s="10">
        <v>4.1567539000000001E-2</v>
      </c>
      <c r="H700" s="10">
        <v>2.6747162000000001E-2</v>
      </c>
      <c r="I700" s="10">
        <v>3.7688705000000003E-2</v>
      </c>
      <c r="J700" s="11">
        <v>0.17990471399999999</v>
      </c>
      <c r="K700" s="11">
        <v>0.15865732799999999</v>
      </c>
      <c r="L700" s="11">
        <v>0.43706959099999998</v>
      </c>
      <c r="M700" s="11">
        <v>0.22365999</v>
      </c>
      <c r="N700" s="12">
        <v>0.30559944100000003</v>
      </c>
      <c r="O700" s="12">
        <v>0.100946219</v>
      </c>
      <c r="P700" s="12">
        <v>0.30427296300000001</v>
      </c>
      <c r="Q700" s="12">
        <v>0.12599155100000001</v>
      </c>
      <c r="R700" s="13">
        <v>0.22042800000000001</v>
      </c>
      <c r="S700" s="13">
        <v>0.107452665</v>
      </c>
      <c r="T700" s="13">
        <v>0.258444544</v>
      </c>
      <c r="U700" s="13">
        <v>6.9139091999999999E-2</v>
      </c>
      <c r="V700" s="15">
        <v>0.33828001104926542</v>
      </c>
      <c r="W700" s="15">
        <v>0.20296297122322229</v>
      </c>
      <c r="X700" s="15">
        <v>1.5496591179928507E-2</v>
      </c>
      <c r="Y700" s="15">
        <v>0.36280962546152595</v>
      </c>
      <c r="Z700" s="15">
        <v>0.25745341698204804</v>
      </c>
      <c r="AA700" s="15">
        <v>1.1571362907404504E-2</v>
      </c>
      <c r="AB700" s="16">
        <v>0</v>
      </c>
      <c r="AC700" s="16">
        <v>0</v>
      </c>
      <c r="AD700" s="16">
        <v>0</v>
      </c>
    </row>
    <row r="701" spans="1:30" x14ac:dyDescent="0.3">
      <c r="A701" s="8">
        <v>45618</v>
      </c>
      <c r="B701" s="9">
        <v>6.9395222000000006E-2</v>
      </c>
      <c r="C701" s="9">
        <v>3.3934219000000002E-2</v>
      </c>
      <c r="D701" s="9">
        <v>0.124401716</v>
      </c>
      <c r="E701" s="9">
        <v>3.8623739999999997E-2</v>
      </c>
      <c r="F701" s="10">
        <v>0.110878699</v>
      </c>
      <c r="G701" s="10">
        <v>3.8894155E-2</v>
      </c>
      <c r="H701" s="10">
        <v>0.13354914400000001</v>
      </c>
      <c r="I701" s="10">
        <v>6.8359044999999993E-2</v>
      </c>
      <c r="J701" s="11">
        <v>3.9694199999999999E-2</v>
      </c>
      <c r="K701" s="11">
        <v>4.1567539000000001E-2</v>
      </c>
      <c r="L701" s="11">
        <v>2.6747162000000001E-2</v>
      </c>
      <c r="M701" s="11">
        <v>3.7688705000000003E-2</v>
      </c>
      <c r="N701" s="12">
        <v>0.17990471399999999</v>
      </c>
      <c r="O701" s="12">
        <v>0.15865732799999999</v>
      </c>
      <c r="P701" s="12">
        <v>0.43706959099999998</v>
      </c>
      <c r="Q701" s="12">
        <v>0.22365999</v>
      </c>
      <c r="R701" s="13">
        <v>0.30559944100000003</v>
      </c>
      <c r="S701" s="13">
        <v>0.100946219</v>
      </c>
      <c r="T701" s="13">
        <v>0.30427296300000001</v>
      </c>
      <c r="U701" s="13">
        <v>0.12599155100000001</v>
      </c>
      <c r="V701" s="15">
        <v>0.41524593735082388</v>
      </c>
      <c r="W701" s="15">
        <v>0.20627314666161259</v>
      </c>
      <c r="X701" s="15">
        <v>0</v>
      </c>
      <c r="Y701" s="15">
        <v>0.36280962546152595</v>
      </c>
      <c r="Z701" s="15">
        <v>0.25868902966682661</v>
      </c>
      <c r="AA701" s="15">
        <v>0</v>
      </c>
      <c r="AB701" s="16">
        <v>0</v>
      </c>
      <c r="AC701" s="16">
        <v>1</v>
      </c>
      <c r="AD701" s="16">
        <v>1</v>
      </c>
    </row>
    <row r="702" spans="1:30" x14ac:dyDescent="0.3">
      <c r="A702" s="8">
        <v>45621</v>
      </c>
      <c r="B702" s="9">
        <v>9.1177995999999997E-2</v>
      </c>
      <c r="C702" s="9">
        <v>3.1816795000000002E-2</v>
      </c>
      <c r="D702" s="9">
        <v>7.8980812999999997E-2</v>
      </c>
      <c r="E702" s="9">
        <v>4.9325803000000001E-2</v>
      </c>
      <c r="F702" s="10">
        <v>6.9395222000000006E-2</v>
      </c>
      <c r="G702" s="10">
        <v>3.3934219000000002E-2</v>
      </c>
      <c r="H702" s="10">
        <v>0.124401716</v>
      </c>
      <c r="I702" s="10">
        <v>3.8623739999999997E-2</v>
      </c>
      <c r="J702" s="11">
        <v>0.110878699</v>
      </c>
      <c r="K702" s="11">
        <v>3.8894155E-2</v>
      </c>
      <c r="L702" s="11">
        <v>0.13354914400000001</v>
      </c>
      <c r="M702" s="11">
        <v>6.8359044999999993E-2</v>
      </c>
      <c r="N702" s="12">
        <v>3.9694199999999999E-2</v>
      </c>
      <c r="O702" s="12">
        <v>4.1567539000000001E-2</v>
      </c>
      <c r="P702" s="12">
        <v>2.6747162000000001E-2</v>
      </c>
      <c r="Q702" s="12">
        <v>3.7688705000000003E-2</v>
      </c>
      <c r="R702" s="13">
        <v>0.17990471399999999</v>
      </c>
      <c r="S702" s="13">
        <v>0.15865732799999999</v>
      </c>
      <c r="T702" s="13">
        <v>0.43706959099999998</v>
      </c>
      <c r="U702" s="13">
        <v>0.22365999</v>
      </c>
      <c r="V702" s="15">
        <v>0.33828001104926542</v>
      </c>
      <c r="W702" s="15">
        <v>0.20624348323819966</v>
      </c>
      <c r="X702" s="15">
        <v>0</v>
      </c>
      <c r="Y702" s="15">
        <v>0.36280962546152595</v>
      </c>
      <c r="Z702" s="15">
        <v>0.25810507414365752</v>
      </c>
      <c r="AA702" s="15">
        <v>0</v>
      </c>
      <c r="AB702" s="16">
        <v>0</v>
      </c>
      <c r="AC702" s="16">
        <v>0</v>
      </c>
      <c r="AD702" s="16">
        <v>0</v>
      </c>
    </row>
    <row r="703" spans="1:30" x14ac:dyDescent="0.3">
      <c r="A703" s="8">
        <v>45622</v>
      </c>
      <c r="B703" s="9">
        <v>7.3615473000000001E-2</v>
      </c>
      <c r="C703" s="9">
        <v>3.8634185000000001E-2</v>
      </c>
      <c r="D703" s="9">
        <v>6.3244555999999993E-2</v>
      </c>
      <c r="E703" s="9">
        <v>5.5625455999999997E-2</v>
      </c>
      <c r="F703" s="10">
        <v>9.1177995999999997E-2</v>
      </c>
      <c r="G703" s="10">
        <v>3.1816795000000002E-2</v>
      </c>
      <c r="H703" s="10">
        <v>7.8980812999999997E-2</v>
      </c>
      <c r="I703" s="10">
        <v>4.9325803000000001E-2</v>
      </c>
      <c r="J703" s="11">
        <v>6.9395222000000006E-2</v>
      </c>
      <c r="K703" s="11">
        <v>3.3934219000000002E-2</v>
      </c>
      <c r="L703" s="11">
        <v>0.124401716</v>
      </c>
      <c r="M703" s="11">
        <v>3.8623739999999997E-2</v>
      </c>
      <c r="N703" s="12">
        <v>0.110878699</v>
      </c>
      <c r="O703" s="12">
        <v>3.8894155E-2</v>
      </c>
      <c r="P703" s="12">
        <v>0.13354914400000001</v>
      </c>
      <c r="Q703" s="12">
        <v>6.8359044999999993E-2</v>
      </c>
      <c r="R703" s="13">
        <v>3.9694199999999999E-2</v>
      </c>
      <c r="S703" s="13">
        <v>4.1567539000000001E-2</v>
      </c>
      <c r="T703" s="13">
        <v>2.6747162000000001E-2</v>
      </c>
      <c r="U703" s="13">
        <v>3.7688705000000003E-2</v>
      </c>
      <c r="V703" s="15">
        <v>0.33828001104926542</v>
      </c>
      <c r="W703" s="15">
        <v>0.20839449896031864</v>
      </c>
      <c r="X703" s="15">
        <v>3.0364661409632024E-2</v>
      </c>
      <c r="Y703" s="15">
        <v>0.36280962546152595</v>
      </c>
      <c r="Z703" s="15">
        <v>0.25777106130833616</v>
      </c>
      <c r="AA703" s="15">
        <v>2.231519149294493E-2</v>
      </c>
      <c r="AB703" s="16">
        <v>1</v>
      </c>
      <c r="AC703" s="16">
        <v>0</v>
      </c>
      <c r="AD703" s="16">
        <v>1</v>
      </c>
    </row>
    <row r="704" spans="1:30" x14ac:dyDescent="0.3">
      <c r="A704" s="8">
        <v>45623</v>
      </c>
      <c r="B704" s="9">
        <v>6.5647282000000001E-2</v>
      </c>
      <c r="C704" s="9">
        <v>4.6948027000000003E-2</v>
      </c>
      <c r="D704" s="9">
        <v>2.7192316000000001E-2</v>
      </c>
      <c r="E704" s="9">
        <v>5.4119493999999997E-2</v>
      </c>
      <c r="F704" s="10">
        <v>7.3615473000000001E-2</v>
      </c>
      <c r="G704" s="10">
        <v>3.8634185000000001E-2</v>
      </c>
      <c r="H704" s="10">
        <v>6.3244555999999993E-2</v>
      </c>
      <c r="I704" s="10">
        <v>5.5625455999999997E-2</v>
      </c>
      <c r="J704" s="11">
        <v>9.1177995999999997E-2</v>
      </c>
      <c r="K704" s="11">
        <v>3.1816795000000002E-2</v>
      </c>
      <c r="L704" s="11">
        <v>7.8980812999999997E-2</v>
      </c>
      <c r="M704" s="11">
        <v>4.9325803000000001E-2</v>
      </c>
      <c r="N704" s="12">
        <v>6.9395222000000006E-2</v>
      </c>
      <c r="O704" s="12">
        <v>3.3934219000000002E-2</v>
      </c>
      <c r="P704" s="12">
        <v>0.124401716</v>
      </c>
      <c r="Q704" s="12">
        <v>3.8623739999999997E-2</v>
      </c>
      <c r="R704" s="13">
        <v>0.110878699</v>
      </c>
      <c r="S704" s="13">
        <v>3.8894155E-2</v>
      </c>
      <c r="T704" s="13">
        <v>0.13354914400000001</v>
      </c>
      <c r="U704" s="13">
        <v>6.8359044999999993E-2</v>
      </c>
      <c r="V704" s="15">
        <v>0.25984176051690744</v>
      </c>
      <c r="W704" s="15">
        <v>0.21102191989186325</v>
      </c>
      <c r="X704" s="15">
        <v>3.7941485564776306E-2</v>
      </c>
      <c r="Y704" s="15">
        <v>0.36280962546152595</v>
      </c>
      <c r="Z704" s="15">
        <v>0.25875456394206864</v>
      </c>
      <c r="AA704" s="15">
        <v>2.826719501457782E-2</v>
      </c>
      <c r="AB704" s="16">
        <v>1</v>
      </c>
      <c r="AC704" s="16">
        <v>0</v>
      </c>
      <c r="AD704" s="16">
        <v>1</v>
      </c>
    </row>
    <row r="705" spans="1:30" x14ac:dyDescent="0.3">
      <c r="A705" s="8">
        <v>45624</v>
      </c>
      <c r="B705" s="9">
        <v>0.107751708</v>
      </c>
      <c r="C705" s="9">
        <v>3.4992824999999998E-2</v>
      </c>
      <c r="D705" s="9">
        <v>0.17531000799999999</v>
      </c>
      <c r="E705" s="9">
        <v>8.9907015000000007E-2</v>
      </c>
      <c r="F705" s="10">
        <v>6.5647282000000001E-2</v>
      </c>
      <c r="G705" s="10">
        <v>4.6948027000000003E-2</v>
      </c>
      <c r="H705" s="10">
        <v>2.7192316000000001E-2</v>
      </c>
      <c r="I705" s="10">
        <v>5.4119493999999997E-2</v>
      </c>
      <c r="J705" s="11">
        <v>7.3615473000000001E-2</v>
      </c>
      <c r="K705" s="11">
        <v>3.8634185000000001E-2</v>
      </c>
      <c r="L705" s="11">
        <v>6.3244555999999993E-2</v>
      </c>
      <c r="M705" s="11">
        <v>5.5625455999999997E-2</v>
      </c>
      <c r="N705" s="12">
        <v>9.1177995999999997E-2</v>
      </c>
      <c r="O705" s="12">
        <v>3.1816795000000002E-2</v>
      </c>
      <c r="P705" s="12">
        <v>7.8980812999999997E-2</v>
      </c>
      <c r="Q705" s="12">
        <v>4.9325803000000001E-2</v>
      </c>
      <c r="R705" s="13">
        <v>6.9395222000000006E-2</v>
      </c>
      <c r="S705" s="13">
        <v>3.3934219000000002E-2</v>
      </c>
      <c r="T705" s="13">
        <v>0.124401716</v>
      </c>
      <c r="U705" s="13">
        <v>3.8623739999999997E-2</v>
      </c>
      <c r="V705" s="15">
        <v>0.25984176051690744</v>
      </c>
      <c r="W705" s="15">
        <v>0.21019106348034455</v>
      </c>
      <c r="X705" s="15">
        <v>4.455854256270912E-3</v>
      </c>
      <c r="Y705" s="15">
        <v>0.3314448403948681</v>
      </c>
      <c r="Z705" s="15">
        <v>0.25831867760439692</v>
      </c>
      <c r="AA705" s="15">
        <v>4.2500170094821521E-3</v>
      </c>
      <c r="AB705" s="16">
        <v>1</v>
      </c>
      <c r="AC705" s="16">
        <v>0</v>
      </c>
      <c r="AD705" s="16">
        <v>1</v>
      </c>
    </row>
    <row r="706" spans="1:30" x14ac:dyDescent="0.3">
      <c r="A706" s="8">
        <v>45625</v>
      </c>
      <c r="B706" s="9">
        <v>0.103550342</v>
      </c>
      <c r="C706" s="9">
        <v>3.2403550000000003E-2</v>
      </c>
      <c r="D706" s="9">
        <v>0.12800158</v>
      </c>
      <c r="E706" s="9">
        <v>3.6460276E-2</v>
      </c>
      <c r="F706" s="10">
        <v>0.107751708</v>
      </c>
      <c r="G706" s="10">
        <v>3.4992824999999998E-2</v>
      </c>
      <c r="H706" s="10">
        <v>0.17531000799999999</v>
      </c>
      <c r="I706" s="10">
        <v>8.9907015000000007E-2</v>
      </c>
      <c r="J706" s="11">
        <v>6.5647282000000001E-2</v>
      </c>
      <c r="K706" s="11">
        <v>4.6948027000000003E-2</v>
      </c>
      <c r="L706" s="11">
        <v>2.7192316000000001E-2</v>
      </c>
      <c r="M706" s="11">
        <v>5.4119493999999997E-2</v>
      </c>
      <c r="N706" s="12">
        <v>7.3615473000000001E-2</v>
      </c>
      <c r="O706" s="12">
        <v>3.8634185000000001E-2</v>
      </c>
      <c r="P706" s="12">
        <v>6.3244555999999993E-2</v>
      </c>
      <c r="Q706" s="12">
        <v>5.5625455999999997E-2</v>
      </c>
      <c r="R706" s="13">
        <v>9.1177995999999997E-2</v>
      </c>
      <c r="S706" s="13">
        <v>3.1816795000000002E-2</v>
      </c>
      <c r="T706" s="13">
        <v>7.8980812999999997E-2</v>
      </c>
      <c r="U706" s="13">
        <v>4.9325803000000001E-2</v>
      </c>
      <c r="V706" s="15">
        <v>6.1836409639347001E-2</v>
      </c>
      <c r="W706" s="15">
        <v>0.21012149931049362</v>
      </c>
      <c r="X706" s="15">
        <v>4.3302298144582826E-3</v>
      </c>
      <c r="Y706" s="15">
        <v>0.3314448403948681</v>
      </c>
      <c r="Z706" s="15">
        <v>0.25784636177166104</v>
      </c>
      <c r="AA706" s="15">
        <v>4.3935999956912402E-3</v>
      </c>
      <c r="AB706" s="16">
        <v>1</v>
      </c>
      <c r="AC706" s="16">
        <v>0</v>
      </c>
      <c r="AD706" s="16">
        <v>1</v>
      </c>
    </row>
    <row r="707" spans="1:30" x14ac:dyDescent="0.3">
      <c r="A707" s="8">
        <v>45628</v>
      </c>
      <c r="B707" s="9">
        <v>6.1728176000000003E-2</v>
      </c>
      <c r="C707" s="9">
        <v>4.6950798000000002E-2</v>
      </c>
      <c r="D707" s="9">
        <v>0.146794391</v>
      </c>
      <c r="E707" s="9">
        <v>5.0361363999999999E-2</v>
      </c>
      <c r="F707" s="10">
        <v>0.103550342</v>
      </c>
      <c r="G707" s="10">
        <v>3.2403550000000003E-2</v>
      </c>
      <c r="H707" s="10">
        <v>0.12800158</v>
      </c>
      <c r="I707" s="10">
        <v>3.6460276E-2</v>
      </c>
      <c r="J707" s="11">
        <v>0.107751708</v>
      </c>
      <c r="K707" s="11">
        <v>3.4992824999999998E-2</v>
      </c>
      <c r="L707" s="11">
        <v>0.17531000799999999</v>
      </c>
      <c r="M707" s="11">
        <v>8.9907015000000007E-2</v>
      </c>
      <c r="N707" s="12">
        <v>6.5647282000000001E-2</v>
      </c>
      <c r="O707" s="12">
        <v>4.6948027000000003E-2</v>
      </c>
      <c r="P707" s="12">
        <v>2.7192316000000001E-2</v>
      </c>
      <c r="Q707" s="12">
        <v>5.4119493999999997E-2</v>
      </c>
      <c r="R707" s="13">
        <v>7.3615473000000001E-2</v>
      </c>
      <c r="S707" s="13">
        <v>3.8634185000000001E-2</v>
      </c>
      <c r="T707" s="13">
        <v>6.3244555999999993E-2</v>
      </c>
      <c r="U707" s="13">
        <v>5.5625455999999997E-2</v>
      </c>
      <c r="V707" s="15">
        <v>0.25984176051690744</v>
      </c>
      <c r="W707" s="15">
        <v>0.21219397883348462</v>
      </c>
      <c r="X707" s="15">
        <v>0</v>
      </c>
      <c r="Y707" s="15">
        <v>0.3314448403948681</v>
      </c>
      <c r="Z707" s="15">
        <v>0.25844692306676043</v>
      </c>
      <c r="AA707" s="15">
        <v>0</v>
      </c>
      <c r="AB707" s="16">
        <v>1</v>
      </c>
      <c r="AC707" s="16">
        <v>0</v>
      </c>
      <c r="AD707" s="16">
        <v>1</v>
      </c>
    </row>
    <row r="708" spans="1:30" x14ac:dyDescent="0.3">
      <c r="A708" s="8">
        <v>45629</v>
      </c>
      <c r="B708" s="9">
        <v>6.5431568999999995E-2</v>
      </c>
      <c r="C708" s="9">
        <v>5.0166503000000001E-2</v>
      </c>
      <c r="D708" s="9">
        <v>9.9399026000000001E-2</v>
      </c>
      <c r="E708" s="9">
        <v>5.7221403999999997E-2</v>
      </c>
      <c r="F708" s="10">
        <v>6.1728176000000003E-2</v>
      </c>
      <c r="G708" s="10">
        <v>4.6950798000000002E-2</v>
      </c>
      <c r="H708" s="10">
        <v>0.146794391</v>
      </c>
      <c r="I708" s="10">
        <v>5.0361363999999999E-2</v>
      </c>
      <c r="J708" s="11">
        <v>0.103550342</v>
      </c>
      <c r="K708" s="11">
        <v>3.2403550000000003E-2</v>
      </c>
      <c r="L708" s="11">
        <v>0.12800158</v>
      </c>
      <c r="M708" s="11">
        <v>3.6460276E-2</v>
      </c>
      <c r="N708" s="12">
        <v>0.107751708</v>
      </c>
      <c r="O708" s="12">
        <v>3.4992824999999998E-2</v>
      </c>
      <c r="P708" s="12">
        <v>0.17531000799999999</v>
      </c>
      <c r="Q708" s="12">
        <v>8.9907015000000007E-2</v>
      </c>
      <c r="R708" s="13">
        <v>6.5647282000000001E-2</v>
      </c>
      <c r="S708" s="13">
        <v>4.6948027000000003E-2</v>
      </c>
      <c r="T708" s="13">
        <v>2.7192316000000001E-2</v>
      </c>
      <c r="U708" s="13">
        <v>5.4119493999999997E-2</v>
      </c>
      <c r="V708" s="15">
        <v>0.33828001104926542</v>
      </c>
      <c r="W708" s="15">
        <v>0.21365477055740842</v>
      </c>
      <c r="X708" s="15">
        <v>0</v>
      </c>
      <c r="Y708" s="15">
        <v>0.3314448403948681</v>
      </c>
      <c r="Z708" s="15">
        <v>0.25727043711964737</v>
      </c>
      <c r="AA708" s="15">
        <v>0</v>
      </c>
      <c r="AB708" s="16">
        <v>0</v>
      </c>
      <c r="AC708" s="16">
        <v>0</v>
      </c>
      <c r="AD708" s="16">
        <v>0</v>
      </c>
    </row>
    <row r="709" spans="1:30" x14ac:dyDescent="0.3">
      <c r="A709" s="8">
        <v>45630</v>
      </c>
      <c r="B709" s="9">
        <v>1.2009396E-2</v>
      </c>
      <c r="C709" s="9">
        <v>3.3302132999999998E-2</v>
      </c>
      <c r="D709" s="9">
        <v>7.7576922000000006E-2</v>
      </c>
      <c r="E709" s="9">
        <v>5.9221650000000001E-2</v>
      </c>
      <c r="F709" s="10">
        <v>6.5431568999999995E-2</v>
      </c>
      <c r="G709" s="10">
        <v>5.0166503000000001E-2</v>
      </c>
      <c r="H709" s="10">
        <v>9.9399026000000001E-2</v>
      </c>
      <c r="I709" s="10">
        <v>5.7221403999999997E-2</v>
      </c>
      <c r="J709" s="11">
        <v>6.1728176000000003E-2</v>
      </c>
      <c r="K709" s="11">
        <v>4.6950798000000002E-2</v>
      </c>
      <c r="L709" s="11">
        <v>0.146794391</v>
      </c>
      <c r="M709" s="11">
        <v>5.0361363999999999E-2</v>
      </c>
      <c r="N709" s="12">
        <v>0.103550342</v>
      </c>
      <c r="O709" s="12">
        <v>3.2403550000000003E-2</v>
      </c>
      <c r="P709" s="12">
        <v>0.12800158</v>
      </c>
      <c r="Q709" s="12">
        <v>3.6460276E-2</v>
      </c>
      <c r="R709" s="13">
        <v>0.107751708</v>
      </c>
      <c r="S709" s="13">
        <v>3.4992824999999998E-2</v>
      </c>
      <c r="T709" s="13">
        <v>0.17531000799999999</v>
      </c>
      <c r="U709" s="13">
        <v>8.9907015000000007E-2</v>
      </c>
      <c r="V709" s="15">
        <v>0.41524593735082388</v>
      </c>
      <c r="W709" s="15">
        <v>0.17946216210064922</v>
      </c>
      <c r="X709" s="15">
        <v>0</v>
      </c>
      <c r="Y709" s="15">
        <v>0.36280962546152595</v>
      </c>
      <c r="Z709" s="15">
        <v>0.25769173718989213</v>
      </c>
      <c r="AA709" s="15">
        <v>0</v>
      </c>
      <c r="AB709" s="16">
        <v>0</v>
      </c>
      <c r="AC709" s="16">
        <v>1</v>
      </c>
      <c r="AD709" s="16">
        <v>1</v>
      </c>
    </row>
    <row r="710" spans="1:30" x14ac:dyDescent="0.3">
      <c r="A710" s="8">
        <v>45631</v>
      </c>
      <c r="B710" s="9">
        <v>0.126088802</v>
      </c>
      <c r="C710" s="9">
        <v>2.9688768000000001E-2</v>
      </c>
      <c r="D710" s="9">
        <v>0.15994926900000001</v>
      </c>
      <c r="E710" s="9">
        <v>5.0425076999999999E-2</v>
      </c>
      <c r="F710" s="10">
        <v>1.2009396E-2</v>
      </c>
      <c r="G710" s="10">
        <v>3.3302132999999998E-2</v>
      </c>
      <c r="H710" s="10">
        <v>7.7576922000000006E-2</v>
      </c>
      <c r="I710" s="10">
        <v>5.9221650000000001E-2</v>
      </c>
      <c r="J710" s="11">
        <v>6.5431568999999995E-2</v>
      </c>
      <c r="K710" s="11">
        <v>5.0166503000000001E-2</v>
      </c>
      <c r="L710" s="11">
        <v>9.9399026000000001E-2</v>
      </c>
      <c r="M710" s="11">
        <v>5.7221403999999997E-2</v>
      </c>
      <c r="N710" s="12">
        <v>6.1728176000000003E-2</v>
      </c>
      <c r="O710" s="12">
        <v>4.6950798000000002E-2</v>
      </c>
      <c r="P710" s="12">
        <v>0.146794391</v>
      </c>
      <c r="Q710" s="12">
        <v>5.0361363999999999E-2</v>
      </c>
      <c r="R710" s="13">
        <v>0.103550342</v>
      </c>
      <c r="S710" s="13">
        <v>3.2403550000000003E-2</v>
      </c>
      <c r="T710" s="13">
        <v>0.12800158</v>
      </c>
      <c r="U710" s="13">
        <v>3.6460276E-2</v>
      </c>
      <c r="V710" s="15">
        <v>0.33828001104926542</v>
      </c>
      <c r="W710" s="15">
        <v>0.17933194546363546</v>
      </c>
      <c r="X710" s="15">
        <v>2.4318723282702771E-3</v>
      </c>
      <c r="Y710" s="15">
        <v>0.36280962546152595</v>
      </c>
      <c r="Z710" s="15">
        <v>0.25765549783909081</v>
      </c>
      <c r="AA710" s="15">
        <v>7.9594636333162137E-4</v>
      </c>
      <c r="AB710" s="16">
        <v>0</v>
      </c>
      <c r="AC710" s="16">
        <v>0</v>
      </c>
      <c r="AD710" s="16">
        <v>0</v>
      </c>
    </row>
    <row r="711" spans="1:30" x14ac:dyDescent="0.3">
      <c r="A711" s="8">
        <v>45632</v>
      </c>
      <c r="B711" s="9">
        <v>0.12066123500000001</v>
      </c>
      <c r="C711" s="9">
        <v>2.9268386E-2</v>
      </c>
      <c r="D711" s="9">
        <v>0.14728759199999999</v>
      </c>
      <c r="E711" s="9">
        <v>7.0195947999999994E-2</v>
      </c>
      <c r="F711" s="10">
        <v>0.126088802</v>
      </c>
      <c r="G711" s="10">
        <v>2.9688768000000001E-2</v>
      </c>
      <c r="H711" s="10">
        <v>0.15994926900000001</v>
      </c>
      <c r="I711" s="10">
        <v>5.0425076999999999E-2</v>
      </c>
      <c r="J711" s="11">
        <v>1.2009396E-2</v>
      </c>
      <c r="K711" s="11">
        <v>3.3302132999999998E-2</v>
      </c>
      <c r="L711" s="11">
        <v>7.7576922000000006E-2</v>
      </c>
      <c r="M711" s="11">
        <v>5.9221650000000001E-2</v>
      </c>
      <c r="N711" s="12">
        <v>6.5431568999999995E-2</v>
      </c>
      <c r="O711" s="12">
        <v>5.0166503000000001E-2</v>
      </c>
      <c r="P711" s="12">
        <v>9.9399026000000001E-2</v>
      </c>
      <c r="Q711" s="12">
        <v>5.7221403999999997E-2</v>
      </c>
      <c r="R711" s="13">
        <v>6.1728176000000003E-2</v>
      </c>
      <c r="S711" s="13">
        <v>4.6950798000000002E-2</v>
      </c>
      <c r="T711" s="13">
        <v>0.146794391</v>
      </c>
      <c r="U711" s="13">
        <v>5.0361363999999999E-2</v>
      </c>
      <c r="V711" s="15">
        <v>0.25984176051690744</v>
      </c>
      <c r="W711" s="15">
        <v>0.17789676522065884</v>
      </c>
      <c r="X711" s="15">
        <v>1.1087294234210319E-2</v>
      </c>
      <c r="Y711" s="15">
        <v>0.3314448403948681</v>
      </c>
      <c r="Z711" s="15">
        <v>0.25706557309599315</v>
      </c>
      <c r="AA711" s="15">
        <v>7.1302274185500083E-3</v>
      </c>
      <c r="AB711" s="16">
        <v>0</v>
      </c>
      <c r="AC711" s="16">
        <v>0</v>
      </c>
      <c r="AD711" s="16">
        <v>0</v>
      </c>
    </row>
    <row r="712" spans="1:30" x14ac:dyDescent="0.3">
      <c r="A712" s="8">
        <v>45635</v>
      </c>
      <c r="B712" s="9">
        <v>9.9280795000000005E-2</v>
      </c>
      <c r="C712" s="9">
        <v>4.8013258000000003E-2</v>
      </c>
      <c r="D712" s="9">
        <v>0.14649350999999999</v>
      </c>
      <c r="E712" s="9">
        <v>5.8025825000000003E-2</v>
      </c>
      <c r="F712" s="10">
        <v>0.12066123500000001</v>
      </c>
      <c r="G712" s="10">
        <v>2.9268386E-2</v>
      </c>
      <c r="H712" s="10">
        <v>0.14728759199999999</v>
      </c>
      <c r="I712" s="10">
        <v>7.0195947999999994E-2</v>
      </c>
      <c r="J712" s="11">
        <v>0.126088802</v>
      </c>
      <c r="K712" s="11">
        <v>2.9688768000000001E-2</v>
      </c>
      <c r="L712" s="11">
        <v>0.15994926900000001</v>
      </c>
      <c r="M712" s="11">
        <v>5.0425076999999999E-2</v>
      </c>
      <c r="N712" s="12">
        <v>1.2009396E-2</v>
      </c>
      <c r="O712" s="12">
        <v>3.3302132999999998E-2</v>
      </c>
      <c r="P712" s="12">
        <v>7.7576922000000006E-2</v>
      </c>
      <c r="Q712" s="12">
        <v>5.9221650000000001E-2</v>
      </c>
      <c r="R712" s="13">
        <v>6.5431568999999995E-2</v>
      </c>
      <c r="S712" s="13">
        <v>5.0166503000000001E-2</v>
      </c>
      <c r="T712" s="13">
        <v>9.9399026000000001E-2</v>
      </c>
      <c r="U712" s="13">
        <v>5.7221403999999997E-2</v>
      </c>
      <c r="V712" s="15">
        <v>0.33828001104926542</v>
      </c>
      <c r="W712" s="15">
        <v>0.17641020711786259</v>
      </c>
      <c r="X712" s="15">
        <v>0</v>
      </c>
      <c r="Y712" s="15">
        <v>0.3314448403948681</v>
      </c>
      <c r="Z712" s="15">
        <v>0.25634696192490847</v>
      </c>
      <c r="AA712" s="15">
        <v>0</v>
      </c>
      <c r="AB712" s="16">
        <v>0</v>
      </c>
      <c r="AC712" s="16">
        <v>0</v>
      </c>
      <c r="AD712" s="16">
        <v>0</v>
      </c>
    </row>
    <row r="713" spans="1:30" x14ac:dyDescent="0.3">
      <c r="A713" s="8">
        <v>45636</v>
      </c>
      <c r="B713" s="9">
        <v>0.10957678799999999</v>
      </c>
      <c r="C713" s="9">
        <v>4.8024316999999997E-2</v>
      </c>
      <c r="D713" s="9">
        <v>0.111860372</v>
      </c>
      <c r="E713" s="9">
        <v>0.120338076</v>
      </c>
      <c r="F713" s="10">
        <v>9.9280795000000005E-2</v>
      </c>
      <c r="G713" s="10">
        <v>4.8013258000000003E-2</v>
      </c>
      <c r="H713" s="10">
        <v>0.14649350999999999</v>
      </c>
      <c r="I713" s="10">
        <v>5.8025825000000003E-2</v>
      </c>
      <c r="J713" s="11">
        <v>0.12066123500000001</v>
      </c>
      <c r="K713" s="11">
        <v>2.9268386E-2</v>
      </c>
      <c r="L713" s="11">
        <v>0.14728759199999999</v>
      </c>
      <c r="M713" s="11">
        <v>7.0195947999999994E-2</v>
      </c>
      <c r="N713" s="12">
        <v>0.126088802</v>
      </c>
      <c r="O713" s="12">
        <v>2.9688768000000001E-2</v>
      </c>
      <c r="P713" s="12">
        <v>0.15994926900000001</v>
      </c>
      <c r="Q713" s="12">
        <v>5.0425076999999999E-2</v>
      </c>
      <c r="R713" s="13">
        <v>1.2009396E-2</v>
      </c>
      <c r="S713" s="13">
        <v>3.3302132999999998E-2</v>
      </c>
      <c r="T713" s="13">
        <v>7.7576922000000006E-2</v>
      </c>
      <c r="U713" s="13">
        <v>5.9221650000000001E-2</v>
      </c>
      <c r="V713" s="15">
        <v>0.33828001104926542</v>
      </c>
      <c r="W713" s="15">
        <v>0.17699905298746282</v>
      </c>
      <c r="X713" s="15">
        <v>1.9212114239382235E-2</v>
      </c>
      <c r="Y713" s="15">
        <v>0.32240275535755841</v>
      </c>
      <c r="Z713" s="15">
        <v>0.25627943862107783</v>
      </c>
      <c r="AA713" s="15">
        <v>1.2302055675298481E-2</v>
      </c>
      <c r="AB713" s="16">
        <v>0</v>
      </c>
      <c r="AC713" s="16">
        <v>0</v>
      </c>
      <c r="AD713" s="16">
        <v>0</v>
      </c>
    </row>
    <row r="714" spans="1:30" x14ac:dyDescent="0.3">
      <c r="A714" s="8">
        <v>45637</v>
      </c>
      <c r="B714" s="9">
        <v>7.9216428000000005E-2</v>
      </c>
      <c r="C714" s="9">
        <v>6.3867535000000003E-2</v>
      </c>
      <c r="D714" s="9">
        <v>5.8211575000000002E-2</v>
      </c>
      <c r="E714" s="9">
        <v>9.5668741000000002E-2</v>
      </c>
      <c r="F714" s="10">
        <v>0.10957678799999999</v>
      </c>
      <c r="G714" s="10">
        <v>4.8024316999999997E-2</v>
      </c>
      <c r="H714" s="10">
        <v>0.111860372</v>
      </c>
      <c r="I714" s="10">
        <v>0.120338076</v>
      </c>
      <c r="J714" s="11">
        <v>9.9280795000000005E-2</v>
      </c>
      <c r="K714" s="11">
        <v>4.8013258000000003E-2</v>
      </c>
      <c r="L714" s="11">
        <v>0.14649350999999999</v>
      </c>
      <c r="M714" s="11">
        <v>5.8025825000000003E-2</v>
      </c>
      <c r="N714" s="12">
        <v>0.12066123500000001</v>
      </c>
      <c r="O714" s="12">
        <v>2.9268386E-2</v>
      </c>
      <c r="P714" s="12">
        <v>0.14728759199999999</v>
      </c>
      <c r="Q714" s="12">
        <v>7.0195947999999994E-2</v>
      </c>
      <c r="R714" s="13">
        <v>0.126088802</v>
      </c>
      <c r="S714" s="13">
        <v>2.9688768000000001E-2</v>
      </c>
      <c r="T714" s="13">
        <v>0.15994926900000001</v>
      </c>
      <c r="U714" s="13">
        <v>5.0425076999999999E-2</v>
      </c>
      <c r="V714" s="15">
        <v>0.33828001104926542</v>
      </c>
      <c r="W714" s="15">
        <v>0.17893910280124781</v>
      </c>
      <c r="X714" s="15">
        <v>2.686119673109549E-2</v>
      </c>
      <c r="Y714" s="15">
        <v>0.32240275535755841</v>
      </c>
      <c r="Z714" s="15">
        <v>0.25690318855781685</v>
      </c>
      <c r="AA714" s="15">
        <v>1.7807991050134024E-2</v>
      </c>
      <c r="AB714" s="16">
        <v>0</v>
      </c>
      <c r="AC714" s="16">
        <v>0</v>
      </c>
      <c r="AD714" s="16">
        <v>0</v>
      </c>
    </row>
    <row r="715" spans="1:30" x14ac:dyDescent="0.3">
      <c r="A715" s="8">
        <v>45638</v>
      </c>
      <c r="B715" s="9">
        <v>0.164389644</v>
      </c>
      <c r="C715" s="9">
        <v>4.8360043999999998E-2</v>
      </c>
      <c r="D715" s="9">
        <v>0.19537361</v>
      </c>
      <c r="E715" s="9">
        <v>0.11300509</v>
      </c>
      <c r="F715" s="10">
        <v>7.9216428000000005E-2</v>
      </c>
      <c r="G715" s="10">
        <v>6.3867535000000003E-2</v>
      </c>
      <c r="H715" s="10">
        <v>5.8211575000000002E-2</v>
      </c>
      <c r="I715" s="10">
        <v>9.5668741000000002E-2</v>
      </c>
      <c r="J715" s="11">
        <v>0.10957678799999999</v>
      </c>
      <c r="K715" s="11">
        <v>4.8024316999999997E-2</v>
      </c>
      <c r="L715" s="11">
        <v>0.111860372</v>
      </c>
      <c r="M715" s="11">
        <v>0.120338076</v>
      </c>
      <c r="N715" s="12">
        <v>9.9280795000000005E-2</v>
      </c>
      <c r="O715" s="12">
        <v>4.8013258000000003E-2</v>
      </c>
      <c r="P715" s="12">
        <v>0.14649350999999999</v>
      </c>
      <c r="Q715" s="12">
        <v>5.8025825000000003E-2</v>
      </c>
      <c r="R715" s="13">
        <v>0.12066123500000001</v>
      </c>
      <c r="S715" s="13">
        <v>2.9268386E-2</v>
      </c>
      <c r="T715" s="13">
        <v>0.14728759199999999</v>
      </c>
      <c r="U715" s="13">
        <v>7.0195947999999994E-2</v>
      </c>
      <c r="V715" s="15">
        <v>0.33828001104926542</v>
      </c>
      <c r="W715" s="15">
        <v>0.1652433747236203</v>
      </c>
      <c r="X715" s="15">
        <v>0</v>
      </c>
      <c r="Y715" s="15">
        <v>0.32240275535755841</v>
      </c>
      <c r="Z715" s="15">
        <v>0.25637660266572687</v>
      </c>
      <c r="AA715" s="15">
        <v>0</v>
      </c>
      <c r="AB715" s="16">
        <v>0</v>
      </c>
      <c r="AC715" s="16">
        <v>0</v>
      </c>
      <c r="AD715" s="16">
        <v>0</v>
      </c>
    </row>
    <row r="716" spans="1:30" x14ac:dyDescent="0.3">
      <c r="A716" s="8">
        <v>45639</v>
      </c>
      <c r="B716" s="9">
        <v>0.157836333</v>
      </c>
      <c r="C716" s="9">
        <v>7.9869325000000005E-2</v>
      </c>
      <c r="D716" s="9">
        <v>0.20076335200000001</v>
      </c>
      <c r="E716" s="9">
        <v>4.8200582999999998E-2</v>
      </c>
      <c r="F716" s="10">
        <v>0.164389644</v>
      </c>
      <c r="G716" s="10">
        <v>4.8360043999999998E-2</v>
      </c>
      <c r="H716" s="10">
        <v>0.19537361</v>
      </c>
      <c r="I716" s="10">
        <v>0.11300509</v>
      </c>
      <c r="J716" s="11">
        <v>7.9216428000000005E-2</v>
      </c>
      <c r="K716" s="11">
        <v>6.3867535000000003E-2</v>
      </c>
      <c r="L716" s="11">
        <v>5.8211575000000002E-2</v>
      </c>
      <c r="M716" s="11">
        <v>9.5668741000000002E-2</v>
      </c>
      <c r="N716" s="12">
        <v>0.10957678799999999</v>
      </c>
      <c r="O716" s="12">
        <v>4.8024316999999997E-2</v>
      </c>
      <c r="P716" s="12">
        <v>0.111860372</v>
      </c>
      <c r="Q716" s="12">
        <v>0.120338076</v>
      </c>
      <c r="R716" s="13">
        <v>9.9280795000000005E-2</v>
      </c>
      <c r="S716" s="13">
        <v>4.8013258000000003E-2</v>
      </c>
      <c r="T716" s="13">
        <v>0.14649350999999999</v>
      </c>
      <c r="U716" s="13">
        <v>5.8025825000000003E-2</v>
      </c>
      <c r="V716" s="15">
        <v>0.25984176051690744</v>
      </c>
      <c r="W716" s="15">
        <v>0.16500702427516414</v>
      </c>
      <c r="X716" s="15">
        <v>4.7557100245395941E-3</v>
      </c>
      <c r="Y716" s="15">
        <v>0.30144970132337223</v>
      </c>
      <c r="Z716" s="15">
        <v>0.25417404985544928</v>
      </c>
      <c r="AA716" s="15">
        <v>2.6396345884730625E-3</v>
      </c>
      <c r="AB716" s="16">
        <v>0</v>
      </c>
      <c r="AC716" s="16">
        <v>1</v>
      </c>
      <c r="AD716" s="16">
        <v>1</v>
      </c>
    </row>
    <row r="717" spans="1:30" x14ac:dyDescent="0.3">
      <c r="A717" s="8">
        <v>45642</v>
      </c>
      <c r="B717" s="9">
        <v>0.225415488</v>
      </c>
      <c r="C717" s="9">
        <v>5.5807447000000003E-2</v>
      </c>
      <c r="D717" s="9">
        <v>0.21980928</v>
      </c>
      <c r="E717" s="9">
        <v>0.137187582</v>
      </c>
      <c r="F717" s="10">
        <v>0.157836333</v>
      </c>
      <c r="G717" s="10">
        <v>7.9869325000000005E-2</v>
      </c>
      <c r="H717" s="10">
        <v>0.20076335200000001</v>
      </c>
      <c r="I717" s="10">
        <v>4.8200582999999998E-2</v>
      </c>
      <c r="J717" s="11">
        <v>0.164389644</v>
      </c>
      <c r="K717" s="11">
        <v>4.8360043999999998E-2</v>
      </c>
      <c r="L717" s="11">
        <v>0.19537361</v>
      </c>
      <c r="M717" s="11">
        <v>0.11300509</v>
      </c>
      <c r="N717" s="12">
        <v>7.9216428000000005E-2</v>
      </c>
      <c r="O717" s="12">
        <v>6.3867535000000003E-2</v>
      </c>
      <c r="P717" s="12">
        <v>5.8211575000000002E-2</v>
      </c>
      <c r="Q717" s="12">
        <v>9.5668741000000002E-2</v>
      </c>
      <c r="R717" s="13">
        <v>0.10957678799999999</v>
      </c>
      <c r="S717" s="13">
        <v>4.8024316999999997E-2</v>
      </c>
      <c r="T717" s="13">
        <v>0.111860372</v>
      </c>
      <c r="U717" s="13">
        <v>0.120338076</v>
      </c>
      <c r="V717" s="15">
        <v>0.21581561439359467</v>
      </c>
      <c r="W717" s="15">
        <v>0.16495902581435257</v>
      </c>
      <c r="X717" s="15">
        <v>6.581741342856518E-4</v>
      </c>
      <c r="Y717" s="15">
        <v>0.26736234161621669</v>
      </c>
      <c r="Z717" s="15">
        <v>0.2537784401635923</v>
      </c>
      <c r="AA717" s="15">
        <v>0</v>
      </c>
      <c r="AB717" s="16">
        <v>0</v>
      </c>
      <c r="AC717" s="16">
        <v>0</v>
      </c>
      <c r="AD717" s="16">
        <v>0</v>
      </c>
    </row>
    <row r="718" spans="1:30" x14ac:dyDescent="0.3">
      <c r="A718" s="8">
        <v>45643</v>
      </c>
      <c r="B718" s="9">
        <v>0.29608467999999999</v>
      </c>
      <c r="C718" s="9">
        <v>0.29204301599999999</v>
      </c>
      <c r="D718" s="9">
        <v>0.196891818</v>
      </c>
      <c r="E718" s="9">
        <v>0.124631532</v>
      </c>
      <c r="F718" s="10">
        <v>0.225415488</v>
      </c>
      <c r="G718" s="10">
        <v>5.5807447000000003E-2</v>
      </c>
      <c r="H718" s="10">
        <v>0.21980928</v>
      </c>
      <c r="I718" s="10">
        <v>0.137187582</v>
      </c>
      <c r="J718" s="11">
        <v>0.157836333</v>
      </c>
      <c r="K718" s="11">
        <v>7.9869325000000005E-2</v>
      </c>
      <c r="L718" s="11">
        <v>0.20076335200000001</v>
      </c>
      <c r="M718" s="11">
        <v>4.8200582999999998E-2</v>
      </c>
      <c r="N718" s="12">
        <v>0.164389644</v>
      </c>
      <c r="O718" s="12">
        <v>4.8360043999999998E-2</v>
      </c>
      <c r="P718" s="12">
        <v>0.19537361</v>
      </c>
      <c r="Q718" s="12">
        <v>0.11300509</v>
      </c>
      <c r="R718" s="13">
        <v>7.9216428000000005E-2</v>
      </c>
      <c r="S718" s="13">
        <v>6.3867535000000003E-2</v>
      </c>
      <c r="T718" s="13">
        <v>5.8211575000000002E-2</v>
      </c>
      <c r="U718" s="13">
        <v>9.5668741000000002E-2</v>
      </c>
      <c r="V718" s="15">
        <v>0.21581561439359467</v>
      </c>
      <c r="W718" s="15">
        <v>0.16425704140370742</v>
      </c>
      <c r="X718" s="15">
        <v>4.3930320519776607E-3</v>
      </c>
      <c r="Y718" s="15">
        <v>0.26736234161621669</v>
      </c>
      <c r="Z718" s="15">
        <v>0.25350264566035757</v>
      </c>
      <c r="AA718" s="15">
        <v>2.2703736477971389E-3</v>
      </c>
      <c r="AB718" s="16">
        <v>0</v>
      </c>
      <c r="AC718" s="16">
        <v>0</v>
      </c>
      <c r="AD718" s="16">
        <v>0</v>
      </c>
    </row>
    <row r="719" spans="1:30" x14ac:dyDescent="0.3">
      <c r="A719" s="8">
        <v>45644</v>
      </c>
      <c r="B719" s="9">
        <v>8.4229079999999998E-3</v>
      </c>
      <c r="C719" s="9">
        <v>1.9008876000000001E-2</v>
      </c>
      <c r="D719" s="9">
        <v>4.9959238000000003E-2</v>
      </c>
      <c r="E719" s="9">
        <v>3.8640213E-2</v>
      </c>
      <c r="F719" s="10">
        <v>0.29608467999999999</v>
      </c>
      <c r="G719" s="10">
        <v>0.29204301599999999</v>
      </c>
      <c r="H719" s="10">
        <v>0.196891818</v>
      </c>
      <c r="I719" s="10">
        <v>0.124631532</v>
      </c>
      <c r="J719" s="11">
        <v>0.225415488</v>
      </c>
      <c r="K719" s="11">
        <v>5.5807447000000003E-2</v>
      </c>
      <c r="L719" s="11">
        <v>0.21980928</v>
      </c>
      <c r="M719" s="11">
        <v>0.137187582</v>
      </c>
      <c r="N719" s="12">
        <v>0.157836333</v>
      </c>
      <c r="O719" s="12">
        <v>7.9869325000000005E-2</v>
      </c>
      <c r="P719" s="12">
        <v>0.20076335200000001</v>
      </c>
      <c r="Q719" s="12">
        <v>4.8200582999999998E-2</v>
      </c>
      <c r="R719" s="13">
        <v>0.164389644</v>
      </c>
      <c r="S719" s="13">
        <v>4.8360043999999998E-2</v>
      </c>
      <c r="T719" s="13">
        <v>0.19537361</v>
      </c>
      <c r="U719" s="13">
        <v>0.11300509</v>
      </c>
      <c r="V719" s="15">
        <v>0.21581561439359467</v>
      </c>
      <c r="W719" s="15">
        <v>0.16007270145113339</v>
      </c>
      <c r="X719" s="15">
        <v>0</v>
      </c>
      <c r="Y719" s="15">
        <v>0.30144970132337223</v>
      </c>
      <c r="Z719" s="15">
        <v>0.2529345429923312</v>
      </c>
      <c r="AA719" s="15">
        <v>0</v>
      </c>
      <c r="AB719" s="16">
        <v>0</v>
      </c>
      <c r="AC719" s="16">
        <v>0</v>
      </c>
      <c r="AD719" s="16">
        <v>0</v>
      </c>
    </row>
    <row r="720" spans="1:30" x14ac:dyDescent="0.3">
      <c r="A720" s="8">
        <v>45645</v>
      </c>
      <c r="B720" s="9">
        <v>8.6003297000000006E-2</v>
      </c>
      <c r="C720" s="9">
        <v>3.0274611E-2</v>
      </c>
      <c r="D720" s="9">
        <v>0.113504456</v>
      </c>
      <c r="E720" s="9">
        <v>5.2149972000000003E-2</v>
      </c>
      <c r="F720" s="10">
        <v>8.4229079999999998E-3</v>
      </c>
      <c r="G720" s="10">
        <v>1.9008876000000001E-2</v>
      </c>
      <c r="H720" s="10">
        <v>4.9959238000000003E-2</v>
      </c>
      <c r="I720" s="10">
        <v>3.8640213E-2</v>
      </c>
      <c r="J720" s="11">
        <v>0.29608467999999999</v>
      </c>
      <c r="K720" s="11">
        <v>0.29204301599999999</v>
      </c>
      <c r="L720" s="11">
        <v>0.196891818</v>
      </c>
      <c r="M720" s="11">
        <v>0.124631532</v>
      </c>
      <c r="N720" s="12">
        <v>0.225415488</v>
      </c>
      <c r="O720" s="12">
        <v>5.5807447000000003E-2</v>
      </c>
      <c r="P720" s="12">
        <v>0.21980928</v>
      </c>
      <c r="Q720" s="12">
        <v>0.137187582</v>
      </c>
      <c r="R720" s="13">
        <v>0.157836333</v>
      </c>
      <c r="S720" s="13">
        <v>7.9869325000000005E-2</v>
      </c>
      <c r="T720" s="13">
        <v>0.20076335200000001</v>
      </c>
      <c r="U720" s="13">
        <v>4.8200582999999998E-2</v>
      </c>
      <c r="V720" s="15">
        <v>0.15022937689084606</v>
      </c>
      <c r="W720" s="15">
        <v>0.16187608987259619</v>
      </c>
      <c r="X720" s="15">
        <v>2.6291405637764002E-2</v>
      </c>
      <c r="Y720" s="15">
        <v>0.26736234161621669</v>
      </c>
      <c r="Z720" s="15">
        <v>0.25359628743032747</v>
      </c>
      <c r="AA720" s="15">
        <v>1.8567008499897859E-2</v>
      </c>
      <c r="AB720" s="16">
        <v>0</v>
      </c>
      <c r="AC720" s="16">
        <v>0</v>
      </c>
      <c r="AD720" s="16">
        <v>0</v>
      </c>
    </row>
    <row r="721" spans="1:30" x14ac:dyDescent="0.3">
      <c r="A721" s="8">
        <v>45646</v>
      </c>
      <c r="B721" s="9">
        <v>0.101391959</v>
      </c>
      <c r="C721" s="9">
        <v>2.3183909999999999E-2</v>
      </c>
      <c r="D721" s="9">
        <v>5.5898108000000002E-2</v>
      </c>
      <c r="E721" s="9">
        <v>4.0081721000000001E-2</v>
      </c>
      <c r="F721" s="10">
        <v>8.6003297000000006E-2</v>
      </c>
      <c r="G721" s="10">
        <v>3.0274611E-2</v>
      </c>
      <c r="H721" s="10">
        <v>0.113504456</v>
      </c>
      <c r="I721" s="10">
        <v>5.2149972000000003E-2</v>
      </c>
      <c r="J721" s="11">
        <v>8.4229079999999998E-3</v>
      </c>
      <c r="K721" s="11">
        <v>1.9008876000000001E-2</v>
      </c>
      <c r="L721" s="11">
        <v>4.9959238000000003E-2</v>
      </c>
      <c r="M721" s="11">
        <v>3.8640213E-2</v>
      </c>
      <c r="N721" s="12">
        <v>0.29608467999999999</v>
      </c>
      <c r="O721" s="12">
        <v>0.29204301599999999</v>
      </c>
      <c r="P721" s="12">
        <v>0.196891818</v>
      </c>
      <c r="Q721" s="12">
        <v>0.124631532</v>
      </c>
      <c r="R721" s="13">
        <v>0.225415488</v>
      </c>
      <c r="S721" s="13">
        <v>5.5807447000000003E-2</v>
      </c>
      <c r="T721" s="13">
        <v>0.21980928</v>
      </c>
      <c r="U721" s="13">
        <v>0.137187582</v>
      </c>
      <c r="V721" s="15">
        <v>-3.7498278634016478E-3</v>
      </c>
      <c r="W721" s="15">
        <v>0.16831910401517139</v>
      </c>
      <c r="X721" s="15">
        <v>4.5905961656438649E-2</v>
      </c>
      <c r="Y721" s="15">
        <v>0.24128738149560097</v>
      </c>
      <c r="Z721" s="15">
        <v>0.25561605503071838</v>
      </c>
      <c r="AA721" s="15">
        <v>3.2731596967890172E-2</v>
      </c>
      <c r="AB721" s="16">
        <v>1</v>
      </c>
      <c r="AC721" s="16">
        <v>0</v>
      </c>
      <c r="AD721" s="16">
        <v>1</v>
      </c>
    </row>
    <row r="722" spans="1:30" x14ac:dyDescent="0.3">
      <c r="A722" s="8">
        <v>45649</v>
      </c>
      <c r="B722" s="9">
        <v>4.0384546E-2</v>
      </c>
      <c r="C722" s="9">
        <v>3.4214344000000001E-2</v>
      </c>
      <c r="D722" s="9">
        <v>0.106399785</v>
      </c>
      <c r="E722" s="9">
        <v>4.9751768000000002E-2</v>
      </c>
      <c r="F722" s="10">
        <v>0.101391959</v>
      </c>
      <c r="G722" s="10">
        <v>2.3183909999999999E-2</v>
      </c>
      <c r="H722" s="10">
        <v>5.5898108000000002E-2</v>
      </c>
      <c r="I722" s="10">
        <v>4.0081721000000001E-2</v>
      </c>
      <c r="J722" s="11">
        <v>8.6003297000000006E-2</v>
      </c>
      <c r="K722" s="11">
        <v>3.0274611E-2</v>
      </c>
      <c r="L722" s="11">
        <v>0.113504456</v>
      </c>
      <c r="M722" s="11">
        <v>5.2149972000000003E-2</v>
      </c>
      <c r="N722" s="12">
        <v>8.4229079999999998E-3</v>
      </c>
      <c r="O722" s="12">
        <v>1.9008876000000001E-2</v>
      </c>
      <c r="P722" s="12">
        <v>4.9959238000000003E-2</v>
      </c>
      <c r="Q722" s="12">
        <v>3.8640213E-2</v>
      </c>
      <c r="R722" s="13">
        <v>0.29608467999999999</v>
      </c>
      <c r="S722" s="13">
        <v>0.29204301599999999</v>
      </c>
      <c r="T722" s="13">
        <v>0.196891818</v>
      </c>
      <c r="U722" s="13">
        <v>0.124631532</v>
      </c>
      <c r="V722" s="15">
        <v>-3.7498278634016478E-3</v>
      </c>
      <c r="W722" s="15">
        <v>0.17162566661197923</v>
      </c>
      <c r="X722" s="15">
        <v>0</v>
      </c>
      <c r="Y722" s="15">
        <v>0.26736234161621669</v>
      </c>
      <c r="Z722" s="15">
        <v>0.25683642537012036</v>
      </c>
      <c r="AA722" s="15">
        <v>0</v>
      </c>
      <c r="AB722" s="16">
        <v>0</v>
      </c>
      <c r="AC722" s="16">
        <v>0</v>
      </c>
      <c r="AD722" s="16">
        <v>0</v>
      </c>
    </row>
    <row r="723" spans="1:30" x14ac:dyDescent="0.3">
      <c r="A723" s="8">
        <v>45650</v>
      </c>
      <c r="B723" s="9">
        <v>6.3806637999999999E-2</v>
      </c>
      <c r="C723" s="9">
        <v>2.7991124999999999E-2</v>
      </c>
      <c r="D723" s="9">
        <v>5.3009067E-2</v>
      </c>
      <c r="E723" s="9">
        <v>4.8172725E-2</v>
      </c>
      <c r="F723" s="10">
        <v>4.0384546E-2</v>
      </c>
      <c r="G723" s="10">
        <v>3.4214344000000001E-2</v>
      </c>
      <c r="H723" s="10">
        <v>0.106399785</v>
      </c>
      <c r="I723" s="10">
        <v>4.9751768000000002E-2</v>
      </c>
      <c r="J723" s="11">
        <v>0.101391959</v>
      </c>
      <c r="K723" s="11">
        <v>2.3183909999999999E-2</v>
      </c>
      <c r="L723" s="11">
        <v>5.5898108000000002E-2</v>
      </c>
      <c r="M723" s="11">
        <v>4.0081721000000001E-2</v>
      </c>
      <c r="N723" s="12">
        <v>8.6003297000000006E-2</v>
      </c>
      <c r="O723" s="12">
        <v>3.0274611E-2</v>
      </c>
      <c r="P723" s="12">
        <v>0.113504456</v>
      </c>
      <c r="Q723" s="12">
        <v>5.2149972000000003E-2</v>
      </c>
      <c r="R723" s="13">
        <v>8.4229079999999998E-3</v>
      </c>
      <c r="S723" s="13">
        <v>1.9008876000000001E-2</v>
      </c>
      <c r="T723" s="13">
        <v>4.9959238000000003E-2</v>
      </c>
      <c r="U723" s="13">
        <v>3.8640213E-2</v>
      </c>
      <c r="V723" s="15">
        <v>-3.7498278634016478E-3</v>
      </c>
      <c r="W723" s="15">
        <v>0.16778354705873541</v>
      </c>
      <c r="X723" s="15">
        <v>0</v>
      </c>
      <c r="Y723" s="15">
        <v>0.24837428943856091</v>
      </c>
      <c r="Z723" s="15">
        <v>0.2566775976049408</v>
      </c>
      <c r="AA723" s="15">
        <v>0</v>
      </c>
      <c r="AB723" s="16">
        <v>0</v>
      </c>
      <c r="AC723" s="16">
        <v>0</v>
      </c>
      <c r="AD723" s="16">
        <v>0</v>
      </c>
    </row>
    <row r="724" spans="1:30" x14ac:dyDescent="0.3">
      <c r="A724" s="8">
        <v>45651</v>
      </c>
      <c r="B724" s="9">
        <v>2.9173050999999998E-2</v>
      </c>
      <c r="C724" s="9">
        <v>4.1612682999999998E-2</v>
      </c>
      <c r="D724" s="9">
        <v>3.5346401E-2</v>
      </c>
      <c r="E724" s="9">
        <v>6.596088E-2</v>
      </c>
      <c r="F724" s="10">
        <v>6.3806637999999999E-2</v>
      </c>
      <c r="G724" s="10">
        <v>2.7991124999999999E-2</v>
      </c>
      <c r="H724" s="10">
        <v>5.3009067E-2</v>
      </c>
      <c r="I724" s="10">
        <v>4.8172725E-2</v>
      </c>
      <c r="J724" s="11">
        <v>4.0384546E-2</v>
      </c>
      <c r="K724" s="11">
        <v>3.4214344000000001E-2</v>
      </c>
      <c r="L724" s="11">
        <v>0.106399785</v>
      </c>
      <c r="M724" s="11">
        <v>4.9751768000000002E-2</v>
      </c>
      <c r="N724" s="12">
        <v>0.101391959</v>
      </c>
      <c r="O724" s="12">
        <v>2.3183909999999999E-2</v>
      </c>
      <c r="P724" s="12">
        <v>5.5898108000000002E-2</v>
      </c>
      <c r="Q724" s="12">
        <v>4.0081721000000001E-2</v>
      </c>
      <c r="R724" s="13">
        <v>8.6003297000000006E-2</v>
      </c>
      <c r="S724" s="13">
        <v>3.0274611E-2</v>
      </c>
      <c r="T724" s="13">
        <v>0.113504456</v>
      </c>
      <c r="U724" s="13">
        <v>5.2149972000000003E-2</v>
      </c>
      <c r="V724" s="15">
        <v>-3.7498278634016478E-3</v>
      </c>
      <c r="W724" s="15">
        <v>0.16779145616728608</v>
      </c>
      <c r="X724" s="15">
        <v>0</v>
      </c>
      <c r="Y724" s="15">
        <v>0.26736234161621669</v>
      </c>
      <c r="Z724" s="15">
        <v>0.25677189245301923</v>
      </c>
      <c r="AA724" s="15">
        <v>0</v>
      </c>
      <c r="AB724" s="16">
        <v>0</v>
      </c>
      <c r="AC724" s="16">
        <v>1</v>
      </c>
      <c r="AD724" s="16">
        <v>1</v>
      </c>
    </row>
    <row r="725" spans="1:30" x14ac:dyDescent="0.3">
      <c r="A725" s="8">
        <v>45652</v>
      </c>
      <c r="B725" s="9">
        <v>0.10119521099999999</v>
      </c>
      <c r="C725" s="9">
        <v>6.3808439999999994E-2</v>
      </c>
      <c r="D725" s="9">
        <v>0.17844273599999999</v>
      </c>
      <c r="E725" s="9">
        <v>0.167674251</v>
      </c>
      <c r="F725" s="10">
        <v>2.9173050999999998E-2</v>
      </c>
      <c r="G725" s="10">
        <v>4.1612682999999998E-2</v>
      </c>
      <c r="H725" s="10">
        <v>3.5346401E-2</v>
      </c>
      <c r="I725" s="10">
        <v>6.596088E-2</v>
      </c>
      <c r="J725" s="11">
        <v>6.3806637999999999E-2</v>
      </c>
      <c r="K725" s="11">
        <v>2.7991124999999999E-2</v>
      </c>
      <c r="L725" s="11">
        <v>5.3009067E-2</v>
      </c>
      <c r="M725" s="11">
        <v>4.8172725E-2</v>
      </c>
      <c r="N725" s="12">
        <v>4.0384546E-2</v>
      </c>
      <c r="O725" s="12">
        <v>3.4214344000000001E-2</v>
      </c>
      <c r="P725" s="12">
        <v>0.106399785</v>
      </c>
      <c r="Q725" s="12">
        <v>4.9751768000000002E-2</v>
      </c>
      <c r="R725" s="13">
        <v>0.101391959</v>
      </c>
      <c r="S725" s="13">
        <v>2.3183909999999999E-2</v>
      </c>
      <c r="T725" s="13">
        <v>5.5898108000000002E-2</v>
      </c>
      <c r="U725" s="13">
        <v>4.0081721000000001E-2</v>
      </c>
      <c r="V725" s="15">
        <v>0.15022937689084606</v>
      </c>
      <c r="W725" s="15">
        <v>0.16777296214774987</v>
      </c>
      <c r="X725" s="15">
        <v>0</v>
      </c>
      <c r="Y725" s="15">
        <v>0.30144970132337223</v>
      </c>
      <c r="Z725" s="15">
        <v>0.25637570618850986</v>
      </c>
      <c r="AA725" s="15">
        <v>0</v>
      </c>
      <c r="AB725" s="16">
        <v>0</v>
      </c>
      <c r="AC725" s="16">
        <v>1</v>
      </c>
      <c r="AD725" s="16">
        <v>1</v>
      </c>
    </row>
    <row r="726" spans="1:30" x14ac:dyDescent="0.3">
      <c r="A726" s="8">
        <v>45653</v>
      </c>
      <c r="B726" s="9">
        <v>7.7220059999999993E-2</v>
      </c>
      <c r="C726" s="9">
        <v>2.9165364999999999E-2</v>
      </c>
      <c r="D726" s="9">
        <v>0.118514956</v>
      </c>
      <c r="E726" s="9">
        <v>8.7219652999999994E-2</v>
      </c>
      <c r="F726" s="10">
        <v>0.10119521099999999</v>
      </c>
      <c r="G726" s="10">
        <v>6.3808439999999994E-2</v>
      </c>
      <c r="H726" s="10">
        <v>0.17844273599999999</v>
      </c>
      <c r="I726" s="10">
        <v>0.167674251</v>
      </c>
      <c r="J726" s="11">
        <v>2.9173050999999998E-2</v>
      </c>
      <c r="K726" s="11">
        <v>4.1612682999999998E-2</v>
      </c>
      <c r="L726" s="11">
        <v>3.5346401E-2</v>
      </c>
      <c r="M726" s="11">
        <v>6.596088E-2</v>
      </c>
      <c r="N726" s="12">
        <v>6.3806637999999999E-2</v>
      </c>
      <c r="O726" s="12">
        <v>2.7991124999999999E-2</v>
      </c>
      <c r="P726" s="12">
        <v>5.3009067E-2</v>
      </c>
      <c r="Q726" s="12">
        <v>4.8172725E-2</v>
      </c>
      <c r="R726" s="13">
        <v>4.0384546E-2</v>
      </c>
      <c r="S726" s="13">
        <v>3.4214344000000001E-2</v>
      </c>
      <c r="T726" s="13">
        <v>0.106399785</v>
      </c>
      <c r="U726" s="13">
        <v>4.9751768000000002E-2</v>
      </c>
      <c r="V726" s="15">
        <v>0.21581561439359467</v>
      </c>
      <c r="W726" s="15">
        <v>0.16332471058905598</v>
      </c>
      <c r="X726" s="15">
        <v>0</v>
      </c>
      <c r="Y726" s="15">
        <v>0.30144970132337223</v>
      </c>
      <c r="Z726" s="15">
        <v>0.25546452017483295</v>
      </c>
      <c r="AA726" s="15">
        <v>0</v>
      </c>
      <c r="AB726" s="16">
        <v>0</v>
      </c>
      <c r="AC726" s="16">
        <v>1</v>
      </c>
      <c r="AD726" s="16">
        <v>1</v>
      </c>
    </row>
    <row r="727" spans="1:30" x14ac:dyDescent="0.3">
      <c r="A727" s="8">
        <v>45656</v>
      </c>
      <c r="B727" s="9">
        <v>7.5417001999999997E-2</v>
      </c>
      <c r="C727" s="9">
        <v>3.5659164E-2</v>
      </c>
      <c r="D727" s="9">
        <v>8.4682710999999994E-2</v>
      </c>
      <c r="E727" s="9">
        <v>5.6594191000000002E-2</v>
      </c>
      <c r="F727" s="10">
        <v>7.7220059999999993E-2</v>
      </c>
      <c r="G727" s="10">
        <v>2.9165364999999999E-2</v>
      </c>
      <c r="H727" s="10">
        <v>0.118514956</v>
      </c>
      <c r="I727" s="10">
        <v>8.7219652999999994E-2</v>
      </c>
      <c r="J727" s="11">
        <v>0.10119521099999999</v>
      </c>
      <c r="K727" s="11">
        <v>6.3808439999999994E-2</v>
      </c>
      <c r="L727" s="11">
        <v>0.17844273599999999</v>
      </c>
      <c r="M727" s="11">
        <v>0.167674251</v>
      </c>
      <c r="N727" s="12">
        <v>2.9173050999999998E-2</v>
      </c>
      <c r="O727" s="12">
        <v>4.1612682999999998E-2</v>
      </c>
      <c r="P727" s="12">
        <v>3.5346401E-2</v>
      </c>
      <c r="Q727" s="12">
        <v>6.596088E-2</v>
      </c>
      <c r="R727" s="13">
        <v>6.3806637999999999E-2</v>
      </c>
      <c r="S727" s="13">
        <v>2.7991124999999999E-2</v>
      </c>
      <c r="T727" s="13">
        <v>5.3009067E-2</v>
      </c>
      <c r="U727" s="13">
        <v>4.8172725E-2</v>
      </c>
      <c r="V727" s="15">
        <v>0.15022937689084606</v>
      </c>
      <c r="W727" s="15">
        <v>0.16243015719865533</v>
      </c>
      <c r="X727" s="15">
        <v>5.5149270369469075E-3</v>
      </c>
      <c r="Y727" s="15">
        <v>0.26736234161621669</v>
      </c>
      <c r="Z727" s="15">
        <v>0.25418923259424947</v>
      </c>
      <c r="AA727" s="15">
        <v>4.0106716361276145E-3</v>
      </c>
      <c r="AB727" s="16">
        <v>0</v>
      </c>
      <c r="AC727" s="16">
        <v>1</v>
      </c>
      <c r="AD727" s="16">
        <v>1</v>
      </c>
    </row>
    <row r="728" spans="1:30" x14ac:dyDescent="0.3">
      <c r="A728" s="8">
        <v>45657</v>
      </c>
      <c r="B728" s="9">
        <v>4.0197409000000003E-2</v>
      </c>
      <c r="C728" s="9">
        <v>3.4213998000000002E-2</v>
      </c>
      <c r="D728" s="9">
        <v>0.143171783</v>
      </c>
      <c r="E728" s="9">
        <v>0.122010259</v>
      </c>
      <c r="F728" s="10">
        <v>7.5417001999999997E-2</v>
      </c>
      <c r="G728" s="10">
        <v>3.5659164E-2</v>
      </c>
      <c r="H728" s="10">
        <v>8.4682710999999994E-2</v>
      </c>
      <c r="I728" s="10">
        <v>5.6594191000000002E-2</v>
      </c>
      <c r="J728" s="11">
        <v>7.7220059999999993E-2</v>
      </c>
      <c r="K728" s="11">
        <v>2.9165364999999999E-2</v>
      </c>
      <c r="L728" s="11">
        <v>0.118514956</v>
      </c>
      <c r="M728" s="11">
        <v>8.7219652999999994E-2</v>
      </c>
      <c r="N728" s="12">
        <v>0.10119521099999999</v>
      </c>
      <c r="O728" s="12">
        <v>6.3808439999999994E-2</v>
      </c>
      <c r="P728" s="12">
        <v>0.17844273599999999</v>
      </c>
      <c r="Q728" s="12">
        <v>0.167674251</v>
      </c>
      <c r="R728" s="13">
        <v>2.9173050999999998E-2</v>
      </c>
      <c r="S728" s="13">
        <v>4.1612682999999998E-2</v>
      </c>
      <c r="T728" s="13">
        <v>3.5346401E-2</v>
      </c>
      <c r="U728" s="13">
        <v>6.596088E-2</v>
      </c>
      <c r="V728" s="15">
        <v>0.15022937689084606</v>
      </c>
      <c r="W728" s="15">
        <v>0.16320082844670619</v>
      </c>
      <c r="X728" s="15">
        <v>1.6644309887636637E-2</v>
      </c>
      <c r="Y728" s="15">
        <v>0.24837428943856091</v>
      </c>
      <c r="Z728" s="15">
        <v>0.25446207463940773</v>
      </c>
      <c r="AA728" s="15">
        <v>1.1890987832635806E-2</v>
      </c>
      <c r="AB728" s="16">
        <v>0</v>
      </c>
      <c r="AC728" s="16">
        <v>1</v>
      </c>
      <c r="AD728" s="16">
        <v>1</v>
      </c>
    </row>
    <row r="729" spans="1:30" x14ac:dyDescent="0.3">
      <c r="F729" s="10">
        <v>4.0197409000000003E-2</v>
      </c>
      <c r="G729" s="10">
        <v>3.4213998000000002E-2</v>
      </c>
      <c r="H729" s="10">
        <v>0.143171783</v>
      </c>
      <c r="I729" s="10">
        <v>0.122010259</v>
      </c>
      <c r="J729" s="11">
        <v>7.5417001999999997E-2</v>
      </c>
      <c r="K729" s="11">
        <v>3.5659164E-2</v>
      </c>
      <c r="L729" s="11">
        <v>8.4682710999999994E-2</v>
      </c>
      <c r="M729" s="11">
        <v>5.6594191000000002E-2</v>
      </c>
      <c r="N729" s="12">
        <v>7.7220059999999993E-2</v>
      </c>
      <c r="O729" s="12">
        <v>2.9165364999999999E-2</v>
      </c>
      <c r="P729" s="12">
        <v>0.118514956</v>
      </c>
      <c r="Q729" s="12">
        <v>8.7219652999999994E-2</v>
      </c>
      <c r="R729" s="13">
        <v>0.10119521099999999</v>
      </c>
      <c r="S729" s="13">
        <v>6.3808439999999994E-2</v>
      </c>
      <c r="T729" s="13">
        <v>0.17844273599999999</v>
      </c>
      <c r="U729" s="13">
        <v>0.167674251</v>
      </c>
    </row>
    <row r="730" spans="1:30" x14ac:dyDescent="0.3">
      <c r="J730" s="11">
        <v>4.0197409000000003E-2</v>
      </c>
      <c r="K730" s="11">
        <v>3.4213998000000002E-2</v>
      </c>
      <c r="L730" s="11">
        <v>0.143171783</v>
      </c>
      <c r="M730" s="11">
        <v>0.122010259</v>
      </c>
      <c r="N730" s="12">
        <v>7.5417001999999997E-2</v>
      </c>
      <c r="O730" s="12">
        <v>3.5659164E-2</v>
      </c>
      <c r="P730" s="12">
        <v>8.4682710999999994E-2</v>
      </c>
      <c r="Q730" s="12">
        <v>5.6594191000000002E-2</v>
      </c>
      <c r="R730" s="13">
        <v>7.7220059999999993E-2</v>
      </c>
      <c r="S730" s="13">
        <v>2.9165364999999999E-2</v>
      </c>
      <c r="T730" s="13">
        <v>0.118514956</v>
      </c>
      <c r="U730" s="13">
        <v>8.7219652999999994E-2</v>
      </c>
    </row>
    <row r="731" spans="1:30" x14ac:dyDescent="0.3">
      <c r="N731" s="12">
        <v>4.0197409000000003E-2</v>
      </c>
      <c r="O731" s="12">
        <v>3.4213998000000002E-2</v>
      </c>
      <c r="P731" s="12">
        <v>0.143171783</v>
      </c>
      <c r="Q731" s="12">
        <v>0.122010259</v>
      </c>
      <c r="R731" s="13">
        <v>7.5417001999999997E-2</v>
      </c>
      <c r="S731" s="13">
        <v>3.5659164E-2</v>
      </c>
      <c r="T731" s="13">
        <v>8.4682710999999994E-2</v>
      </c>
      <c r="U731" s="13">
        <v>5.6594191000000002E-2</v>
      </c>
    </row>
    <row r="732" spans="1:30" x14ac:dyDescent="0.3">
      <c r="R732" s="13">
        <v>4.0197409000000003E-2</v>
      </c>
      <c r="S732" s="13">
        <v>3.4213998000000002E-2</v>
      </c>
      <c r="T732" s="13">
        <v>0.143171783</v>
      </c>
      <c r="U732" s="13">
        <v>0.122010259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Index_411336001_2023</vt:lpstr>
      <vt:lpstr>工作表1</vt:lpstr>
      <vt:lpstr>工作表2</vt:lpstr>
      <vt:lpstr>期末表二(三年整合)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陳奕如</dc:creator>
  <cp:lastModifiedBy>奕如 陳</cp:lastModifiedBy>
  <dcterms:created xsi:type="dcterms:W3CDTF">2026-06-07T10:07:13Z</dcterms:created>
  <dcterms:modified xsi:type="dcterms:W3CDTF">2026-06-10T12:27:23Z</dcterms:modified>
</cp:coreProperties>
</file>