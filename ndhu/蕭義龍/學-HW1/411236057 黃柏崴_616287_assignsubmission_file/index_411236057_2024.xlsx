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DA162651-DD7B-40A8-A1E0-1DC89B2CC81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工作表1" sheetId="1" r:id="rId1"/>
    <sheet name="合約到期日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" i="1"/>
</calcChain>
</file>

<file path=xl/sharedStrings.xml><?xml version="1.0" encoding="utf-8"?>
<sst xmlns="http://schemas.openxmlformats.org/spreadsheetml/2006/main" count="11" uniqueCount="10">
  <si>
    <t>Date</t>
  </si>
  <si>
    <t>S0</t>
  </si>
  <si>
    <t>File</t>
  </si>
  <si>
    <t>Contract</t>
  </si>
  <si>
    <t>ContractExpiryDate</t>
  </si>
  <si>
    <t>Maturity</t>
  </si>
  <si>
    <t>Rf</t>
  </si>
  <si>
    <t>合約名稱 (Contract)</t>
  </si>
  <si>
    <t>到期日 (ContractExpiryDate)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</si>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</sst>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3">
    <font>
      <sz val="12"/>
      <color theme="1"/>
      <name val="新細明體"/>
      <family val="2"/>
      <scheme val="minor"/>
    </font>
    <font>
      <sz val="10"/>
      <color theme="1"/>
      <name val="Arial"/>
      <charset val="1"/>
    </font>
    <font>
      <sz val="12"/>
      <color rgb="FF000000"/>
      <name val="新細明體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14" fontId="1" fillId="0" borderId="5" xfId="0" applyNumberFormat="1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14" fontId="2" fillId="0" borderId="0" xfId="0" applyNumberFormat="1" applyFon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"/>
  <sheetViews>
    <sheetView workbookViewId="0">
      <selection activeCell="G2" sqref="G2"/>
    </sheetView>
  </sheetViews>
  <sheetFormatPr defaultRowHeight="15.75"/>
  <cols>
    <col min="1" max="2" width="14.375" bestFit="1" customWidth="1"/>
    <col min="5" max="5" width="15.875" bestFit="1" customWidth="1"/>
    <col min="11" max="11" width="9.25" bestFit="1" customWidth="1"/>
  </cols>
  <sheetData>
    <row r="1" spans="1:1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ht="15">
      <c r="A2" s="1">
        <v>45657</v>
      </c>
      <c r="B2">
        <v>23035.1</v>
      </c>
      <c r="C2" t="str">
        <f>"Optiondata_"&amp;TEXT(A2,"yyyymmdd")</f>
        <v>Optiondata_20241231</v>
      </c>
      <c r="D2">
        <f>_xlfn.XLOOKUP(A2, $K$2:$K$14, $J$2:$J$14, "錯誤", 1)</f>
        <v>202501</v>
      </c>
      <c r="E2" s="12">
        <f>_xlfn.XLOOKUP(A2, $K$2:$K$14, $K$2:$K$14, "日期錯誤", 1)</f>
        <v>45672</v>
      </c>
      <c r="F2" s="13">
        <f>E2 - A2</f>
        <v>15</v>
      </c>
      <c r="G2">
        <f>IF(MONTH(A2)&lt;=3, 0.00585, 0.0071)</f>
        <v>7.1000000000000004E-3</v>
      </c>
      <c r="J2">
        <v>202401</v>
      </c>
      <c r="K2" s="1">
        <v>45308</v>
      </c>
    </row>
    <row r="3" spans="1:11" ht="15">
      <c r="A3" s="1">
        <v>45656</v>
      </c>
      <c r="B3">
        <v>23190.2</v>
      </c>
      <c r="C3" t="str">
        <f t="shared" ref="C3:C66" si="0">"Optiondata_"&amp;TEXT(A3,"yyyymmdd")</f>
        <v>Optiondata_20241230</v>
      </c>
      <c r="D3">
        <f t="shared" ref="D3:D66" si="1">_xlfn.XLOOKUP(A3, $K$2:$K$14, $J$2:$J$14, "錯誤", 1)</f>
        <v>202501</v>
      </c>
      <c r="E3" s="12">
        <f t="shared" ref="E3:E66" si="2">_xlfn.XLOOKUP(A3, $K$2:$K$14, $K$2:$K$14, "日期錯誤", 1)</f>
        <v>45672</v>
      </c>
      <c r="F3" s="13">
        <f t="shared" ref="F3:F66" si="3">E3 - A3</f>
        <v>16</v>
      </c>
      <c r="G3">
        <f t="shared" ref="G3:G66" si="4">IF(MONTH(A3)&lt;=3, 0.00585, 0.0071)</f>
        <v>7.1000000000000004E-3</v>
      </c>
      <c r="J3">
        <v>202402</v>
      </c>
      <c r="K3" s="1">
        <v>45343</v>
      </c>
    </row>
    <row r="4" spans="1:11" ht="15">
      <c r="A4" s="1">
        <v>45653</v>
      </c>
      <c r="B4">
        <v>23275.68</v>
      </c>
      <c r="C4" t="str">
        <f t="shared" si="0"/>
        <v>Optiondata_20241227</v>
      </c>
      <c r="D4">
        <f t="shared" si="1"/>
        <v>202501</v>
      </c>
      <c r="E4" s="12">
        <f t="shared" si="2"/>
        <v>45672</v>
      </c>
      <c r="F4" s="13">
        <f t="shared" si="3"/>
        <v>19</v>
      </c>
      <c r="G4">
        <f t="shared" si="4"/>
        <v>7.1000000000000004E-3</v>
      </c>
      <c r="J4">
        <v>202403</v>
      </c>
      <c r="K4" s="1">
        <v>45371</v>
      </c>
    </row>
    <row r="5" spans="1:11" ht="15">
      <c r="A5" s="1">
        <v>45652</v>
      </c>
      <c r="B5">
        <v>23246.94</v>
      </c>
      <c r="C5" t="str">
        <f t="shared" si="0"/>
        <v>Optiondata_20241226</v>
      </c>
      <c r="D5">
        <f t="shared" si="1"/>
        <v>202501</v>
      </c>
      <c r="E5" s="12">
        <f t="shared" si="2"/>
        <v>45672</v>
      </c>
      <c r="F5" s="13">
        <f t="shared" si="3"/>
        <v>20</v>
      </c>
      <c r="G5">
        <f t="shared" si="4"/>
        <v>7.1000000000000004E-3</v>
      </c>
      <c r="J5">
        <v>202404</v>
      </c>
      <c r="K5" s="1">
        <v>45399</v>
      </c>
    </row>
    <row r="6" spans="1:11" ht="15">
      <c r="A6" s="1">
        <v>45651</v>
      </c>
      <c r="B6">
        <v>23220.13</v>
      </c>
      <c r="C6" t="str">
        <f t="shared" si="0"/>
        <v>Optiondata_20241225</v>
      </c>
      <c r="D6">
        <f t="shared" si="1"/>
        <v>202501</v>
      </c>
      <c r="E6" s="12">
        <f t="shared" si="2"/>
        <v>45672</v>
      </c>
      <c r="F6" s="13">
        <f t="shared" si="3"/>
        <v>21</v>
      </c>
      <c r="G6">
        <f t="shared" si="4"/>
        <v>7.1000000000000004E-3</v>
      </c>
      <c r="J6">
        <v>202405</v>
      </c>
      <c r="K6" s="1">
        <v>45427</v>
      </c>
    </row>
    <row r="7" spans="1:11" ht="15">
      <c r="A7" s="1">
        <v>45650</v>
      </c>
      <c r="B7">
        <v>23120.240000000002</v>
      </c>
      <c r="C7" t="str">
        <f t="shared" si="0"/>
        <v>Optiondata_20241224</v>
      </c>
      <c r="D7">
        <f t="shared" si="1"/>
        <v>202501</v>
      </c>
      <c r="E7" s="12">
        <f t="shared" si="2"/>
        <v>45672</v>
      </c>
      <c r="F7" s="13">
        <f t="shared" si="3"/>
        <v>22</v>
      </c>
      <c r="G7">
        <f t="shared" si="4"/>
        <v>7.1000000000000004E-3</v>
      </c>
      <c r="J7">
        <v>202406</v>
      </c>
      <c r="K7" s="1">
        <v>45462</v>
      </c>
    </row>
    <row r="8" spans="1:11" ht="15">
      <c r="A8" s="1">
        <v>45649</v>
      </c>
      <c r="B8">
        <v>23104.54</v>
      </c>
      <c r="C8" t="str">
        <f t="shared" si="0"/>
        <v>Optiondata_20241223</v>
      </c>
      <c r="D8">
        <f t="shared" si="1"/>
        <v>202501</v>
      </c>
      <c r="E8" s="12">
        <f t="shared" si="2"/>
        <v>45672</v>
      </c>
      <c r="F8" s="13">
        <f t="shared" si="3"/>
        <v>23</v>
      </c>
      <c r="G8">
        <f t="shared" si="4"/>
        <v>7.1000000000000004E-3</v>
      </c>
      <c r="J8">
        <v>202407</v>
      </c>
      <c r="K8" s="1">
        <v>45490</v>
      </c>
    </row>
    <row r="9" spans="1:11" ht="15">
      <c r="A9" s="1">
        <v>45646</v>
      </c>
      <c r="B9">
        <v>22510.25</v>
      </c>
      <c r="C9" t="str">
        <f t="shared" si="0"/>
        <v>Optiondata_20241220</v>
      </c>
      <c r="D9">
        <f t="shared" si="1"/>
        <v>202501</v>
      </c>
      <c r="E9" s="12">
        <f t="shared" si="2"/>
        <v>45672</v>
      </c>
      <c r="F9" s="13">
        <f t="shared" si="3"/>
        <v>26</v>
      </c>
      <c r="G9">
        <f t="shared" si="4"/>
        <v>7.1000000000000004E-3</v>
      </c>
      <c r="J9">
        <v>202408</v>
      </c>
      <c r="K9" s="1">
        <v>45525</v>
      </c>
    </row>
    <row r="10" spans="1:11" ht="15">
      <c r="A10" s="1">
        <v>45645</v>
      </c>
      <c r="B10">
        <v>22932.25</v>
      </c>
      <c r="C10" t="str">
        <f t="shared" si="0"/>
        <v>Optiondata_20241219</v>
      </c>
      <c r="D10">
        <f t="shared" si="1"/>
        <v>202501</v>
      </c>
      <c r="E10" s="12">
        <f t="shared" si="2"/>
        <v>45672</v>
      </c>
      <c r="F10" s="13">
        <f t="shared" si="3"/>
        <v>27</v>
      </c>
      <c r="G10">
        <f t="shared" si="4"/>
        <v>7.1000000000000004E-3</v>
      </c>
      <c r="J10">
        <v>202409</v>
      </c>
      <c r="K10" s="1">
        <v>45553</v>
      </c>
    </row>
    <row r="11" spans="1:11" ht="15">
      <c r="A11" s="1">
        <v>45644</v>
      </c>
      <c r="B11">
        <v>23168.67</v>
      </c>
      <c r="C11" t="str">
        <f t="shared" si="0"/>
        <v>Optiondata_20241218</v>
      </c>
      <c r="D11">
        <f t="shared" si="1"/>
        <v>202412</v>
      </c>
      <c r="E11" s="12">
        <f t="shared" si="2"/>
        <v>45644</v>
      </c>
      <c r="F11" s="13">
        <f t="shared" si="3"/>
        <v>0</v>
      </c>
      <c r="G11">
        <f t="shared" si="4"/>
        <v>7.1000000000000004E-3</v>
      </c>
      <c r="J11">
        <v>202410</v>
      </c>
      <c r="K11" s="1">
        <v>45581</v>
      </c>
    </row>
    <row r="12" spans="1:11" ht="15">
      <c r="A12" s="1">
        <v>45643</v>
      </c>
      <c r="B12">
        <v>23018.01</v>
      </c>
      <c r="C12" t="str">
        <f t="shared" si="0"/>
        <v>Optiondata_20241217</v>
      </c>
      <c r="D12">
        <f t="shared" si="1"/>
        <v>202412</v>
      </c>
      <c r="E12" s="12">
        <f t="shared" si="2"/>
        <v>45644</v>
      </c>
      <c r="F12" s="13">
        <f t="shared" si="3"/>
        <v>1</v>
      </c>
      <c r="G12">
        <f t="shared" si="4"/>
        <v>7.1000000000000004E-3</v>
      </c>
      <c r="J12">
        <v>202411</v>
      </c>
      <c r="K12" s="1">
        <v>45616</v>
      </c>
    </row>
    <row r="13" spans="1:11" ht="15">
      <c r="A13" s="1">
        <v>45642</v>
      </c>
      <c r="B13">
        <v>23039.9</v>
      </c>
      <c r="C13" t="str">
        <f t="shared" si="0"/>
        <v>Optiondata_20241216</v>
      </c>
      <c r="D13">
        <f t="shared" si="1"/>
        <v>202412</v>
      </c>
      <c r="E13" s="12">
        <f t="shared" si="2"/>
        <v>45644</v>
      </c>
      <c r="F13" s="13">
        <f t="shared" si="3"/>
        <v>2</v>
      </c>
      <c r="G13">
        <f t="shared" si="4"/>
        <v>7.1000000000000004E-3</v>
      </c>
      <c r="J13">
        <v>202412</v>
      </c>
      <c r="K13" s="1">
        <v>45644</v>
      </c>
    </row>
    <row r="14" spans="1:11" ht="15">
      <c r="A14" s="1">
        <v>45639</v>
      </c>
      <c r="B14">
        <v>23020.48</v>
      </c>
      <c r="C14" t="str">
        <f t="shared" si="0"/>
        <v>Optiondata_20241213</v>
      </c>
      <c r="D14">
        <f t="shared" si="1"/>
        <v>202412</v>
      </c>
      <c r="E14" s="12">
        <f t="shared" si="2"/>
        <v>45644</v>
      </c>
      <c r="F14" s="13">
        <f t="shared" si="3"/>
        <v>5</v>
      </c>
      <c r="G14">
        <f t="shared" si="4"/>
        <v>7.1000000000000004E-3</v>
      </c>
      <c r="J14">
        <v>202501</v>
      </c>
      <c r="K14" s="1">
        <v>45672</v>
      </c>
    </row>
    <row r="15" spans="1:11" ht="15">
      <c r="A15" s="1">
        <v>45638</v>
      </c>
      <c r="B15">
        <v>23046.799999999999</v>
      </c>
      <c r="C15" t="str">
        <f t="shared" si="0"/>
        <v>Optiondata_20241212</v>
      </c>
      <c r="D15">
        <f t="shared" si="1"/>
        <v>202412</v>
      </c>
      <c r="E15" s="12">
        <f t="shared" si="2"/>
        <v>45644</v>
      </c>
      <c r="F15" s="13">
        <f t="shared" si="3"/>
        <v>6</v>
      </c>
      <c r="G15">
        <f t="shared" si="4"/>
        <v>7.1000000000000004E-3</v>
      </c>
    </row>
    <row r="16" spans="1:11" ht="15">
      <c r="A16" s="1">
        <v>45637</v>
      </c>
      <c r="B16">
        <v>22903.63</v>
      </c>
      <c r="C16" t="str">
        <f t="shared" si="0"/>
        <v>Optiondata_20241211</v>
      </c>
      <c r="D16">
        <f t="shared" si="1"/>
        <v>202412</v>
      </c>
      <c r="E16" s="12">
        <f t="shared" si="2"/>
        <v>45644</v>
      </c>
      <c r="F16" s="13">
        <f t="shared" si="3"/>
        <v>7</v>
      </c>
      <c r="G16">
        <f t="shared" si="4"/>
        <v>7.1000000000000004E-3</v>
      </c>
    </row>
    <row r="17" spans="1:7" ht="15">
      <c r="A17" s="1">
        <v>45636</v>
      </c>
      <c r="B17">
        <v>23125.08</v>
      </c>
      <c r="C17" t="str">
        <f t="shared" si="0"/>
        <v>Optiondata_20241210</v>
      </c>
      <c r="D17">
        <f t="shared" si="1"/>
        <v>202412</v>
      </c>
      <c r="E17" s="12">
        <f t="shared" si="2"/>
        <v>45644</v>
      </c>
      <c r="F17" s="13">
        <f t="shared" si="3"/>
        <v>8</v>
      </c>
      <c r="G17">
        <f t="shared" si="4"/>
        <v>7.1000000000000004E-3</v>
      </c>
    </row>
    <row r="18" spans="1:7" ht="15">
      <c r="A18" s="1">
        <v>45635</v>
      </c>
      <c r="B18">
        <v>23273.25</v>
      </c>
      <c r="C18" t="str">
        <f t="shared" si="0"/>
        <v>Optiondata_20241209</v>
      </c>
      <c r="D18">
        <f t="shared" si="1"/>
        <v>202412</v>
      </c>
      <c r="E18" s="12">
        <f t="shared" si="2"/>
        <v>45644</v>
      </c>
      <c r="F18" s="13">
        <f t="shared" si="3"/>
        <v>9</v>
      </c>
      <c r="G18">
        <f t="shared" si="4"/>
        <v>7.1000000000000004E-3</v>
      </c>
    </row>
    <row r="19" spans="1:7" ht="15">
      <c r="A19" s="1">
        <v>45632</v>
      </c>
      <c r="B19">
        <v>23193.27</v>
      </c>
      <c r="C19" t="str">
        <f t="shared" si="0"/>
        <v>Optiondata_20241206</v>
      </c>
      <c r="D19">
        <f t="shared" si="1"/>
        <v>202412</v>
      </c>
      <c r="E19" s="12">
        <f t="shared" si="2"/>
        <v>45644</v>
      </c>
      <c r="F19" s="13">
        <f t="shared" si="3"/>
        <v>12</v>
      </c>
      <c r="G19">
        <f t="shared" si="4"/>
        <v>7.1000000000000004E-3</v>
      </c>
    </row>
    <row r="20" spans="1:7" ht="15">
      <c r="A20" s="1">
        <v>45631</v>
      </c>
      <c r="B20">
        <v>23267.94</v>
      </c>
      <c r="C20" t="str">
        <f t="shared" si="0"/>
        <v>Optiondata_20241205</v>
      </c>
      <c r="D20">
        <f t="shared" si="1"/>
        <v>202412</v>
      </c>
      <c r="E20" s="12">
        <f t="shared" si="2"/>
        <v>45644</v>
      </c>
      <c r="F20" s="13">
        <f t="shared" si="3"/>
        <v>13</v>
      </c>
      <c r="G20">
        <f t="shared" si="4"/>
        <v>7.1000000000000004E-3</v>
      </c>
    </row>
    <row r="21" spans="1:7" ht="15">
      <c r="A21" s="1">
        <v>45630</v>
      </c>
      <c r="B21">
        <v>23255.33</v>
      </c>
      <c r="C21" t="str">
        <f t="shared" si="0"/>
        <v>Optiondata_20241204</v>
      </c>
      <c r="D21">
        <f t="shared" si="1"/>
        <v>202412</v>
      </c>
      <c r="E21" s="12">
        <f t="shared" si="2"/>
        <v>45644</v>
      </c>
      <c r="F21" s="13">
        <f t="shared" si="3"/>
        <v>14</v>
      </c>
      <c r="G21">
        <f t="shared" si="4"/>
        <v>7.1000000000000004E-3</v>
      </c>
    </row>
    <row r="22" spans="1:7" ht="15">
      <c r="A22" s="1">
        <v>45629</v>
      </c>
      <c r="B22">
        <v>23027.46</v>
      </c>
      <c r="C22" t="str">
        <f t="shared" si="0"/>
        <v>Optiondata_20241203</v>
      </c>
      <c r="D22">
        <f t="shared" si="1"/>
        <v>202412</v>
      </c>
      <c r="E22" s="12">
        <f t="shared" si="2"/>
        <v>45644</v>
      </c>
      <c r="F22" s="13">
        <f t="shared" si="3"/>
        <v>15</v>
      </c>
      <c r="G22">
        <f t="shared" si="4"/>
        <v>7.1000000000000004E-3</v>
      </c>
    </row>
    <row r="23" spans="1:7" ht="15">
      <c r="A23" s="1">
        <v>45628</v>
      </c>
      <c r="B23">
        <v>22736.93</v>
      </c>
      <c r="C23" t="str">
        <f t="shared" si="0"/>
        <v>Optiondata_20241202</v>
      </c>
      <c r="D23">
        <f t="shared" si="1"/>
        <v>202412</v>
      </c>
      <c r="E23" s="12">
        <f t="shared" si="2"/>
        <v>45644</v>
      </c>
      <c r="F23" s="13">
        <f t="shared" si="3"/>
        <v>16</v>
      </c>
      <c r="G23">
        <f t="shared" si="4"/>
        <v>7.1000000000000004E-3</v>
      </c>
    </row>
    <row r="24" spans="1:7" ht="15">
      <c r="A24" s="1">
        <v>45625</v>
      </c>
      <c r="B24">
        <v>22262.5</v>
      </c>
      <c r="C24" t="str">
        <f t="shared" si="0"/>
        <v>Optiondata_20241129</v>
      </c>
      <c r="D24">
        <f t="shared" si="1"/>
        <v>202412</v>
      </c>
      <c r="E24" s="12">
        <f t="shared" si="2"/>
        <v>45644</v>
      </c>
      <c r="F24" s="13">
        <f t="shared" si="3"/>
        <v>19</v>
      </c>
      <c r="G24">
        <f t="shared" si="4"/>
        <v>7.1000000000000004E-3</v>
      </c>
    </row>
    <row r="25" spans="1:7" ht="15">
      <c r="A25" s="1">
        <v>45624</v>
      </c>
      <c r="B25">
        <v>22298.9</v>
      </c>
      <c r="C25" t="str">
        <f t="shared" si="0"/>
        <v>Optiondata_20241128</v>
      </c>
      <c r="D25">
        <f t="shared" si="1"/>
        <v>202412</v>
      </c>
      <c r="E25" s="12">
        <f t="shared" si="2"/>
        <v>45644</v>
      </c>
      <c r="F25" s="13">
        <f t="shared" si="3"/>
        <v>20</v>
      </c>
      <c r="G25">
        <f t="shared" si="4"/>
        <v>7.1000000000000004E-3</v>
      </c>
    </row>
    <row r="26" spans="1:7" ht="15">
      <c r="A26" s="1">
        <v>45623</v>
      </c>
      <c r="B26">
        <v>22334.78</v>
      </c>
      <c r="C26" t="str">
        <f t="shared" si="0"/>
        <v>Optiondata_20241127</v>
      </c>
      <c r="D26">
        <f t="shared" si="1"/>
        <v>202412</v>
      </c>
      <c r="E26" s="12">
        <f t="shared" si="2"/>
        <v>45644</v>
      </c>
      <c r="F26" s="13">
        <f t="shared" si="3"/>
        <v>21</v>
      </c>
      <c r="G26">
        <f t="shared" si="4"/>
        <v>7.1000000000000004E-3</v>
      </c>
    </row>
    <row r="27" spans="1:7" ht="15">
      <c r="A27" s="1">
        <v>45622</v>
      </c>
      <c r="B27">
        <v>22678.76</v>
      </c>
      <c r="C27" t="str">
        <f t="shared" si="0"/>
        <v>Optiondata_20241126</v>
      </c>
      <c r="D27">
        <f t="shared" si="1"/>
        <v>202412</v>
      </c>
      <c r="E27" s="12">
        <f t="shared" si="2"/>
        <v>45644</v>
      </c>
      <c r="F27" s="13">
        <f t="shared" si="3"/>
        <v>22</v>
      </c>
      <c r="G27">
        <f t="shared" si="4"/>
        <v>7.1000000000000004E-3</v>
      </c>
    </row>
    <row r="28" spans="1:7" ht="15">
      <c r="A28" s="1">
        <v>45621</v>
      </c>
      <c r="B28">
        <v>22948.37</v>
      </c>
      <c r="C28" t="str">
        <f t="shared" si="0"/>
        <v>Optiondata_20241125</v>
      </c>
      <c r="D28">
        <f t="shared" si="1"/>
        <v>202412</v>
      </c>
      <c r="E28" s="12">
        <f t="shared" si="2"/>
        <v>45644</v>
      </c>
      <c r="F28" s="13">
        <f t="shared" si="3"/>
        <v>23</v>
      </c>
      <c r="G28">
        <f t="shared" si="4"/>
        <v>7.1000000000000004E-3</v>
      </c>
    </row>
    <row r="29" spans="1:7" ht="15">
      <c r="A29" s="1">
        <v>45618</v>
      </c>
      <c r="B29">
        <v>22904.32</v>
      </c>
      <c r="C29" t="str">
        <f t="shared" si="0"/>
        <v>Optiondata_20241122</v>
      </c>
      <c r="D29">
        <f t="shared" si="1"/>
        <v>202412</v>
      </c>
      <c r="E29" s="12">
        <f t="shared" si="2"/>
        <v>45644</v>
      </c>
      <c r="F29" s="13">
        <f t="shared" si="3"/>
        <v>26</v>
      </c>
      <c r="G29">
        <f t="shared" si="4"/>
        <v>7.1000000000000004E-3</v>
      </c>
    </row>
    <row r="30" spans="1:7" ht="15">
      <c r="A30" s="1">
        <v>45617</v>
      </c>
      <c r="B30">
        <v>22555.66</v>
      </c>
      <c r="C30" t="str">
        <f t="shared" si="0"/>
        <v>Optiondata_20241121</v>
      </c>
      <c r="D30">
        <f t="shared" si="1"/>
        <v>202412</v>
      </c>
      <c r="E30" s="12">
        <f t="shared" si="2"/>
        <v>45644</v>
      </c>
      <c r="F30" s="13">
        <f t="shared" si="3"/>
        <v>27</v>
      </c>
      <c r="G30">
        <f t="shared" si="4"/>
        <v>7.1000000000000004E-3</v>
      </c>
    </row>
    <row r="31" spans="1:7" ht="15">
      <c r="A31" s="1">
        <v>45616</v>
      </c>
      <c r="B31">
        <v>22688.36</v>
      </c>
      <c r="C31" t="str">
        <f t="shared" si="0"/>
        <v>Optiondata_20241120</v>
      </c>
      <c r="D31">
        <f t="shared" si="1"/>
        <v>202411</v>
      </c>
      <c r="E31" s="12">
        <f t="shared" si="2"/>
        <v>45616</v>
      </c>
      <c r="F31" s="13">
        <f t="shared" si="3"/>
        <v>0</v>
      </c>
      <c r="G31">
        <f t="shared" si="4"/>
        <v>7.1000000000000004E-3</v>
      </c>
    </row>
    <row r="32" spans="1:7" ht="15">
      <c r="A32" s="1">
        <v>45615</v>
      </c>
      <c r="B32">
        <v>22848.799999999999</v>
      </c>
      <c r="C32" t="str">
        <f t="shared" si="0"/>
        <v>Optiondata_20241119</v>
      </c>
      <c r="D32">
        <f t="shared" si="1"/>
        <v>202411</v>
      </c>
      <c r="E32" s="12">
        <f t="shared" si="2"/>
        <v>45616</v>
      </c>
      <c r="F32" s="13">
        <f t="shared" si="3"/>
        <v>1</v>
      </c>
      <c r="G32">
        <f t="shared" si="4"/>
        <v>7.1000000000000004E-3</v>
      </c>
    </row>
    <row r="33" spans="1:7" ht="15">
      <c r="A33" s="1">
        <v>45614</v>
      </c>
      <c r="B33">
        <v>22546.54</v>
      </c>
      <c r="C33" t="str">
        <f t="shared" si="0"/>
        <v>Optiondata_20241118</v>
      </c>
      <c r="D33">
        <f t="shared" si="1"/>
        <v>202411</v>
      </c>
      <c r="E33" s="12">
        <f t="shared" si="2"/>
        <v>45616</v>
      </c>
      <c r="F33" s="13">
        <f t="shared" si="3"/>
        <v>2</v>
      </c>
      <c r="G33">
        <f t="shared" si="4"/>
        <v>7.1000000000000004E-3</v>
      </c>
    </row>
    <row r="34" spans="1:7" ht="15">
      <c r="A34" s="1">
        <v>45611</v>
      </c>
      <c r="B34">
        <v>22742.77</v>
      </c>
      <c r="C34" t="str">
        <f t="shared" si="0"/>
        <v>Optiondata_20241115</v>
      </c>
      <c r="D34">
        <f t="shared" si="1"/>
        <v>202411</v>
      </c>
      <c r="E34" s="12">
        <f t="shared" si="2"/>
        <v>45616</v>
      </c>
      <c r="F34" s="13">
        <f t="shared" si="3"/>
        <v>5</v>
      </c>
      <c r="G34">
        <f t="shared" si="4"/>
        <v>7.1000000000000004E-3</v>
      </c>
    </row>
    <row r="35" spans="1:7" ht="15">
      <c r="A35" s="1">
        <v>45610</v>
      </c>
      <c r="B35">
        <v>22715.38</v>
      </c>
      <c r="C35" t="str">
        <f t="shared" si="0"/>
        <v>Optiondata_20241114</v>
      </c>
      <c r="D35">
        <f t="shared" si="1"/>
        <v>202411</v>
      </c>
      <c r="E35" s="12">
        <f t="shared" si="2"/>
        <v>45616</v>
      </c>
      <c r="F35" s="13">
        <f t="shared" si="3"/>
        <v>6</v>
      </c>
      <c r="G35">
        <f t="shared" si="4"/>
        <v>7.1000000000000004E-3</v>
      </c>
    </row>
    <row r="36" spans="1:7" ht="15">
      <c r="A36" s="1">
        <v>45609</v>
      </c>
      <c r="B36">
        <v>22860.23</v>
      </c>
      <c r="C36" t="str">
        <f t="shared" si="0"/>
        <v>Optiondata_20241113</v>
      </c>
      <c r="D36">
        <f t="shared" si="1"/>
        <v>202411</v>
      </c>
      <c r="E36" s="12">
        <f t="shared" si="2"/>
        <v>45616</v>
      </c>
      <c r="F36" s="13">
        <f t="shared" si="3"/>
        <v>7</v>
      </c>
      <c r="G36">
        <f t="shared" si="4"/>
        <v>7.1000000000000004E-3</v>
      </c>
    </row>
    <row r="37" spans="1:7" ht="15">
      <c r="A37" s="1">
        <v>45608</v>
      </c>
      <c r="B37">
        <v>22981.77</v>
      </c>
      <c r="C37" t="str">
        <f t="shared" si="0"/>
        <v>Optiondata_20241112</v>
      </c>
      <c r="D37">
        <f t="shared" si="1"/>
        <v>202411</v>
      </c>
      <c r="E37" s="12">
        <f t="shared" si="2"/>
        <v>45616</v>
      </c>
      <c r="F37" s="13">
        <f t="shared" si="3"/>
        <v>8</v>
      </c>
      <c r="G37">
        <f t="shared" si="4"/>
        <v>7.1000000000000004E-3</v>
      </c>
    </row>
    <row r="38" spans="1:7" ht="15">
      <c r="A38" s="1">
        <v>45607</v>
      </c>
      <c r="B38">
        <v>23529.64</v>
      </c>
      <c r="C38" t="str">
        <f t="shared" si="0"/>
        <v>Optiondata_20241111</v>
      </c>
      <c r="D38">
        <f t="shared" si="1"/>
        <v>202411</v>
      </c>
      <c r="E38" s="12">
        <f t="shared" si="2"/>
        <v>45616</v>
      </c>
      <c r="F38" s="13">
        <f t="shared" si="3"/>
        <v>9</v>
      </c>
      <c r="G38">
        <f t="shared" si="4"/>
        <v>7.1000000000000004E-3</v>
      </c>
    </row>
    <row r="39" spans="1:7" ht="15">
      <c r="A39" s="1">
        <v>45604</v>
      </c>
      <c r="B39">
        <v>23553.89</v>
      </c>
      <c r="C39" t="str">
        <f t="shared" si="0"/>
        <v>Optiondata_20241108</v>
      </c>
      <c r="D39">
        <f t="shared" si="1"/>
        <v>202411</v>
      </c>
      <c r="E39" s="12">
        <f t="shared" si="2"/>
        <v>45616</v>
      </c>
      <c r="F39" s="13">
        <f t="shared" si="3"/>
        <v>12</v>
      </c>
      <c r="G39">
        <f t="shared" si="4"/>
        <v>7.1000000000000004E-3</v>
      </c>
    </row>
    <row r="40" spans="1:7" ht="15">
      <c r="A40" s="1">
        <v>45603</v>
      </c>
      <c r="B40">
        <v>23408.82</v>
      </c>
      <c r="C40" t="str">
        <f t="shared" si="0"/>
        <v>Optiondata_20241107</v>
      </c>
      <c r="D40">
        <f t="shared" si="1"/>
        <v>202411</v>
      </c>
      <c r="E40" s="12">
        <f t="shared" si="2"/>
        <v>45616</v>
      </c>
      <c r="F40" s="13">
        <f t="shared" si="3"/>
        <v>13</v>
      </c>
      <c r="G40">
        <f t="shared" si="4"/>
        <v>7.1000000000000004E-3</v>
      </c>
    </row>
    <row r="41" spans="1:7" ht="15">
      <c r="A41" s="1">
        <v>45602</v>
      </c>
      <c r="B41">
        <v>23217.38</v>
      </c>
      <c r="C41" t="str">
        <f t="shared" si="0"/>
        <v>Optiondata_20241106</v>
      </c>
      <c r="D41">
        <f t="shared" si="1"/>
        <v>202411</v>
      </c>
      <c r="E41" s="12">
        <f t="shared" si="2"/>
        <v>45616</v>
      </c>
      <c r="F41" s="13">
        <f t="shared" si="3"/>
        <v>14</v>
      </c>
      <c r="G41">
        <f t="shared" si="4"/>
        <v>7.1000000000000004E-3</v>
      </c>
    </row>
    <row r="42" spans="1:7" ht="15">
      <c r="A42" s="1">
        <v>45601</v>
      </c>
      <c r="B42">
        <v>23106.79</v>
      </c>
      <c r="C42" t="str">
        <f t="shared" si="0"/>
        <v>Optiondata_20241105</v>
      </c>
      <c r="D42">
        <f t="shared" si="1"/>
        <v>202411</v>
      </c>
      <c r="E42" s="12">
        <f t="shared" si="2"/>
        <v>45616</v>
      </c>
      <c r="F42" s="13">
        <f t="shared" si="3"/>
        <v>15</v>
      </c>
      <c r="G42">
        <f t="shared" si="4"/>
        <v>7.1000000000000004E-3</v>
      </c>
    </row>
    <row r="43" spans="1:7" ht="15">
      <c r="A43" s="1">
        <v>45600</v>
      </c>
      <c r="B43">
        <v>22965.39</v>
      </c>
      <c r="C43" t="str">
        <f t="shared" si="0"/>
        <v>Optiondata_20241104</v>
      </c>
      <c r="D43">
        <f t="shared" si="1"/>
        <v>202411</v>
      </c>
      <c r="E43" s="12">
        <f t="shared" si="2"/>
        <v>45616</v>
      </c>
      <c r="F43" s="13">
        <f t="shared" si="3"/>
        <v>16</v>
      </c>
      <c r="G43">
        <f t="shared" si="4"/>
        <v>7.1000000000000004E-3</v>
      </c>
    </row>
    <row r="44" spans="1:7" ht="15">
      <c r="A44" s="1">
        <v>45597</v>
      </c>
      <c r="B44">
        <v>22780.080000000002</v>
      </c>
      <c r="C44" t="str">
        <f t="shared" si="0"/>
        <v>Optiondata_20241101</v>
      </c>
      <c r="D44">
        <f t="shared" si="1"/>
        <v>202411</v>
      </c>
      <c r="E44" s="12">
        <f t="shared" si="2"/>
        <v>45616</v>
      </c>
      <c r="F44" s="13">
        <f t="shared" si="3"/>
        <v>19</v>
      </c>
      <c r="G44">
        <f t="shared" si="4"/>
        <v>7.1000000000000004E-3</v>
      </c>
    </row>
    <row r="45" spans="1:7" ht="15">
      <c r="A45" s="1">
        <v>45595</v>
      </c>
      <c r="B45">
        <v>22820.43</v>
      </c>
      <c r="C45" t="str">
        <f t="shared" si="0"/>
        <v>Optiondata_20241030</v>
      </c>
      <c r="D45">
        <f t="shared" si="1"/>
        <v>202411</v>
      </c>
      <c r="E45" s="12">
        <f t="shared" si="2"/>
        <v>45616</v>
      </c>
      <c r="F45" s="13">
        <f t="shared" si="3"/>
        <v>21</v>
      </c>
      <c r="G45">
        <f t="shared" si="4"/>
        <v>7.1000000000000004E-3</v>
      </c>
    </row>
    <row r="46" spans="1:7" ht="15">
      <c r="A46" s="1">
        <v>45594</v>
      </c>
      <c r="B46">
        <v>22926.59</v>
      </c>
      <c r="C46" t="str">
        <f t="shared" si="0"/>
        <v>Optiondata_20241029</v>
      </c>
      <c r="D46">
        <f t="shared" si="1"/>
        <v>202411</v>
      </c>
      <c r="E46" s="12">
        <f t="shared" si="2"/>
        <v>45616</v>
      </c>
      <c r="F46" s="13">
        <f t="shared" si="3"/>
        <v>22</v>
      </c>
      <c r="G46">
        <f t="shared" si="4"/>
        <v>7.1000000000000004E-3</v>
      </c>
    </row>
    <row r="47" spans="1:7" ht="15">
      <c r="A47" s="1">
        <v>45593</v>
      </c>
      <c r="B47">
        <v>23198.07</v>
      </c>
      <c r="C47" t="str">
        <f t="shared" si="0"/>
        <v>Optiondata_20241028</v>
      </c>
      <c r="D47">
        <f t="shared" si="1"/>
        <v>202411</v>
      </c>
      <c r="E47" s="12">
        <f t="shared" si="2"/>
        <v>45616</v>
      </c>
      <c r="F47" s="13">
        <f t="shared" si="3"/>
        <v>23</v>
      </c>
      <c r="G47">
        <f t="shared" si="4"/>
        <v>7.1000000000000004E-3</v>
      </c>
    </row>
    <row r="48" spans="1:7" ht="15">
      <c r="A48" s="1">
        <v>45590</v>
      </c>
      <c r="B48">
        <v>23348.45</v>
      </c>
      <c r="C48" t="str">
        <f t="shared" si="0"/>
        <v>Optiondata_20241025</v>
      </c>
      <c r="D48">
        <f t="shared" si="1"/>
        <v>202411</v>
      </c>
      <c r="E48" s="12">
        <f t="shared" si="2"/>
        <v>45616</v>
      </c>
      <c r="F48" s="13">
        <f t="shared" si="3"/>
        <v>26</v>
      </c>
      <c r="G48">
        <f t="shared" si="4"/>
        <v>7.1000000000000004E-3</v>
      </c>
    </row>
    <row r="49" spans="1:7" ht="15">
      <c r="A49" s="1">
        <v>45589</v>
      </c>
      <c r="B49">
        <v>23192.52</v>
      </c>
      <c r="C49" t="str">
        <f t="shared" si="0"/>
        <v>Optiondata_20241024</v>
      </c>
      <c r="D49">
        <f t="shared" si="1"/>
        <v>202411</v>
      </c>
      <c r="E49" s="12">
        <f t="shared" si="2"/>
        <v>45616</v>
      </c>
      <c r="F49" s="13">
        <f t="shared" si="3"/>
        <v>27</v>
      </c>
      <c r="G49">
        <f t="shared" si="4"/>
        <v>7.1000000000000004E-3</v>
      </c>
    </row>
    <row r="50" spans="1:7" ht="15">
      <c r="A50" s="1">
        <v>45588</v>
      </c>
      <c r="B50">
        <v>23334.76</v>
      </c>
      <c r="C50" t="str">
        <f t="shared" si="0"/>
        <v>Optiondata_20241023</v>
      </c>
      <c r="D50">
        <f t="shared" si="1"/>
        <v>202411</v>
      </c>
      <c r="E50" s="12">
        <f t="shared" si="2"/>
        <v>45616</v>
      </c>
      <c r="F50" s="13">
        <f t="shared" si="3"/>
        <v>28</v>
      </c>
      <c r="G50">
        <f t="shared" si="4"/>
        <v>7.1000000000000004E-3</v>
      </c>
    </row>
    <row r="51" spans="1:7" ht="15">
      <c r="A51" s="1">
        <v>45587</v>
      </c>
      <c r="B51">
        <v>23535.43</v>
      </c>
      <c r="C51" t="str">
        <f t="shared" si="0"/>
        <v>Optiondata_20241022</v>
      </c>
      <c r="D51">
        <f t="shared" si="1"/>
        <v>202411</v>
      </c>
      <c r="E51" s="12">
        <f t="shared" si="2"/>
        <v>45616</v>
      </c>
      <c r="F51" s="13">
        <f t="shared" si="3"/>
        <v>29</v>
      </c>
      <c r="G51">
        <f t="shared" si="4"/>
        <v>7.1000000000000004E-3</v>
      </c>
    </row>
    <row r="52" spans="1:7" ht="15">
      <c r="A52" s="1">
        <v>45586</v>
      </c>
      <c r="B52">
        <v>23542.53</v>
      </c>
      <c r="C52" t="str">
        <f t="shared" si="0"/>
        <v>Optiondata_20241021</v>
      </c>
      <c r="D52">
        <f t="shared" si="1"/>
        <v>202411</v>
      </c>
      <c r="E52" s="12">
        <f t="shared" si="2"/>
        <v>45616</v>
      </c>
      <c r="F52" s="13">
        <f t="shared" si="3"/>
        <v>30</v>
      </c>
      <c r="G52">
        <f t="shared" si="4"/>
        <v>7.1000000000000004E-3</v>
      </c>
    </row>
    <row r="53" spans="1:7" ht="15">
      <c r="A53" s="1">
        <v>45583</v>
      </c>
      <c r="B53">
        <v>23487.27</v>
      </c>
      <c r="C53" t="str">
        <f t="shared" si="0"/>
        <v>Optiondata_20241018</v>
      </c>
      <c r="D53">
        <f t="shared" si="1"/>
        <v>202411</v>
      </c>
      <c r="E53" s="12">
        <f t="shared" si="2"/>
        <v>45616</v>
      </c>
      <c r="F53" s="13">
        <f t="shared" si="3"/>
        <v>33</v>
      </c>
      <c r="G53">
        <f t="shared" si="4"/>
        <v>7.1000000000000004E-3</v>
      </c>
    </row>
    <row r="54" spans="1:7" ht="15">
      <c r="A54" s="1">
        <v>45582</v>
      </c>
      <c r="B54">
        <v>23053.84</v>
      </c>
      <c r="C54" t="str">
        <f t="shared" si="0"/>
        <v>Optiondata_20241017</v>
      </c>
      <c r="D54">
        <f t="shared" si="1"/>
        <v>202411</v>
      </c>
      <c r="E54" s="12">
        <f t="shared" si="2"/>
        <v>45616</v>
      </c>
      <c r="F54" s="13">
        <f t="shared" si="3"/>
        <v>34</v>
      </c>
      <c r="G54">
        <f t="shared" si="4"/>
        <v>7.1000000000000004E-3</v>
      </c>
    </row>
    <row r="55" spans="1:7" ht="15">
      <c r="A55" s="1">
        <v>45581</v>
      </c>
      <c r="B55">
        <v>23010.98</v>
      </c>
      <c r="C55" t="str">
        <f t="shared" si="0"/>
        <v>Optiondata_20241016</v>
      </c>
      <c r="D55">
        <f t="shared" si="1"/>
        <v>202410</v>
      </c>
      <c r="E55" s="12">
        <f t="shared" si="2"/>
        <v>45581</v>
      </c>
      <c r="F55" s="13">
        <f t="shared" si="3"/>
        <v>0</v>
      </c>
      <c r="G55">
        <f t="shared" si="4"/>
        <v>7.1000000000000004E-3</v>
      </c>
    </row>
    <row r="56" spans="1:7" ht="15">
      <c r="A56" s="1">
        <v>45580</v>
      </c>
      <c r="B56">
        <v>23292.04</v>
      </c>
      <c r="C56" t="str">
        <f t="shared" si="0"/>
        <v>Optiondata_20241015</v>
      </c>
      <c r="D56">
        <f t="shared" si="1"/>
        <v>202410</v>
      </c>
      <c r="E56" s="12">
        <f t="shared" si="2"/>
        <v>45581</v>
      </c>
      <c r="F56" s="13">
        <f t="shared" si="3"/>
        <v>1</v>
      </c>
      <c r="G56">
        <f t="shared" si="4"/>
        <v>7.1000000000000004E-3</v>
      </c>
    </row>
    <row r="57" spans="1:7" ht="15">
      <c r="A57" s="1">
        <v>45579</v>
      </c>
      <c r="B57">
        <v>22975.29</v>
      </c>
      <c r="C57" t="str">
        <f t="shared" si="0"/>
        <v>Optiondata_20241014</v>
      </c>
      <c r="D57">
        <f t="shared" si="1"/>
        <v>202410</v>
      </c>
      <c r="E57" s="12">
        <f t="shared" si="2"/>
        <v>45581</v>
      </c>
      <c r="F57" s="13">
        <f t="shared" si="3"/>
        <v>2</v>
      </c>
      <c r="G57">
        <f t="shared" si="4"/>
        <v>7.1000000000000004E-3</v>
      </c>
    </row>
    <row r="58" spans="1:7" ht="15">
      <c r="A58" s="1">
        <v>45576</v>
      </c>
      <c r="B58">
        <v>22901.64</v>
      </c>
      <c r="C58" t="str">
        <f t="shared" si="0"/>
        <v>Optiondata_20241011</v>
      </c>
      <c r="D58">
        <f t="shared" si="1"/>
        <v>202410</v>
      </c>
      <c r="E58" s="12">
        <f t="shared" si="2"/>
        <v>45581</v>
      </c>
      <c r="F58" s="13">
        <f t="shared" si="3"/>
        <v>5</v>
      </c>
      <c r="G58">
        <f t="shared" si="4"/>
        <v>7.1000000000000004E-3</v>
      </c>
    </row>
    <row r="59" spans="1:7" ht="15">
      <c r="A59" s="1">
        <v>45574</v>
      </c>
      <c r="B59">
        <v>22659.08</v>
      </c>
      <c r="C59" t="str">
        <f t="shared" si="0"/>
        <v>Optiondata_20241009</v>
      </c>
      <c r="D59">
        <f t="shared" si="1"/>
        <v>202410</v>
      </c>
      <c r="E59" s="12">
        <f t="shared" si="2"/>
        <v>45581</v>
      </c>
      <c r="F59" s="13">
        <f t="shared" si="3"/>
        <v>7</v>
      </c>
      <c r="G59">
        <f t="shared" si="4"/>
        <v>7.1000000000000004E-3</v>
      </c>
    </row>
    <row r="60" spans="1:7" ht="15">
      <c r="A60" s="1">
        <v>45573</v>
      </c>
      <c r="B60">
        <v>22611.39</v>
      </c>
      <c r="C60" t="str">
        <f t="shared" si="0"/>
        <v>Optiondata_20241008</v>
      </c>
      <c r="D60">
        <f t="shared" si="1"/>
        <v>202410</v>
      </c>
      <c r="E60" s="12">
        <f t="shared" si="2"/>
        <v>45581</v>
      </c>
      <c r="F60" s="13">
        <f t="shared" si="3"/>
        <v>8</v>
      </c>
      <c r="G60">
        <f t="shared" si="4"/>
        <v>7.1000000000000004E-3</v>
      </c>
    </row>
    <row r="61" spans="1:7" ht="15">
      <c r="A61" s="1">
        <v>45572</v>
      </c>
      <c r="B61">
        <v>22702.560000000001</v>
      </c>
      <c r="C61" t="str">
        <f t="shared" si="0"/>
        <v>Optiondata_20241007</v>
      </c>
      <c r="D61">
        <f t="shared" si="1"/>
        <v>202410</v>
      </c>
      <c r="E61" s="12">
        <f t="shared" si="2"/>
        <v>45581</v>
      </c>
      <c r="F61" s="13">
        <f t="shared" si="3"/>
        <v>9</v>
      </c>
      <c r="G61">
        <f t="shared" si="4"/>
        <v>7.1000000000000004E-3</v>
      </c>
    </row>
    <row r="62" spans="1:7" ht="15">
      <c r="A62" s="1">
        <v>45569</v>
      </c>
      <c r="B62">
        <v>22302.71</v>
      </c>
      <c r="C62" t="str">
        <f t="shared" si="0"/>
        <v>Optiondata_20241004</v>
      </c>
      <c r="D62">
        <f t="shared" si="1"/>
        <v>202410</v>
      </c>
      <c r="E62" s="12">
        <f t="shared" si="2"/>
        <v>45581</v>
      </c>
      <c r="F62" s="13">
        <f t="shared" si="3"/>
        <v>12</v>
      </c>
      <c r="G62">
        <f t="shared" si="4"/>
        <v>7.1000000000000004E-3</v>
      </c>
    </row>
    <row r="63" spans="1:7" ht="15">
      <c r="A63" s="1">
        <v>45566</v>
      </c>
      <c r="B63">
        <v>22390.39</v>
      </c>
      <c r="C63" t="str">
        <f t="shared" si="0"/>
        <v>Optiondata_20241001</v>
      </c>
      <c r="D63">
        <f t="shared" si="1"/>
        <v>202410</v>
      </c>
      <c r="E63" s="12">
        <f t="shared" si="2"/>
        <v>45581</v>
      </c>
      <c r="F63" s="13">
        <f t="shared" si="3"/>
        <v>15</v>
      </c>
      <c r="G63">
        <f t="shared" si="4"/>
        <v>7.1000000000000004E-3</v>
      </c>
    </row>
    <row r="64" spans="1:7" ht="15">
      <c r="A64" s="1">
        <v>45565</v>
      </c>
      <c r="B64">
        <v>22224.54</v>
      </c>
      <c r="C64" t="str">
        <f t="shared" si="0"/>
        <v>Optiondata_20240930</v>
      </c>
      <c r="D64">
        <f t="shared" si="1"/>
        <v>202410</v>
      </c>
      <c r="E64" s="12">
        <f t="shared" si="2"/>
        <v>45581</v>
      </c>
      <c r="F64" s="13">
        <f t="shared" si="3"/>
        <v>16</v>
      </c>
      <c r="G64">
        <f t="shared" si="4"/>
        <v>7.1000000000000004E-3</v>
      </c>
    </row>
    <row r="65" spans="1:7" ht="15">
      <c r="A65" s="1">
        <v>45562</v>
      </c>
      <c r="B65">
        <v>22822.79</v>
      </c>
      <c r="C65" t="str">
        <f t="shared" si="0"/>
        <v>Optiondata_20240927</v>
      </c>
      <c r="D65">
        <f t="shared" si="1"/>
        <v>202410</v>
      </c>
      <c r="E65" s="12">
        <f t="shared" si="2"/>
        <v>45581</v>
      </c>
      <c r="F65" s="13">
        <f t="shared" si="3"/>
        <v>19</v>
      </c>
      <c r="G65">
        <f t="shared" si="4"/>
        <v>7.1000000000000004E-3</v>
      </c>
    </row>
    <row r="66" spans="1:7" ht="15">
      <c r="A66" s="1">
        <v>45561</v>
      </c>
      <c r="B66">
        <v>22858.81</v>
      </c>
      <c r="C66" t="str">
        <f t="shared" si="0"/>
        <v>Optiondata_20240926</v>
      </c>
      <c r="D66">
        <f t="shared" si="1"/>
        <v>202410</v>
      </c>
      <c r="E66" s="12">
        <f t="shared" si="2"/>
        <v>45581</v>
      </c>
      <c r="F66" s="13">
        <f t="shared" si="3"/>
        <v>20</v>
      </c>
      <c r="G66">
        <f t="shared" si="4"/>
        <v>7.1000000000000004E-3</v>
      </c>
    </row>
    <row r="67" spans="1:7" ht="15">
      <c r="A67" s="1">
        <v>45560</v>
      </c>
      <c r="B67">
        <v>22761.599999999999</v>
      </c>
      <c r="C67" t="str">
        <f t="shared" ref="C67:C130" si="5">"Optiondata_"&amp;TEXT(A67,"yyyymmdd")</f>
        <v>Optiondata_20240925</v>
      </c>
      <c r="D67">
        <f t="shared" ref="D67:D130" si="6">_xlfn.XLOOKUP(A67, $K$2:$K$14, $J$2:$J$14, "錯誤", 1)</f>
        <v>202410</v>
      </c>
      <c r="E67" s="12">
        <f t="shared" ref="E67:E130" si="7">_xlfn.XLOOKUP(A67, $K$2:$K$14, $K$2:$K$14, "日期錯誤", 1)</f>
        <v>45581</v>
      </c>
      <c r="F67" s="13">
        <f t="shared" ref="F67:F130" si="8">E67 - A67</f>
        <v>21</v>
      </c>
      <c r="G67">
        <f t="shared" ref="G67:G130" si="9">IF(MONTH(A67)&lt;=3, 0.00585, 0.0071)</f>
        <v>7.1000000000000004E-3</v>
      </c>
    </row>
    <row r="68" spans="1:7" ht="15">
      <c r="A68" s="1">
        <v>45559</v>
      </c>
      <c r="B68">
        <v>22431.78</v>
      </c>
      <c r="C68" t="str">
        <f t="shared" si="5"/>
        <v>Optiondata_20240924</v>
      </c>
      <c r="D68">
        <f t="shared" si="6"/>
        <v>202410</v>
      </c>
      <c r="E68" s="12">
        <f t="shared" si="7"/>
        <v>45581</v>
      </c>
      <c r="F68" s="13">
        <f t="shared" si="8"/>
        <v>22</v>
      </c>
      <c r="G68">
        <f t="shared" si="9"/>
        <v>7.1000000000000004E-3</v>
      </c>
    </row>
    <row r="69" spans="1:7" ht="15">
      <c r="A69" s="1">
        <v>45558</v>
      </c>
      <c r="B69">
        <v>22285.53</v>
      </c>
      <c r="C69" t="str">
        <f t="shared" si="5"/>
        <v>Optiondata_20240923</v>
      </c>
      <c r="D69">
        <f t="shared" si="6"/>
        <v>202410</v>
      </c>
      <c r="E69" s="12">
        <f t="shared" si="7"/>
        <v>45581</v>
      </c>
      <c r="F69" s="13">
        <f t="shared" si="8"/>
        <v>23</v>
      </c>
      <c r="G69">
        <f t="shared" si="9"/>
        <v>7.1000000000000004E-3</v>
      </c>
    </row>
    <row r="70" spans="1:7" ht="15">
      <c r="A70" s="1">
        <v>45555</v>
      </c>
      <c r="B70">
        <v>22159.42</v>
      </c>
      <c r="C70" t="str">
        <f t="shared" si="5"/>
        <v>Optiondata_20240920</v>
      </c>
      <c r="D70">
        <f t="shared" si="6"/>
        <v>202410</v>
      </c>
      <c r="E70" s="12">
        <f t="shared" si="7"/>
        <v>45581</v>
      </c>
      <c r="F70" s="13">
        <f t="shared" si="8"/>
        <v>26</v>
      </c>
      <c r="G70">
        <f t="shared" si="9"/>
        <v>7.1000000000000004E-3</v>
      </c>
    </row>
    <row r="71" spans="1:7" ht="15">
      <c r="A71" s="1">
        <v>45554</v>
      </c>
      <c r="B71">
        <v>22042.69</v>
      </c>
      <c r="C71" t="str">
        <f t="shared" si="5"/>
        <v>Optiondata_20240919</v>
      </c>
      <c r="D71">
        <f t="shared" si="6"/>
        <v>202410</v>
      </c>
      <c r="E71" s="12">
        <f t="shared" si="7"/>
        <v>45581</v>
      </c>
      <c r="F71" s="13">
        <f t="shared" si="8"/>
        <v>27</v>
      </c>
      <c r="G71">
        <f t="shared" si="9"/>
        <v>7.1000000000000004E-3</v>
      </c>
    </row>
    <row r="72" spans="1:7" ht="15">
      <c r="A72" s="1">
        <v>45553</v>
      </c>
      <c r="B72">
        <v>21678.84</v>
      </c>
      <c r="C72" t="str">
        <f t="shared" si="5"/>
        <v>Optiondata_20240918</v>
      </c>
      <c r="D72">
        <f t="shared" si="6"/>
        <v>202409</v>
      </c>
      <c r="E72" s="12">
        <f t="shared" si="7"/>
        <v>45553</v>
      </c>
      <c r="F72" s="13">
        <f t="shared" si="8"/>
        <v>0</v>
      </c>
      <c r="G72">
        <f t="shared" si="9"/>
        <v>7.1000000000000004E-3</v>
      </c>
    </row>
    <row r="73" spans="1:7" ht="15">
      <c r="A73" s="1">
        <v>45551</v>
      </c>
      <c r="B73">
        <v>21850.080000000002</v>
      </c>
      <c r="C73" t="str">
        <f t="shared" si="5"/>
        <v>Optiondata_20240916</v>
      </c>
      <c r="D73">
        <f t="shared" si="6"/>
        <v>202409</v>
      </c>
      <c r="E73" s="12">
        <f t="shared" si="7"/>
        <v>45553</v>
      </c>
      <c r="F73" s="13">
        <f t="shared" si="8"/>
        <v>2</v>
      </c>
      <c r="G73">
        <f t="shared" si="9"/>
        <v>7.1000000000000004E-3</v>
      </c>
    </row>
    <row r="74" spans="1:7" ht="15">
      <c r="A74" s="1">
        <v>45548</v>
      </c>
      <c r="B74">
        <v>21759.65</v>
      </c>
      <c r="C74" t="str">
        <f t="shared" si="5"/>
        <v>Optiondata_20240913</v>
      </c>
      <c r="D74">
        <f t="shared" si="6"/>
        <v>202409</v>
      </c>
      <c r="E74" s="12">
        <f t="shared" si="7"/>
        <v>45553</v>
      </c>
      <c r="F74" s="13">
        <f t="shared" si="8"/>
        <v>5</v>
      </c>
      <c r="G74">
        <f t="shared" si="9"/>
        <v>7.1000000000000004E-3</v>
      </c>
    </row>
    <row r="75" spans="1:7" ht="15">
      <c r="A75" s="1">
        <v>45547</v>
      </c>
      <c r="B75">
        <v>21653.25</v>
      </c>
      <c r="C75" t="str">
        <f t="shared" si="5"/>
        <v>Optiondata_20240912</v>
      </c>
      <c r="D75">
        <f t="shared" si="6"/>
        <v>202409</v>
      </c>
      <c r="E75" s="12">
        <f t="shared" si="7"/>
        <v>45553</v>
      </c>
      <c r="F75" s="13">
        <f t="shared" si="8"/>
        <v>6</v>
      </c>
      <c r="G75">
        <f t="shared" si="9"/>
        <v>7.1000000000000004E-3</v>
      </c>
    </row>
    <row r="76" spans="1:7" ht="15">
      <c r="A76" s="1">
        <v>45546</v>
      </c>
      <c r="B76">
        <v>21031</v>
      </c>
      <c r="C76" t="str">
        <f t="shared" si="5"/>
        <v>Optiondata_20240911</v>
      </c>
      <c r="D76">
        <f t="shared" si="6"/>
        <v>202409</v>
      </c>
      <c r="E76" s="12">
        <f t="shared" si="7"/>
        <v>45553</v>
      </c>
      <c r="F76" s="13">
        <f t="shared" si="8"/>
        <v>7</v>
      </c>
      <c r="G76">
        <f t="shared" si="9"/>
        <v>7.1000000000000004E-3</v>
      </c>
    </row>
    <row r="77" spans="1:7" ht="15">
      <c r="A77" s="1">
        <v>45545</v>
      </c>
      <c r="B77">
        <v>21064.080000000002</v>
      </c>
      <c r="C77" t="str">
        <f t="shared" si="5"/>
        <v>Optiondata_20240910</v>
      </c>
      <c r="D77">
        <f t="shared" si="6"/>
        <v>202409</v>
      </c>
      <c r="E77" s="12">
        <f t="shared" si="7"/>
        <v>45553</v>
      </c>
      <c r="F77" s="13">
        <f t="shared" si="8"/>
        <v>8</v>
      </c>
      <c r="G77">
        <f t="shared" si="9"/>
        <v>7.1000000000000004E-3</v>
      </c>
    </row>
    <row r="78" spans="1:7" ht="15">
      <c r="A78" s="1">
        <v>45544</v>
      </c>
      <c r="B78">
        <v>21144.44</v>
      </c>
      <c r="C78" t="str">
        <f t="shared" si="5"/>
        <v>Optiondata_20240909</v>
      </c>
      <c r="D78">
        <f t="shared" si="6"/>
        <v>202409</v>
      </c>
      <c r="E78" s="12">
        <f t="shared" si="7"/>
        <v>45553</v>
      </c>
      <c r="F78" s="13">
        <f t="shared" si="8"/>
        <v>9</v>
      </c>
      <c r="G78">
        <f t="shared" si="9"/>
        <v>7.1000000000000004E-3</v>
      </c>
    </row>
    <row r="79" spans="1:7" ht="15">
      <c r="A79" s="1">
        <v>45541</v>
      </c>
      <c r="B79">
        <v>21435.19</v>
      </c>
      <c r="C79" t="str">
        <f t="shared" si="5"/>
        <v>Optiondata_20240906</v>
      </c>
      <c r="D79">
        <f t="shared" si="6"/>
        <v>202409</v>
      </c>
      <c r="E79" s="12">
        <f t="shared" si="7"/>
        <v>45553</v>
      </c>
      <c r="F79" s="13">
        <f t="shared" si="8"/>
        <v>12</v>
      </c>
      <c r="G79">
        <f t="shared" si="9"/>
        <v>7.1000000000000004E-3</v>
      </c>
    </row>
    <row r="80" spans="1:7" ht="15">
      <c r="A80" s="1">
        <v>45540</v>
      </c>
      <c r="B80">
        <v>21187.71</v>
      </c>
      <c r="C80" t="str">
        <f t="shared" si="5"/>
        <v>Optiondata_20240905</v>
      </c>
      <c r="D80">
        <f t="shared" si="6"/>
        <v>202409</v>
      </c>
      <c r="E80" s="12">
        <f t="shared" si="7"/>
        <v>45553</v>
      </c>
      <c r="F80" s="13">
        <f t="shared" si="8"/>
        <v>13</v>
      </c>
      <c r="G80">
        <f t="shared" si="9"/>
        <v>7.1000000000000004E-3</v>
      </c>
    </row>
    <row r="81" spans="1:7" ht="15">
      <c r="A81" s="1">
        <v>45539</v>
      </c>
      <c r="B81">
        <v>21092.75</v>
      </c>
      <c r="C81" t="str">
        <f t="shared" si="5"/>
        <v>Optiondata_20240904</v>
      </c>
      <c r="D81">
        <f t="shared" si="6"/>
        <v>202409</v>
      </c>
      <c r="E81" s="12">
        <f t="shared" si="7"/>
        <v>45553</v>
      </c>
      <c r="F81" s="13">
        <f t="shared" si="8"/>
        <v>14</v>
      </c>
      <c r="G81">
        <f t="shared" si="9"/>
        <v>7.1000000000000004E-3</v>
      </c>
    </row>
    <row r="82" spans="1:7" ht="15">
      <c r="A82" s="1">
        <v>45538</v>
      </c>
      <c r="B82">
        <v>22092.21</v>
      </c>
      <c r="C82" t="str">
        <f t="shared" si="5"/>
        <v>Optiondata_20240903</v>
      </c>
      <c r="D82">
        <f t="shared" si="6"/>
        <v>202409</v>
      </c>
      <c r="E82" s="12">
        <f t="shared" si="7"/>
        <v>45553</v>
      </c>
      <c r="F82" s="13">
        <f t="shared" si="8"/>
        <v>15</v>
      </c>
      <c r="G82">
        <f t="shared" si="9"/>
        <v>7.1000000000000004E-3</v>
      </c>
    </row>
    <row r="83" spans="1:7" ht="15">
      <c r="A83" s="1">
        <v>45537</v>
      </c>
      <c r="B83">
        <v>22235.1</v>
      </c>
      <c r="C83" t="str">
        <f t="shared" si="5"/>
        <v>Optiondata_20240902</v>
      </c>
      <c r="D83">
        <f t="shared" si="6"/>
        <v>202409</v>
      </c>
      <c r="E83" s="12">
        <f t="shared" si="7"/>
        <v>45553</v>
      </c>
      <c r="F83" s="13">
        <f t="shared" si="8"/>
        <v>16</v>
      </c>
      <c r="G83">
        <f t="shared" si="9"/>
        <v>7.1000000000000004E-3</v>
      </c>
    </row>
    <row r="84" spans="1:7" ht="15">
      <c r="A84" s="1">
        <v>45534</v>
      </c>
      <c r="B84">
        <v>22268.09</v>
      </c>
      <c r="C84" t="str">
        <f t="shared" si="5"/>
        <v>Optiondata_20240830</v>
      </c>
      <c r="D84">
        <f t="shared" si="6"/>
        <v>202409</v>
      </c>
      <c r="E84" s="12">
        <f t="shared" si="7"/>
        <v>45553</v>
      </c>
      <c r="F84" s="13">
        <f t="shared" si="8"/>
        <v>19</v>
      </c>
      <c r="G84">
        <f t="shared" si="9"/>
        <v>7.1000000000000004E-3</v>
      </c>
    </row>
    <row r="85" spans="1:7" ht="15">
      <c r="A85" s="1">
        <v>45533</v>
      </c>
      <c r="B85">
        <v>22201.85</v>
      </c>
      <c r="C85" t="str">
        <f t="shared" si="5"/>
        <v>Optiondata_20240829</v>
      </c>
      <c r="D85">
        <f t="shared" si="6"/>
        <v>202409</v>
      </c>
      <c r="E85" s="12">
        <f t="shared" si="7"/>
        <v>45553</v>
      </c>
      <c r="F85" s="13">
        <f t="shared" si="8"/>
        <v>20</v>
      </c>
      <c r="G85">
        <f t="shared" si="9"/>
        <v>7.1000000000000004E-3</v>
      </c>
    </row>
    <row r="86" spans="1:7" ht="15">
      <c r="A86" s="1">
        <v>45532</v>
      </c>
      <c r="B86">
        <v>22370.66</v>
      </c>
      <c r="C86" t="str">
        <f t="shared" si="5"/>
        <v>Optiondata_20240828</v>
      </c>
      <c r="D86">
        <f t="shared" si="6"/>
        <v>202409</v>
      </c>
      <c r="E86" s="12">
        <f t="shared" si="7"/>
        <v>45553</v>
      </c>
      <c r="F86" s="13">
        <f t="shared" si="8"/>
        <v>21</v>
      </c>
      <c r="G86">
        <f t="shared" si="9"/>
        <v>7.1000000000000004E-3</v>
      </c>
    </row>
    <row r="87" spans="1:7" ht="15">
      <c r="A87" s="1">
        <v>45531</v>
      </c>
      <c r="B87">
        <v>22185</v>
      </c>
      <c r="C87" t="str">
        <f t="shared" si="5"/>
        <v>Optiondata_20240827</v>
      </c>
      <c r="D87">
        <f t="shared" si="6"/>
        <v>202409</v>
      </c>
      <c r="E87" s="12">
        <f t="shared" si="7"/>
        <v>45553</v>
      </c>
      <c r="F87" s="13">
        <f t="shared" si="8"/>
        <v>22</v>
      </c>
      <c r="G87">
        <f t="shared" si="9"/>
        <v>7.1000000000000004E-3</v>
      </c>
    </row>
    <row r="88" spans="1:7" ht="15">
      <c r="A88" s="1">
        <v>45530</v>
      </c>
      <c r="B88">
        <v>22240.12</v>
      </c>
      <c r="C88" t="str">
        <f t="shared" si="5"/>
        <v>Optiondata_20240826</v>
      </c>
      <c r="D88">
        <f t="shared" si="6"/>
        <v>202409</v>
      </c>
      <c r="E88" s="12">
        <f t="shared" si="7"/>
        <v>45553</v>
      </c>
      <c r="F88" s="13">
        <f t="shared" si="8"/>
        <v>23</v>
      </c>
      <c r="G88">
        <f t="shared" si="9"/>
        <v>7.1000000000000004E-3</v>
      </c>
    </row>
    <row r="89" spans="1:7" ht="15">
      <c r="A89" s="1">
        <v>45527</v>
      </c>
      <c r="B89">
        <v>22158.05</v>
      </c>
      <c r="C89" t="str">
        <f t="shared" si="5"/>
        <v>Optiondata_20240823</v>
      </c>
      <c r="D89">
        <f t="shared" si="6"/>
        <v>202409</v>
      </c>
      <c r="E89" s="12">
        <f t="shared" si="7"/>
        <v>45553</v>
      </c>
      <c r="F89" s="13">
        <f t="shared" si="8"/>
        <v>26</v>
      </c>
      <c r="G89">
        <f t="shared" si="9"/>
        <v>7.1000000000000004E-3</v>
      </c>
    </row>
    <row r="90" spans="1:7" ht="15">
      <c r="A90" s="1">
        <v>45526</v>
      </c>
      <c r="B90">
        <v>22148.83</v>
      </c>
      <c r="C90" t="str">
        <f t="shared" si="5"/>
        <v>Optiondata_20240822</v>
      </c>
      <c r="D90">
        <f t="shared" si="6"/>
        <v>202409</v>
      </c>
      <c r="E90" s="12">
        <f t="shared" si="7"/>
        <v>45553</v>
      </c>
      <c r="F90" s="13">
        <f t="shared" si="8"/>
        <v>27</v>
      </c>
      <c r="G90">
        <f t="shared" si="9"/>
        <v>7.1000000000000004E-3</v>
      </c>
    </row>
    <row r="91" spans="1:7" ht="15">
      <c r="A91" s="1">
        <v>45525</v>
      </c>
      <c r="B91">
        <v>22237.89</v>
      </c>
      <c r="C91" t="str">
        <f t="shared" si="5"/>
        <v>Optiondata_20240821</v>
      </c>
      <c r="D91">
        <f t="shared" si="6"/>
        <v>202408</v>
      </c>
      <c r="E91" s="12">
        <f t="shared" si="7"/>
        <v>45525</v>
      </c>
      <c r="F91" s="13">
        <f t="shared" si="8"/>
        <v>0</v>
      </c>
      <c r="G91">
        <f t="shared" si="9"/>
        <v>7.1000000000000004E-3</v>
      </c>
    </row>
    <row r="92" spans="1:7" ht="15">
      <c r="A92" s="1">
        <v>45524</v>
      </c>
      <c r="B92">
        <v>22429.1</v>
      </c>
      <c r="C92" t="str">
        <f t="shared" si="5"/>
        <v>Optiondata_20240820</v>
      </c>
      <c r="D92">
        <f t="shared" si="6"/>
        <v>202408</v>
      </c>
      <c r="E92" s="12">
        <f t="shared" si="7"/>
        <v>45525</v>
      </c>
      <c r="F92" s="13">
        <f t="shared" si="8"/>
        <v>1</v>
      </c>
      <c r="G92">
        <f t="shared" si="9"/>
        <v>7.1000000000000004E-3</v>
      </c>
    </row>
    <row r="93" spans="1:7" ht="15">
      <c r="A93" s="1">
        <v>45523</v>
      </c>
      <c r="B93">
        <v>22409.63</v>
      </c>
      <c r="C93" t="str">
        <f t="shared" si="5"/>
        <v>Optiondata_20240819</v>
      </c>
      <c r="D93">
        <f t="shared" si="6"/>
        <v>202408</v>
      </c>
      <c r="E93" s="12">
        <f t="shared" si="7"/>
        <v>45525</v>
      </c>
      <c r="F93" s="13">
        <f t="shared" si="8"/>
        <v>2</v>
      </c>
      <c r="G93">
        <f t="shared" si="9"/>
        <v>7.1000000000000004E-3</v>
      </c>
    </row>
    <row r="94" spans="1:7" ht="15">
      <c r="A94" s="1">
        <v>45520</v>
      </c>
      <c r="B94">
        <v>22349.33</v>
      </c>
      <c r="C94" t="str">
        <f t="shared" si="5"/>
        <v>Optiondata_20240816</v>
      </c>
      <c r="D94">
        <f t="shared" si="6"/>
        <v>202408</v>
      </c>
      <c r="E94" s="12">
        <f t="shared" si="7"/>
        <v>45525</v>
      </c>
      <c r="F94" s="13">
        <f t="shared" si="8"/>
        <v>5</v>
      </c>
      <c r="G94">
        <f t="shared" si="9"/>
        <v>7.1000000000000004E-3</v>
      </c>
    </row>
    <row r="95" spans="1:7" ht="15">
      <c r="A95" s="1">
        <v>45519</v>
      </c>
      <c r="B95">
        <v>21895.17</v>
      </c>
      <c r="C95" t="str">
        <f t="shared" si="5"/>
        <v>Optiondata_20240815</v>
      </c>
      <c r="D95">
        <f t="shared" si="6"/>
        <v>202408</v>
      </c>
      <c r="E95" s="12">
        <f t="shared" si="7"/>
        <v>45525</v>
      </c>
      <c r="F95" s="13">
        <f t="shared" si="8"/>
        <v>6</v>
      </c>
      <c r="G95">
        <f t="shared" si="9"/>
        <v>7.1000000000000004E-3</v>
      </c>
    </row>
    <row r="96" spans="1:7" ht="15">
      <c r="A96" s="1">
        <v>45518</v>
      </c>
      <c r="B96">
        <v>22027.25</v>
      </c>
      <c r="C96" t="str">
        <f t="shared" si="5"/>
        <v>Optiondata_20240814</v>
      </c>
      <c r="D96">
        <f t="shared" si="6"/>
        <v>202408</v>
      </c>
      <c r="E96" s="12">
        <f t="shared" si="7"/>
        <v>45525</v>
      </c>
      <c r="F96" s="13">
        <f t="shared" si="8"/>
        <v>7</v>
      </c>
      <c r="G96">
        <f t="shared" si="9"/>
        <v>7.1000000000000004E-3</v>
      </c>
    </row>
    <row r="97" spans="1:7" ht="15">
      <c r="A97" s="1">
        <v>45517</v>
      </c>
      <c r="B97">
        <v>21796.57</v>
      </c>
      <c r="C97" t="str">
        <f t="shared" si="5"/>
        <v>Optiondata_20240813</v>
      </c>
      <c r="D97">
        <f t="shared" si="6"/>
        <v>202408</v>
      </c>
      <c r="E97" s="12">
        <f t="shared" si="7"/>
        <v>45525</v>
      </c>
      <c r="F97" s="13">
        <f t="shared" si="8"/>
        <v>8</v>
      </c>
      <c r="G97">
        <f t="shared" si="9"/>
        <v>7.1000000000000004E-3</v>
      </c>
    </row>
    <row r="98" spans="1:7" ht="15">
      <c r="A98" s="1">
        <v>45516</v>
      </c>
      <c r="B98">
        <v>21773.26</v>
      </c>
      <c r="C98" t="str">
        <f t="shared" si="5"/>
        <v>Optiondata_20240812</v>
      </c>
      <c r="D98">
        <f t="shared" si="6"/>
        <v>202408</v>
      </c>
      <c r="E98" s="12">
        <f t="shared" si="7"/>
        <v>45525</v>
      </c>
      <c r="F98" s="13">
        <f t="shared" si="8"/>
        <v>9</v>
      </c>
      <c r="G98">
        <f t="shared" si="9"/>
        <v>7.1000000000000004E-3</v>
      </c>
    </row>
    <row r="99" spans="1:7" ht="15">
      <c r="A99" s="1">
        <v>45513</v>
      </c>
      <c r="B99">
        <v>21469</v>
      </c>
      <c r="C99" t="str">
        <f t="shared" si="5"/>
        <v>Optiondata_20240809</v>
      </c>
      <c r="D99">
        <f t="shared" si="6"/>
        <v>202408</v>
      </c>
      <c r="E99" s="12">
        <f t="shared" si="7"/>
        <v>45525</v>
      </c>
      <c r="F99" s="13">
        <f t="shared" si="8"/>
        <v>12</v>
      </c>
      <c r="G99">
        <f t="shared" si="9"/>
        <v>7.1000000000000004E-3</v>
      </c>
    </row>
    <row r="100" spans="1:7" ht="15">
      <c r="A100" s="1">
        <v>45512</v>
      </c>
      <c r="B100">
        <v>20870.099999999999</v>
      </c>
      <c r="C100" t="str">
        <f t="shared" si="5"/>
        <v>Optiondata_20240808</v>
      </c>
      <c r="D100">
        <f t="shared" si="6"/>
        <v>202408</v>
      </c>
      <c r="E100" s="12">
        <f t="shared" si="7"/>
        <v>45525</v>
      </c>
      <c r="F100" s="13">
        <f t="shared" si="8"/>
        <v>13</v>
      </c>
      <c r="G100">
        <f t="shared" si="9"/>
        <v>7.1000000000000004E-3</v>
      </c>
    </row>
    <row r="101" spans="1:7" ht="15">
      <c r="A101" s="1">
        <v>45511</v>
      </c>
      <c r="B101">
        <v>21295.279999999999</v>
      </c>
      <c r="C101" t="str">
        <f t="shared" si="5"/>
        <v>Optiondata_20240807</v>
      </c>
      <c r="D101">
        <f t="shared" si="6"/>
        <v>202408</v>
      </c>
      <c r="E101" s="12">
        <f t="shared" si="7"/>
        <v>45525</v>
      </c>
      <c r="F101" s="13">
        <f t="shared" si="8"/>
        <v>14</v>
      </c>
      <c r="G101">
        <f t="shared" si="9"/>
        <v>7.1000000000000004E-3</v>
      </c>
    </row>
    <row r="102" spans="1:7" ht="15">
      <c r="A102" s="1">
        <v>45510</v>
      </c>
      <c r="B102">
        <v>20501.02</v>
      </c>
      <c r="C102" t="str">
        <f t="shared" si="5"/>
        <v>Optiondata_20240806</v>
      </c>
      <c r="D102">
        <f t="shared" si="6"/>
        <v>202408</v>
      </c>
      <c r="E102" s="12">
        <f t="shared" si="7"/>
        <v>45525</v>
      </c>
      <c r="F102" s="13">
        <f t="shared" si="8"/>
        <v>15</v>
      </c>
      <c r="G102">
        <f t="shared" si="9"/>
        <v>7.1000000000000004E-3</v>
      </c>
    </row>
    <row r="103" spans="1:7" ht="15">
      <c r="A103" s="1">
        <v>45509</v>
      </c>
      <c r="B103">
        <v>19830.88</v>
      </c>
      <c r="C103" t="str">
        <f t="shared" si="5"/>
        <v>Optiondata_20240805</v>
      </c>
      <c r="D103">
        <f t="shared" si="6"/>
        <v>202408</v>
      </c>
      <c r="E103" s="12">
        <f t="shared" si="7"/>
        <v>45525</v>
      </c>
      <c r="F103" s="13">
        <f t="shared" si="8"/>
        <v>16</v>
      </c>
      <c r="G103">
        <f t="shared" si="9"/>
        <v>7.1000000000000004E-3</v>
      </c>
    </row>
    <row r="104" spans="1:7" ht="15">
      <c r="A104" s="1">
        <v>45506</v>
      </c>
      <c r="B104">
        <v>21638.09</v>
      </c>
      <c r="C104" t="str">
        <f t="shared" si="5"/>
        <v>Optiondata_20240802</v>
      </c>
      <c r="D104">
        <f t="shared" si="6"/>
        <v>202408</v>
      </c>
      <c r="E104" s="12">
        <f t="shared" si="7"/>
        <v>45525</v>
      </c>
      <c r="F104" s="13">
        <f t="shared" si="8"/>
        <v>19</v>
      </c>
      <c r="G104">
        <f t="shared" si="9"/>
        <v>7.1000000000000004E-3</v>
      </c>
    </row>
    <row r="105" spans="1:7" ht="15">
      <c r="A105" s="1">
        <v>45505</v>
      </c>
      <c r="B105">
        <v>22642.1</v>
      </c>
      <c r="C105" t="str">
        <f t="shared" si="5"/>
        <v>Optiondata_20240801</v>
      </c>
      <c r="D105">
        <f t="shared" si="6"/>
        <v>202408</v>
      </c>
      <c r="E105" s="12">
        <f t="shared" si="7"/>
        <v>45525</v>
      </c>
      <c r="F105" s="13">
        <f t="shared" si="8"/>
        <v>20</v>
      </c>
      <c r="G105">
        <f t="shared" si="9"/>
        <v>7.1000000000000004E-3</v>
      </c>
    </row>
    <row r="106" spans="1:7" ht="15">
      <c r="A106" s="1">
        <v>45504</v>
      </c>
      <c r="B106">
        <v>22199.35</v>
      </c>
      <c r="C106" t="str">
        <f t="shared" si="5"/>
        <v>Optiondata_20240731</v>
      </c>
      <c r="D106">
        <f t="shared" si="6"/>
        <v>202408</v>
      </c>
      <c r="E106" s="12">
        <f t="shared" si="7"/>
        <v>45525</v>
      </c>
      <c r="F106" s="13">
        <f t="shared" si="8"/>
        <v>21</v>
      </c>
      <c r="G106">
        <f t="shared" si="9"/>
        <v>7.1000000000000004E-3</v>
      </c>
    </row>
    <row r="107" spans="1:7" ht="15">
      <c r="A107" s="1">
        <v>45503</v>
      </c>
      <c r="B107">
        <v>22223.57</v>
      </c>
      <c r="C107" t="str">
        <f t="shared" si="5"/>
        <v>Optiondata_20240730</v>
      </c>
      <c r="D107">
        <f t="shared" si="6"/>
        <v>202408</v>
      </c>
      <c r="E107" s="12">
        <f t="shared" si="7"/>
        <v>45525</v>
      </c>
      <c r="F107" s="13">
        <f t="shared" si="8"/>
        <v>22</v>
      </c>
      <c r="G107">
        <f t="shared" si="9"/>
        <v>7.1000000000000004E-3</v>
      </c>
    </row>
    <row r="108" spans="1:7" ht="15">
      <c r="A108" s="1">
        <v>45502</v>
      </c>
      <c r="B108">
        <v>22164.49</v>
      </c>
      <c r="C108" t="str">
        <f t="shared" si="5"/>
        <v>Optiondata_20240729</v>
      </c>
      <c r="D108">
        <f t="shared" si="6"/>
        <v>202408</v>
      </c>
      <c r="E108" s="12">
        <f t="shared" si="7"/>
        <v>45525</v>
      </c>
      <c r="F108" s="13">
        <f t="shared" si="8"/>
        <v>23</v>
      </c>
      <c r="G108">
        <f t="shared" si="9"/>
        <v>7.1000000000000004E-3</v>
      </c>
    </row>
    <row r="109" spans="1:7" ht="15">
      <c r="A109" s="1">
        <v>45499</v>
      </c>
      <c r="B109">
        <v>22119.21</v>
      </c>
      <c r="C109" t="str">
        <f t="shared" si="5"/>
        <v>Optiondata_20240726</v>
      </c>
      <c r="D109">
        <f t="shared" si="6"/>
        <v>202408</v>
      </c>
      <c r="E109" s="12">
        <f t="shared" si="7"/>
        <v>45525</v>
      </c>
      <c r="F109" s="13">
        <f t="shared" si="8"/>
        <v>26</v>
      </c>
      <c r="G109">
        <f t="shared" si="9"/>
        <v>7.1000000000000004E-3</v>
      </c>
    </row>
    <row r="110" spans="1:7" ht="15">
      <c r="A110" s="1">
        <v>45496</v>
      </c>
      <c r="B110">
        <v>22871.84</v>
      </c>
      <c r="C110" t="str">
        <f t="shared" si="5"/>
        <v>Optiondata_20240723</v>
      </c>
      <c r="D110">
        <f t="shared" si="6"/>
        <v>202408</v>
      </c>
      <c r="E110" s="12">
        <f t="shared" si="7"/>
        <v>45525</v>
      </c>
      <c r="F110" s="13">
        <f t="shared" si="8"/>
        <v>29</v>
      </c>
      <c r="G110">
        <f t="shared" si="9"/>
        <v>7.1000000000000004E-3</v>
      </c>
    </row>
    <row r="111" spans="1:7" ht="15">
      <c r="A111" s="1">
        <v>45495</v>
      </c>
      <c r="B111">
        <v>22256.99</v>
      </c>
      <c r="C111" t="str">
        <f t="shared" si="5"/>
        <v>Optiondata_20240722</v>
      </c>
      <c r="D111">
        <f t="shared" si="6"/>
        <v>202408</v>
      </c>
      <c r="E111" s="12">
        <f t="shared" si="7"/>
        <v>45525</v>
      </c>
      <c r="F111" s="13">
        <f t="shared" si="8"/>
        <v>30</v>
      </c>
      <c r="G111">
        <f t="shared" si="9"/>
        <v>7.1000000000000004E-3</v>
      </c>
    </row>
    <row r="112" spans="1:7" ht="15">
      <c r="A112" s="1">
        <v>45492</v>
      </c>
      <c r="B112">
        <v>22869.26</v>
      </c>
      <c r="C112" t="str">
        <f t="shared" si="5"/>
        <v>Optiondata_20240719</v>
      </c>
      <c r="D112">
        <f t="shared" si="6"/>
        <v>202408</v>
      </c>
      <c r="E112" s="12">
        <f t="shared" si="7"/>
        <v>45525</v>
      </c>
      <c r="F112" s="13">
        <f t="shared" si="8"/>
        <v>33</v>
      </c>
      <c r="G112">
        <f t="shared" si="9"/>
        <v>7.1000000000000004E-3</v>
      </c>
    </row>
    <row r="113" spans="1:7" ht="15">
      <c r="A113" s="1">
        <v>45491</v>
      </c>
      <c r="B113">
        <v>23398.47</v>
      </c>
      <c r="C113" t="str">
        <f t="shared" si="5"/>
        <v>Optiondata_20240718</v>
      </c>
      <c r="D113">
        <f t="shared" si="6"/>
        <v>202408</v>
      </c>
      <c r="E113" s="12">
        <f t="shared" si="7"/>
        <v>45525</v>
      </c>
      <c r="F113" s="13">
        <f t="shared" si="8"/>
        <v>34</v>
      </c>
      <c r="G113">
        <f t="shared" si="9"/>
        <v>7.1000000000000004E-3</v>
      </c>
    </row>
    <row r="114" spans="1:7" ht="15">
      <c r="A114" s="1">
        <v>45490</v>
      </c>
      <c r="B114">
        <v>23769.82</v>
      </c>
      <c r="C114" t="str">
        <f t="shared" si="5"/>
        <v>Optiondata_20240717</v>
      </c>
      <c r="D114">
        <f t="shared" si="6"/>
        <v>202407</v>
      </c>
      <c r="E114" s="12">
        <f t="shared" si="7"/>
        <v>45490</v>
      </c>
      <c r="F114" s="13">
        <f t="shared" si="8"/>
        <v>0</v>
      </c>
      <c r="G114">
        <f t="shared" si="9"/>
        <v>7.1000000000000004E-3</v>
      </c>
    </row>
    <row r="115" spans="1:7" ht="15">
      <c r="A115" s="1">
        <v>45489</v>
      </c>
      <c r="B115">
        <v>23997.25</v>
      </c>
      <c r="C115" t="str">
        <f t="shared" si="5"/>
        <v>Optiondata_20240716</v>
      </c>
      <c r="D115">
        <f t="shared" si="6"/>
        <v>202407</v>
      </c>
      <c r="E115" s="12">
        <f t="shared" si="7"/>
        <v>45490</v>
      </c>
      <c r="F115" s="13">
        <f t="shared" si="8"/>
        <v>1</v>
      </c>
      <c r="G115">
        <f t="shared" si="9"/>
        <v>7.1000000000000004E-3</v>
      </c>
    </row>
    <row r="116" spans="1:7" ht="15">
      <c r="A116" s="1">
        <v>45488</v>
      </c>
      <c r="B116">
        <v>23879.360000000001</v>
      </c>
      <c r="C116" t="str">
        <f t="shared" si="5"/>
        <v>Optiondata_20240715</v>
      </c>
      <c r="D116">
        <f t="shared" si="6"/>
        <v>202407</v>
      </c>
      <c r="E116" s="12">
        <f t="shared" si="7"/>
        <v>45490</v>
      </c>
      <c r="F116" s="13">
        <f t="shared" si="8"/>
        <v>2</v>
      </c>
      <c r="G116">
        <f t="shared" si="9"/>
        <v>7.1000000000000004E-3</v>
      </c>
    </row>
    <row r="117" spans="1:7" ht="15">
      <c r="A117" s="1">
        <v>45485</v>
      </c>
      <c r="B117">
        <v>23916.93</v>
      </c>
      <c r="C117" t="str">
        <f t="shared" si="5"/>
        <v>Optiondata_20240712</v>
      </c>
      <c r="D117">
        <f t="shared" si="6"/>
        <v>202407</v>
      </c>
      <c r="E117" s="12">
        <f t="shared" si="7"/>
        <v>45490</v>
      </c>
      <c r="F117" s="13">
        <f t="shared" si="8"/>
        <v>5</v>
      </c>
      <c r="G117">
        <f t="shared" si="9"/>
        <v>7.1000000000000004E-3</v>
      </c>
    </row>
    <row r="118" spans="1:7" ht="15">
      <c r="A118" s="1">
        <v>45484</v>
      </c>
      <c r="B118">
        <v>24390.03</v>
      </c>
      <c r="C118" t="str">
        <f t="shared" si="5"/>
        <v>Optiondata_20240711</v>
      </c>
      <c r="D118">
        <f t="shared" si="6"/>
        <v>202407</v>
      </c>
      <c r="E118" s="12">
        <f t="shared" si="7"/>
        <v>45490</v>
      </c>
      <c r="F118" s="13">
        <f t="shared" si="8"/>
        <v>6</v>
      </c>
      <c r="G118">
        <f t="shared" si="9"/>
        <v>7.1000000000000004E-3</v>
      </c>
    </row>
    <row r="119" spans="1:7" ht="15">
      <c r="A119" s="1">
        <v>45483</v>
      </c>
      <c r="B119">
        <v>24007.08</v>
      </c>
      <c r="C119" t="str">
        <f t="shared" si="5"/>
        <v>Optiondata_20240710</v>
      </c>
      <c r="D119">
        <f t="shared" si="6"/>
        <v>202407</v>
      </c>
      <c r="E119" s="12">
        <f t="shared" si="7"/>
        <v>45490</v>
      </c>
      <c r="F119" s="13">
        <f t="shared" si="8"/>
        <v>7</v>
      </c>
      <c r="G119">
        <f t="shared" si="9"/>
        <v>7.1000000000000004E-3</v>
      </c>
    </row>
    <row r="120" spans="1:7" ht="15">
      <c r="A120" s="1">
        <v>45482</v>
      </c>
      <c r="B120">
        <v>23900.080000000002</v>
      </c>
      <c r="C120" t="str">
        <f t="shared" si="5"/>
        <v>Optiondata_20240709</v>
      </c>
      <c r="D120">
        <f t="shared" si="6"/>
        <v>202407</v>
      </c>
      <c r="E120" s="12">
        <f t="shared" si="7"/>
        <v>45490</v>
      </c>
      <c r="F120" s="13">
        <f t="shared" si="8"/>
        <v>8</v>
      </c>
      <c r="G120">
        <f t="shared" si="9"/>
        <v>7.1000000000000004E-3</v>
      </c>
    </row>
    <row r="121" spans="1:7" ht="15">
      <c r="A121" s="1">
        <v>45481</v>
      </c>
      <c r="B121">
        <v>23878.15</v>
      </c>
      <c r="C121" t="str">
        <f t="shared" si="5"/>
        <v>Optiondata_20240708</v>
      </c>
      <c r="D121">
        <f t="shared" si="6"/>
        <v>202407</v>
      </c>
      <c r="E121" s="12">
        <f t="shared" si="7"/>
        <v>45490</v>
      </c>
      <c r="F121" s="13">
        <f t="shared" si="8"/>
        <v>9</v>
      </c>
      <c r="G121">
        <f t="shared" si="9"/>
        <v>7.1000000000000004E-3</v>
      </c>
    </row>
    <row r="122" spans="1:7" ht="15">
      <c r="A122" s="1">
        <v>45478</v>
      </c>
      <c r="B122">
        <v>23556.59</v>
      </c>
      <c r="C122" t="str">
        <f t="shared" si="5"/>
        <v>Optiondata_20240705</v>
      </c>
      <c r="D122">
        <f t="shared" si="6"/>
        <v>202407</v>
      </c>
      <c r="E122" s="12">
        <f t="shared" si="7"/>
        <v>45490</v>
      </c>
      <c r="F122" s="13">
        <f t="shared" si="8"/>
        <v>12</v>
      </c>
      <c r="G122">
        <f t="shared" si="9"/>
        <v>7.1000000000000004E-3</v>
      </c>
    </row>
    <row r="123" spans="1:7" ht="15">
      <c r="A123" s="1">
        <v>45477</v>
      </c>
      <c r="B123">
        <v>23522.53</v>
      </c>
      <c r="C123" t="str">
        <f t="shared" si="5"/>
        <v>Optiondata_20240704</v>
      </c>
      <c r="D123">
        <f t="shared" si="6"/>
        <v>202407</v>
      </c>
      <c r="E123" s="12">
        <f t="shared" si="7"/>
        <v>45490</v>
      </c>
      <c r="F123" s="13">
        <f t="shared" si="8"/>
        <v>13</v>
      </c>
      <c r="G123">
        <f t="shared" si="9"/>
        <v>7.1000000000000004E-3</v>
      </c>
    </row>
    <row r="124" spans="1:7" ht="15">
      <c r="A124" s="1">
        <v>45476</v>
      </c>
      <c r="B124">
        <v>23172.43</v>
      </c>
      <c r="C124" t="str">
        <f t="shared" si="5"/>
        <v>Optiondata_20240703</v>
      </c>
      <c r="D124">
        <f t="shared" si="6"/>
        <v>202407</v>
      </c>
      <c r="E124" s="12">
        <f t="shared" si="7"/>
        <v>45490</v>
      </c>
      <c r="F124" s="13">
        <f t="shared" si="8"/>
        <v>14</v>
      </c>
      <c r="G124">
        <f t="shared" si="9"/>
        <v>7.1000000000000004E-3</v>
      </c>
    </row>
    <row r="125" spans="1:7" ht="15">
      <c r="A125" s="1">
        <v>45475</v>
      </c>
      <c r="B125">
        <v>22879.37</v>
      </c>
      <c r="C125" t="str">
        <f t="shared" si="5"/>
        <v>Optiondata_20240702</v>
      </c>
      <c r="D125">
        <f t="shared" si="6"/>
        <v>202407</v>
      </c>
      <c r="E125" s="12">
        <f t="shared" si="7"/>
        <v>45490</v>
      </c>
      <c r="F125" s="13">
        <f t="shared" si="8"/>
        <v>15</v>
      </c>
      <c r="G125">
        <f t="shared" si="9"/>
        <v>7.1000000000000004E-3</v>
      </c>
    </row>
    <row r="126" spans="1:7" ht="15">
      <c r="A126" s="1">
        <v>45474</v>
      </c>
      <c r="B126">
        <v>23058.57</v>
      </c>
      <c r="C126" t="str">
        <f t="shared" si="5"/>
        <v>Optiondata_20240701</v>
      </c>
      <c r="D126">
        <f t="shared" si="6"/>
        <v>202407</v>
      </c>
      <c r="E126" s="12">
        <f t="shared" si="7"/>
        <v>45490</v>
      </c>
      <c r="F126" s="13">
        <f t="shared" si="8"/>
        <v>16</v>
      </c>
      <c r="G126">
        <f t="shared" si="9"/>
        <v>7.1000000000000004E-3</v>
      </c>
    </row>
    <row r="127" spans="1:7" ht="15">
      <c r="A127" s="1">
        <v>45471</v>
      </c>
      <c r="B127">
        <v>23032.25</v>
      </c>
      <c r="C127" t="str">
        <f t="shared" si="5"/>
        <v>Optiondata_20240628</v>
      </c>
      <c r="D127">
        <f t="shared" si="6"/>
        <v>202407</v>
      </c>
      <c r="E127" s="12">
        <f t="shared" si="7"/>
        <v>45490</v>
      </c>
      <c r="F127" s="13">
        <f t="shared" si="8"/>
        <v>19</v>
      </c>
      <c r="G127">
        <f t="shared" si="9"/>
        <v>7.1000000000000004E-3</v>
      </c>
    </row>
    <row r="128" spans="1:7" ht="15">
      <c r="A128" s="1">
        <v>45470</v>
      </c>
      <c r="B128">
        <v>22905.98</v>
      </c>
      <c r="C128" t="str">
        <f t="shared" si="5"/>
        <v>Optiondata_20240627</v>
      </c>
      <c r="D128">
        <f t="shared" si="6"/>
        <v>202407</v>
      </c>
      <c r="E128" s="12">
        <f t="shared" si="7"/>
        <v>45490</v>
      </c>
      <c r="F128" s="13">
        <f t="shared" si="8"/>
        <v>20</v>
      </c>
      <c r="G128">
        <f t="shared" si="9"/>
        <v>7.1000000000000004E-3</v>
      </c>
    </row>
    <row r="129" spans="1:7" ht="15">
      <c r="A129" s="1">
        <v>45469</v>
      </c>
      <c r="B129">
        <v>22986.69</v>
      </c>
      <c r="C129" t="str">
        <f t="shared" si="5"/>
        <v>Optiondata_20240626</v>
      </c>
      <c r="D129">
        <f t="shared" si="6"/>
        <v>202407</v>
      </c>
      <c r="E129" s="12">
        <f t="shared" si="7"/>
        <v>45490</v>
      </c>
      <c r="F129" s="13">
        <f t="shared" si="8"/>
        <v>21</v>
      </c>
      <c r="G129">
        <f t="shared" si="9"/>
        <v>7.1000000000000004E-3</v>
      </c>
    </row>
    <row r="130" spans="1:7" ht="15">
      <c r="A130" s="1">
        <v>45468</v>
      </c>
      <c r="B130">
        <v>22875.97</v>
      </c>
      <c r="C130" t="str">
        <f t="shared" si="5"/>
        <v>Optiondata_20240625</v>
      </c>
      <c r="D130">
        <f t="shared" si="6"/>
        <v>202407</v>
      </c>
      <c r="E130" s="12">
        <f t="shared" si="7"/>
        <v>45490</v>
      </c>
      <c r="F130" s="13">
        <f t="shared" si="8"/>
        <v>22</v>
      </c>
      <c r="G130">
        <f t="shared" si="9"/>
        <v>7.1000000000000004E-3</v>
      </c>
    </row>
    <row r="131" spans="1:7" ht="15">
      <c r="A131" s="1">
        <v>45467</v>
      </c>
      <c r="B131">
        <v>22813.7</v>
      </c>
      <c r="C131" t="str">
        <f t="shared" ref="C131:C194" si="10">"Optiondata_"&amp;TEXT(A131,"yyyymmdd")</f>
        <v>Optiondata_20240624</v>
      </c>
      <c r="D131">
        <f t="shared" ref="D131:D194" si="11">_xlfn.XLOOKUP(A131, $K$2:$K$14, $J$2:$J$14, "錯誤", 1)</f>
        <v>202407</v>
      </c>
      <c r="E131" s="12">
        <f t="shared" ref="E131:E194" si="12">_xlfn.XLOOKUP(A131, $K$2:$K$14, $K$2:$K$14, "日期錯誤", 1)</f>
        <v>45490</v>
      </c>
      <c r="F131" s="13">
        <f t="shared" ref="F131:F194" si="13">E131 - A131</f>
        <v>23</v>
      </c>
      <c r="G131">
        <f t="shared" ref="G131:G194" si="14">IF(MONTH(A131)&lt;=3, 0.00585, 0.0071)</f>
        <v>7.1000000000000004E-3</v>
      </c>
    </row>
    <row r="132" spans="1:7" ht="15">
      <c r="A132" s="1">
        <v>45464</v>
      </c>
      <c r="B132">
        <v>23253.39</v>
      </c>
      <c r="C132" t="str">
        <f t="shared" si="10"/>
        <v>Optiondata_20240621</v>
      </c>
      <c r="D132">
        <f t="shared" si="11"/>
        <v>202407</v>
      </c>
      <c r="E132" s="12">
        <f t="shared" si="12"/>
        <v>45490</v>
      </c>
      <c r="F132" s="13">
        <f t="shared" si="13"/>
        <v>26</v>
      </c>
      <c r="G132">
        <f t="shared" si="14"/>
        <v>7.1000000000000004E-3</v>
      </c>
    </row>
    <row r="133" spans="1:7" ht="15">
      <c r="A133" s="1">
        <v>45463</v>
      </c>
      <c r="B133">
        <v>23406.1</v>
      </c>
      <c r="C133" t="str">
        <f t="shared" si="10"/>
        <v>Optiondata_20240620</v>
      </c>
      <c r="D133">
        <f t="shared" si="11"/>
        <v>202407</v>
      </c>
      <c r="E133" s="12">
        <f t="shared" si="12"/>
        <v>45490</v>
      </c>
      <c r="F133" s="13">
        <f t="shared" si="13"/>
        <v>27</v>
      </c>
      <c r="G133">
        <f t="shared" si="14"/>
        <v>7.1000000000000004E-3</v>
      </c>
    </row>
    <row r="134" spans="1:7" ht="15">
      <c r="A134" s="1">
        <v>45462</v>
      </c>
      <c r="B134">
        <v>23209.54</v>
      </c>
      <c r="C134" t="str">
        <f t="shared" si="10"/>
        <v>Optiondata_20240619</v>
      </c>
      <c r="D134">
        <f t="shared" si="11"/>
        <v>202406</v>
      </c>
      <c r="E134" s="12">
        <f t="shared" si="12"/>
        <v>45462</v>
      </c>
      <c r="F134" s="13">
        <f t="shared" si="13"/>
        <v>0</v>
      </c>
      <c r="G134">
        <f t="shared" si="14"/>
        <v>7.1000000000000004E-3</v>
      </c>
    </row>
    <row r="135" spans="1:7" ht="15">
      <c r="A135" s="1">
        <v>45461</v>
      </c>
      <c r="B135">
        <v>22757.43</v>
      </c>
      <c r="C135" t="str">
        <f t="shared" si="10"/>
        <v>Optiondata_20240618</v>
      </c>
      <c r="D135">
        <f t="shared" si="11"/>
        <v>202406</v>
      </c>
      <c r="E135" s="12">
        <f t="shared" si="12"/>
        <v>45462</v>
      </c>
      <c r="F135" s="13">
        <f t="shared" si="13"/>
        <v>1</v>
      </c>
      <c r="G135">
        <f t="shared" si="14"/>
        <v>7.1000000000000004E-3</v>
      </c>
    </row>
    <row r="136" spans="1:7" ht="15">
      <c r="A136" s="1">
        <v>45460</v>
      </c>
      <c r="B136">
        <v>22496.53</v>
      </c>
      <c r="C136" t="str">
        <f t="shared" si="10"/>
        <v>Optiondata_20240617</v>
      </c>
      <c r="D136">
        <f t="shared" si="11"/>
        <v>202406</v>
      </c>
      <c r="E136" s="12">
        <f t="shared" si="12"/>
        <v>45462</v>
      </c>
      <c r="F136" s="13">
        <f t="shared" si="13"/>
        <v>2</v>
      </c>
      <c r="G136">
        <f t="shared" si="14"/>
        <v>7.1000000000000004E-3</v>
      </c>
    </row>
    <row r="137" spans="1:7" ht="15">
      <c r="A137" s="1">
        <v>45457</v>
      </c>
      <c r="B137">
        <v>22504.720000000001</v>
      </c>
      <c r="C137" t="str">
        <f t="shared" si="10"/>
        <v>Optiondata_20240614</v>
      </c>
      <c r="D137">
        <f t="shared" si="11"/>
        <v>202406</v>
      </c>
      <c r="E137" s="12">
        <f t="shared" si="12"/>
        <v>45462</v>
      </c>
      <c r="F137" s="13">
        <f t="shared" si="13"/>
        <v>5</v>
      </c>
      <c r="G137">
        <f t="shared" si="14"/>
        <v>7.1000000000000004E-3</v>
      </c>
    </row>
    <row r="138" spans="1:7" ht="15">
      <c r="A138" s="1">
        <v>45456</v>
      </c>
      <c r="B138">
        <v>22312.04</v>
      </c>
      <c r="C138" t="str">
        <f t="shared" si="10"/>
        <v>Optiondata_20240613</v>
      </c>
      <c r="D138">
        <f t="shared" si="11"/>
        <v>202406</v>
      </c>
      <c r="E138" s="12">
        <f t="shared" si="12"/>
        <v>45462</v>
      </c>
      <c r="F138" s="13">
        <f t="shared" si="13"/>
        <v>6</v>
      </c>
      <c r="G138">
        <f t="shared" si="14"/>
        <v>7.1000000000000004E-3</v>
      </c>
    </row>
    <row r="139" spans="1:7" ht="15">
      <c r="A139" s="1">
        <v>45455</v>
      </c>
      <c r="B139">
        <v>22048.959999999999</v>
      </c>
      <c r="C139" t="str">
        <f t="shared" si="10"/>
        <v>Optiondata_20240612</v>
      </c>
      <c r="D139">
        <f t="shared" si="11"/>
        <v>202406</v>
      </c>
      <c r="E139" s="12">
        <f t="shared" si="12"/>
        <v>45462</v>
      </c>
      <c r="F139" s="13">
        <f t="shared" si="13"/>
        <v>7</v>
      </c>
      <c r="G139">
        <f t="shared" si="14"/>
        <v>7.1000000000000004E-3</v>
      </c>
    </row>
    <row r="140" spans="1:7" ht="15">
      <c r="A140" s="1">
        <v>45454</v>
      </c>
      <c r="B140">
        <v>21792.12</v>
      </c>
      <c r="C140" t="str">
        <f t="shared" si="10"/>
        <v>Optiondata_20240611</v>
      </c>
      <c r="D140">
        <f t="shared" si="11"/>
        <v>202406</v>
      </c>
      <c r="E140" s="12">
        <f t="shared" si="12"/>
        <v>45462</v>
      </c>
      <c r="F140" s="13">
        <f t="shared" si="13"/>
        <v>8</v>
      </c>
      <c r="G140">
        <f t="shared" si="14"/>
        <v>7.1000000000000004E-3</v>
      </c>
    </row>
    <row r="141" spans="1:7" ht="15">
      <c r="A141" s="1">
        <v>45450</v>
      </c>
      <c r="B141">
        <v>21858.38</v>
      </c>
      <c r="C141" t="str">
        <f t="shared" si="10"/>
        <v>Optiondata_20240607</v>
      </c>
      <c r="D141">
        <f t="shared" si="11"/>
        <v>202406</v>
      </c>
      <c r="E141" s="12">
        <f t="shared" si="12"/>
        <v>45462</v>
      </c>
      <c r="F141" s="13">
        <f t="shared" si="13"/>
        <v>12</v>
      </c>
      <c r="G141">
        <f t="shared" si="14"/>
        <v>7.1000000000000004E-3</v>
      </c>
    </row>
    <row r="142" spans="1:7" ht="15">
      <c r="A142" s="1">
        <v>45449</v>
      </c>
      <c r="B142">
        <v>21902.7</v>
      </c>
      <c r="C142" t="str">
        <f t="shared" si="10"/>
        <v>Optiondata_20240606</v>
      </c>
      <c r="D142">
        <f t="shared" si="11"/>
        <v>202406</v>
      </c>
      <c r="E142" s="12">
        <f t="shared" si="12"/>
        <v>45462</v>
      </c>
      <c r="F142" s="13">
        <f t="shared" si="13"/>
        <v>13</v>
      </c>
      <c r="G142">
        <f t="shared" si="14"/>
        <v>7.1000000000000004E-3</v>
      </c>
    </row>
    <row r="143" spans="1:7" ht="15">
      <c r="A143" s="1">
        <v>45448</v>
      </c>
      <c r="B143">
        <v>21484.880000000001</v>
      </c>
      <c r="C143" t="str">
        <f t="shared" si="10"/>
        <v>Optiondata_20240605</v>
      </c>
      <c r="D143">
        <f t="shared" si="11"/>
        <v>202406</v>
      </c>
      <c r="E143" s="12">
        <f t="shared" si="12"/>
        <v>45462</v>
      </c>
      <c r="F143" s="13">
        <f t="shared" si="13"/>
        <v>14</v>
      </c>
      <c r="G143">
        <f t="shared" si="14"/>
        <v>7.1000000000000004E-3</v>
      </c>
    </row>
    <row r="144" spans="1:7" ht="15">
      <c r="A144" s="1">
        <v>45447</v>
      </c>
      <c r="B144">
        <v>21356.62</v>
      </c>
      <c r="C144" t="str">
        <f t="shared" si="10"/>
        <v>Optiondata_20240604</v>
      </c>
      <c r="D144">
        <f t="shared" si="11"/>
        <v>202406</v>
      </c>
      <c r="E144" s="12">
        <f t="shared" si="12"/>
        <v>45462</v>
      </c>
      <c r="F144" s="13">
        <f t="shared" si="13"/>
        <v>15</v>
      </c>
      <c r="G144">
        <f t="shared" si="14"/>
        <v>7.1000000000000004E-3</v>
      </c>
    </row>
    <row r="145" spans="1:7" ht="15">
      <c r="A145" s="1">
        <v>45446</v>
      </c>
      <c r="B145">
        <v>21536.76</v>
      </c>
      <c r="C145" t="str">
        <f t="shared" si="10"/>
        <v>Optiondata_20240603</v>
      </c>
      <c r="D145">
        <f t="shared" si="11"/>
        <v>202406</v>
      </c>
      <c r="E145" s="12">
        <f t="shared" si="12"/>
        <v>45462</v>
      </c>
      <c r="F145" s="13">
        <f t="shared" si="13"/>
        <v>16</v>
      </c>
      <c r="G145">
        <f t="shared" si="14"/>
        <v>7.1000000000000004E-3</v>
      </c>
    </row>
    <row r="146" spans="1:7" ht="15">
      <c r="A146" s="1">
        <v>45443</v>
      </c>
      <c r="B146">
        <v>21174.22</v>
      </c>
      <c r="C146" t="str">
        <f t="shared" si="10"/>
        <v>Optiondata_20240531</v>
      </c>
      <c r="D146">
        <f t="shared" si="11"/>
        <v>202406</v>
      </c>
      <c r="E146" s="12">
        <f t="shared" si="12"/>
        <v>45462</v>
      </c>
      <c r="F146" s="13">
        <f t="shared" si="13"/>
        <v>19</v>
      </c>
      <c r="G146">
        <f t="shared" si="14"/>
        <v>7.1000000000000004E-3</v>
      </c>
    </row>
    <row r="147" spans="1:7" ht="15">
      <c r="A147" s="1">
        <v>45442</v>
      </c>
      <c r="B147">
        <v>21364.48</v>
      </c>
      <c r="C147" t="str">
        <f t="shared" si="10"/>
        <v>Optiondata_20240530</v>
      </c>
      <c r="D147">
        <f t="shared" si="11"/>
        <v>202406</v>
      </c>
      <c r="E147" s="12">
        <f t="shared" si="12"/>
        <v>45462</v>
      </c>
      <c r="F147" s="13">
        <f t="shared" si="13"/>
        <v>20</v>
      </c>
      <c r="G147">
        <f t="shared" si="14"/>
        <v>7.1000000000000004E-3</v>
      </c>
    </row>
    <row r="148" spans="1:7" ht="15">
      <c r="A148" s="1">
        <v>45441</v>
      </c>
      <c r="B148">
        <v>21662.5</v>
      </c>
      <c r="C148" t="str">
        <f t="shared" si="10"/>
        <v>Optiondata_20240529</v>
      </c>
      <c r="D148">
        <f t="shared" si="11"/>
        <v>202406</v>
      </c>
      <c r="E148" s="12">
        <f t="shared" si="12"/>
        <v>45462</v>
      </c>
      <c r="F148" s="13">
        <f t="shared" si="13"/>
        <v>21</v>
      </c>
      <c r="G148">
        <f t="shared" si="14"/>
        <v>7.1000000000000004E-3</v>
      </c>
    </row>
    <row r="149" spans="1:7" ht="15">
      <c r="A149" s="1">
        <v>45440</v>
      </c>
      <c r="B149">
        <v>21858.41</v>
      </c>
      <c r="C149" t="str">
        <f t="shared" si="10"/>
        <v>Optiondata_20240528</v>
      </c>
      <c r="D149">
        <f t="shared" si="11"/>
        <v>202406</v>
      </c>
      <c r="E149" s="12">
        <f t="shared" si="12"/>
        <v>45462</v>
      </c>
      <c r="F149" s="13">
        <f t="shared" si="13"/>
        <v>22</v>
      </c>
      <c r="G149">
        <f t="shared" si="14"/>
        <v>7.1000000000000004E-3</v>
      </c>
    </row>
    <row r="150" spans="1:7" ht="15">
      <c r="A150" s="1">
        <v>45439</v>
      </c>
      <c r="B150">
        <v>21803.77</v>
      </c>
      <c r="C150" t="str">
        <f t="shared" si="10"/>
        <v>Optiondata_20240527</v>
      </c>
      <c r="D150">
        <f t="shared" si="11"/>
        <v>202406</v>
      </c>
      <c r="E150" s="12">
        <f t="shared" si="12"/>
        <v>45462</v>
      </c>
      <c r="F150" s="13">
        <f t="shared" si="13"/>
        <v>23</v>
      </c>
      <c r="G150">
        <f t="shared" si="14"/>
        <v>7.1000000000000004E-3</v>
      </c>
    </row>
    <row r="151" spans="1:7" ht="15">
      <c r="A151" s="1">
        <v>45436</v>
      </c>
      <c r="B151">
        <v>21565.34</v>
      </c>
      <c r="C151" t="str">
        <f t="shared" si="10"/>
        <v>Optiondata_20240524</v>
      </c>
      <c r="D151">
        <f t="shared" si="11"/>
        <v>202406</v>
      </c>
      <c r="E151" s="12">
        <f t="shared" si="12"/>
        <v>45462</v>
      </c>
      <c r="F151" s="13">
        <f t="shared" si="13"/>
        <v>26</v>
      </c>
      <c r="G151">
        <f t="shared" si="14"/>
        <v>7.1000000000000004E-3</v>
      </c>
    </row>
    <row r="152" spans="1:7" ht="15">
      <c r="A152" s="1">
        <v>45435</v>
      </c>
      <c r="B152">
        <v>21607.43</v>
      </c>
      <c r="C152" t="str">
        <f t="shared" si="10"/>
        <v>Optiondata_20240523</v>
      </c>
      <c r="D152">
        <f t="shared" si="11"/>
        <v>202406</v>
      </c>
      <c r="E152" s="12">
        <f t="shared" si="12"/>
        <v>45462</v>
      </c>
      <c r="F152" s="13">
        <f t="shared" si="13"/>
        <v>27</v>
      </c>
      <c r="G152">
        <f t="shared" si="14"/>
        <v>7.1000000000000004E-3</v>
      </c>
    </row>
    <row r="153" spans="1:7" ht="15">
      <c r="A153" s="1">
        <v>45434</v>
      </c>
      <c r="B153">
        <v>21551.83</v>
      </c>
      <c r="C153" t="str">
        <f t="shared" si="10"/>
        <v>Optiondata_20240522</v>
      </c>
      <c r="D153">
        <f t="shared" si="11"/>
        <v>202406</v>
      </c>
      <c r="E153" s="12">
        <f t="shared" si="12"/>
        <v>45462</v>
      </c>
      <c r="F153" s="13">
        <f t="shared" si="13"/>
        <v>28</v>
      </c>
      <c r="G153">
        <f t="shared" si="14"/>
        <v>7.1000000000000004E-3</v>
      </c>
    </row>
    <row r="154" spans="1:7" ht="15">
      <c r="A154" s="1">
        <v>45433</v>
      </c>
      <c r="B154">
        <v>21236.75</v>
      </c>
      <c r="C154" t="str">
        <f t="shared" si="10"/>
        <v>Optiondata_20240521</v>
      </c>
      <c r="D154">
        <f t="shared" si="11"/>
        <v>202406</v>
      </c>
      <c r="E154" s="12">
        <f t="shared" si="12"/>
        <v>45462</v>
      </c>
      <c r="F154" s="13">
        <f t="shared" si="13"/>
        <v>29</v>
      </c>
      <c r="G154">
        <f t="shared" si="14"/>
        <v>7.1000000000000004E-3</v>
      </c>
    </row>
    <row r="155" spans="1:7" ht="15">
      <c r="A155" s="1">
        <v>45432</v>
      </c>
      <c r="B155">
        <v>21271.63</v>
      </c>
      <c r="C155" t="str">
        <f t="shared" si="10"/>
        <v>Optiondata_20240520</v>
      </c>
      <c r="D155">
        <f t="shared" si="11"/>
        <v>202406</v>
      </c>
      <c r="E155" s="12">
        <f t="shared" si="12"/>
        <v>45462</v>
      </c>
      <c r="F155" s="13">
        <f t="shared" si="13"/>
        <v>30</v>
      </c>
      <c r="G155">
        <f t="shared" si="14"/>
        <v>7.1000000000000004E-3</v>
      </c>
    </row>
    <row r="156" spans="1:7" ht="15">
      <c r="A156" s="1">
        <v>45429</v>
      </c>
      <c r="B156">
        <v>21258.47</v>
      </c>
      <c r="C156" t="str">
        <f t="shared" si="10"/>
        <v>Optiondata_20240517</v>
      </c>
      <c r="D156">
        <f t="shared" si="11"/>
        <v>202406</v>
      </c>
      <c r="E156" s="12">
        <f t="shared" si="12"/>
        <v>45462</v>
      </c>
      <c r="F156" s="13">
        <f t="shared" si="13"/>
        <v>33</v>
      </c>
      <c r="G156">
        <f t="shared" si="14"/>
        <v>7.1000000000000004E-3</v>
      </c>
    </row>
    <row r="157" spans="1:7" ht="15">
      <c r="A157" s="1">
        <v>45428</v>
      </c>
      <c r="B157">
        <v>21304.26</v>
      </c>
      <c r="C157" t="str">
        <f t="shared" si="10"/>
        <v>Optiondata_20240516</v>
      </c>
      <c r="D157">
        <f t="shared" si="11"/>
        <v>202406</v>
      </c>
      <c r="E157" s="12">
        <f t="shared" si="12"/>
        <v>45462</v>
      </c>
      <c r="F157" s="13">
        <f t="shared" si="13"/>
        <v>34</v>
      </c>
      <c r="G157">
        <f t="shared" si="14"/>
        <v>7.1000000000000004E-3</v>
      </c>
    </row>
    <row r="158" spans="1:7" ht="15">
      <c r="A158" s="1">
        <v>45427</v>
      </c>
      <c r="B158">
        <v>21147.21</v>
      </c>
      <c r="C158" t="str">
        <f t="shared" si="10"/>
        <v>Optiondata_20240515</v>
      </c>
      <c r="D158">
        <f t="shared" si="11"/>
        <v>202405</v>
      </c>
      <c r="E158" s="12">
        <f t="shared" si="12"/>
        <v>45427</v>
      </c>
      <c r="F158" s="13">
        <f t="shared" si="13"/>
        <v>0</v>
      </c>
      <c r="G158">
        <f t="shared" si="14"/>
        <v>7.1000000000000004E-3</v>
      </c>
    </row>
    <row r="159" spans="1:7" ht="15">
      <c r="A159" s="1">
        <v>45426</v>
      </c>
      <c r="B159">
        <v>20985.85</v>
      </c>
      <c r="C159" t="str">
        <f t="shared" si="10"/>
        <v>Optiondata_20240514</v>
      </c>
      <c r="D159">
        <f t="shared" si="11"/>
        <v>202405</v>
      </c>
      <c r="E159" s="12">
        <f t="shared" si="12"/>
        <v>45427</v>
      </c>
      <c r="F159" s="13">
        <f t="shared" si="13"/>
        <v>1</v>
      </c>
      <c r="G159">
        <f t="shared" si="14"/>
        <v>7.1000000000000004E-3</v>
      </c>
    </row>
    <row r="160" spans="1:7" ht="15">
      <c r="A160" s="1">
        <v>45425</v>
      </c>
      <c r="B160">
        <v>20857.71</v>
      </c>
      <c r="C160" t="str">
        <f t="shared" si="10"/>
        <v>Optiondata_20240513</v>
      </c>
      <c r="D160">
        <f t="shared" si="11"/>
        <v>202405</v>
      </c>
      <c r="E160" s="12">
        <f t="shared" si="12"/>
        <v>45427</v>
      </c>
      <c r="F160" s="13">
        <f t="shared" si="13"/>
        <v>2</v>
      </c>
      <c r="G160">
        <f t="shared" si="14"/>
        <v>7.1000000000000004E-3</v>
      </c>
    </row>
    <row r="161" spans="1:7" ht="15">
      <c r="A161" s="1">
        <v>45422</v>
      </c>
      <c r="B161">
        <v>20708.84</v>
      </c>
      <c r="C161" t="str">
        <f t="shared" si="10"/>
        <v>Optiondata_20240510</v>
      </c>
      <c r="D161">
        <f t="shared" si="11"/>
        <v>202405</v>
      </c>
      <c r="E161" s="12">
        <f t="shared" si="12"/>
        <v>45427</v>
      </c>
      <c r="F161" s="13">
        <f t="shared" si="13"/>
        <v>5</v>
      </c>
      <c r="G161">
        <f t="shared" si="14"/>
        <v>7.1000000000000004E-3</v>
      </c>
    </row>
    <row r="162" spans="1:7" ht="15">
      <c r="A162" s="1">
        <v>45421</v>
      </c>
      <c r="B162">
        <v>20560.77</v>
      </c>
      <c r="C162" t="str">
        <f t="shared" si="10"/>
        <v>Optiondata_20240509</v>
      </c>
      <c r="D162">
        <f t="shared" si="11"/>
        <v>202405</v>
      </c>
      <c r="E162" s="12">
        <f t="shared" si="12"/>
        <v>45427</v>
      </c>
      <c r="F162" s="13">
        <f t="shared" si="13"/>
        <v>6</v>
      </c>
      <c r="G162">
        <f t="shared" si="14"/>
        <v>7.1000000000000004E-3</v>
      </c>
    </row>
    <row r="163" spans="1:7" ht="15">
      <c r="A163" s="1">
        <v>45420</v>
      </c>
      <c r="B163">
        <v>20700.509999999998</v>
      </c>
      <c r="C163" t="str">
        <f t="shared" si="10"/>
        <v>Optiondata_20240508</v>
      </c>
      <c r="D163">
        <f t="shared" si="11"/>
        <v>202405</v>
      </c>
      <c r="E163" s="12">
        <f t="shared" si="12"/>
        <v>45427</v>
      </c>
      <c r="F163" s="13">
        <f t="shared" si="13"/>
        <v>7</v>
      </c>
      <c r="G163">
        <f t="shared" si="14"/>
        <v>7.1000000000000004E-3</v>
      </c>
    </row>
    <row r="164" spans="1:7" ht="15">
      <c r="A164" s="1">
        <v>45419</v>
      </c>
      <c r="B164">
        <v>20653.53</v>
      </c>
      <c r="C164" t="str">
        <f t="shared" si="10"/>
        <v>Optiondata_20240507</v>
      </c>
      <c r="D164">
        <f t="shared" si="11"/>
        <v>202405</v>
      </c>
      <c r="E164" s="12">
        <f t="shared" si="12"/>
        <v>45427</v>
      </c>
      <c r="F164" s="13">
        <f t="shared" si="13"/>
        <v>8</v>
      </c>
      <c r="G164">
        <f t="shared" si="14"/>
        <v>7.1000000000000004E-3</v>
      </c>
    </row>
    <row r="165" spans="1:7" ht="15">
      <c r="A165" s="1">
        <v>45418</v>
      </c>
      <c r="B165">
        <v>20523.310000000001</v>
      </c>
      <c r="C165" t="str">
        <f t="shared" si="10"/>
        <v>Optiondata_20240506</v>
      </c>
      <c r="D165">
        <f t="shared" si="11"/>
        <v>202405</v>
      </c>
      <c r="E165" s="12">
        <f t="shared" si="12"/>
        <v>45427</v>
      </c>
      <c r="F165" s="13">
        <f t="shared" si="13"/>
        <v>9</v>
      </c>
      <c r="G165">
        <f t="shared" si="14"/>
        <v>7.1000000000000004E-3</v>
      </c>
    </row>
    <row r="166" spans="1:7" ht="15">
      <c r="A166" s="1">
        <v>45415</v>
      </c>
      <c r="B166">
        <v>20330.32</v>
      </c>
      <c r="C166" t="str">
        <f t="shared" si="10"/>
        <v>Optiondata_20240503</v>
      </c>
      <c r="D166">
        <f t="shared" si="11"/>
        <v>202405</v>
      </c>
      <c r="E166" s="12">
        <f t="shared" si="12"/>
        <v>45427</v>
      </c>
      <c r="F166" s="13">
        <f t="shared" si="13"/>
        <v>12</v>
      </c>
      <c r="G166">
        <f t="shared" si="14"/>
        <v>7.1000000000000004E-3</v>
      </c>
    </row>
    <row r="167" spans="1:7" ht="15">
      <c r="A167" s="1">
        <v>45414</v>
      </c>
      <c r="B167">
        <v>20222.439999999999</v>
      </c>
      <c r="C167" t="str">
        <f t="shared" si="10"/>
        <v>Optiondata_20240502</v>
      </c>
      <c r="D167">
        <f t="shared" si="11"/>
        <v>202405</v>
      </c>
      <c r="E167" s="12">
        <f t="shared" si="12"/>
        <v>45427</v>
      </c>
      <c r="F167" s="13">
        <f t="shared" si="13"/>
        <v>13</v>
      </c>
      <c r="G167">
        <f t="shared" si="14"/>
        <v>7.1000000000000004E-3</v>
      </c>
    </row>
    <row r="168" spans="1:7" ht="15">
      <c r="A168" s="1">
        <v>45412</v>
      </c>
      <c r="B168">
        <v>20396.599999999999</v>
      </c>
      <c r="C168" t="str">
        <f t="shared" si="10"/>
        <v>Optiondata_20240430</v>
      </c>
      <c r="D168">
        <f t="shared" si="11"/>
        <v>202405</v>
      </c>
      <c r="E168" s="12">
        <f t="shared" si="12"/>
        <v>45427</v>
      </c>
      <c r="F168" s="13">
        <f t="shared" si="13"/>
        <v>15</v>
      </c>
      <c r="G168">
        <f t="shared" si="14"/>
        <v>7.1000000000000004E-3</v>
      </c>
    </row>
    <row r="169" spans="1:7" ht="15">
      <c r="A169" s="1">
        <v>45411</v>
      </c>
      <c r="B169">
        <v>20495.52</v>
      </c>
      <c r="C169" t="str">
        <f t="shared" si="10"/>
        <v>Optiondata_20240429</v>
      </c>
      <c r="D169">
        <f t="shared" si="11"/>
        <v>202405</v>
      </c>
      <c r="E169" s="12">
        <f t="shared" si="12"/>
        <v>45427</v>
      </c>
      <c r="F169" s="13">
        <f t="shared" si="13"/>
        <v>16</v>
      </c>
      <c r="G169">
        <f t="shared" si="14"/>
        <v>7.1000000000000004E-3</v>
      </c>
    </row>
    <row r="170" spans="1:7" ht="15">
      <c r="A170" s="1">
        <v>45408</v>
      </c>
      <c r="B170">
        <v>20120.509999999998</v>
      </c>
      <c r="C170" t="str">
        <f t="shared" si="10"/>
        <v>Optiondata_20240426</v>
      </c>
      <c r="D170">
        <f t="shared" si="11"/>
        <v>202405</v>
      </c>
      <c r="E170" s="12">
        <f t="shared" si="12"/>
        <v>45427</v>
      </c>
      <c r="F170" s="13">
        <f t="shared" si="13"/>
        <v>19</v>
      </c>
      <c r="G170">
        <f t="shared" si="14"/>
        <v>7.1000000000000004E-3</v>
      </c>
    </row>
    <row r="171" spans="1:7" ht="15">
      <c r="A171" s="1">
        <v>45407</v>
      </c>
      <c r="B171">
        <v>19857.419999999998</v>
      </c>
      <c r="C171" t="str">
        <f t="shared" si="10"/>
        <v>Optiondata_20240425</v>
      </c>
      <c r="D171">
        <f t="shared" si="11"/>
        <v>202405</v>
      </c>
      <c r="E171" s="12">
        <f t="shared" si="12"/>
        <v>45427</v>
      </c>
      <c r="F171" s="13">
        <f t="shared" si="13"/>
        <v>20</v>
      </c>
      <c r="G171">
        <f t="shared" si="14"/>
        <v>7.1000000000000004E-3</v>
      </c>
    </row>
    <row r="172" spans="1:7" ht="15">
      <c r="A172" s="1">
        <v>45406</v>
      </c>
      <c r="B172">
        <v>20131.740000000002</v>
      </c>
      <c r="C172" t="str">
        <f t="shared" si="10"/>
        <v>Optiondata_20240424</v>
      </c>
      <c r="D172">
        <f t="shared" si="11"/>
        <v>202405</v>
      </c>
      <c r="E172" s="12">
        <f t="shared" si="12"/>
        <v>45427</v>
      </c>
      <c r="F172" s="13">
        <f t="shared" si="13"/>
        <v>21</v>
      </c>
      <c r="G172">
        <f t="shared" si="14"/>
        <v>7.1000000000000004E-3</v>
      </c>
    </row>
    <row r="173" spans="1:7" ht="15">
      <c r="A173" s="1">
        <v>45405</v>
      </c>
      <c r="B173">
        <v>19599.28</v>
      </c>
      <c r="C173" t="str">
        <f t="shared" si="10"/>
        <v>Optiondata_20240423</v>
      </c>
      <c r="D173">
        <f t="shared" si="11"/>
        <v>202405</v>
      </c>
      <c r="E173" s="12">
        <f t="shared" si="12"/>
        <v>45427</v>
      </c>
      <c r="F173" s="13">
        <f t="shared" si="13"/>
        <v>22</v>
      </c>
      <c r="G173">
        <f t="shared" si="14"/>
        <v>7.1000000000000004E-3</v>
      </c>
    </row>
    <row r="174" spans="1:7" ht="15">
      <c r="A174" s="1">
        <v>45404</v>
      </c>
      <c r="B174">
        <v>19411.22</v>
      </c>
      <c r="C174" t="str">
        <f t="shared" si="10"/>
        <v>Optiondata_20240422</v>
      </c>
      <c r="D174">
        <f t="shared" si="11"/>
        <v>202405</v>
      </c>
      <c r="E174" s="12">
        <f t="shared" si="12"/>
        <v>45427</v>
      </c>
      <c r="F174" s="13">
        <f t="shared" si="13"/>
        <v>23</v>
      </c>
      <c r="G174">
        <f t="shared" si="14"/>
        <v>7.1000000000000004E-3</v>
      </c>
    </row>
    <row r="175" spans="1:7" ht="15">
      <c r="A175" s="1">
        <v>45401</v>
      </c>
      <c r="B175">
        <v>19527.12</v>
      </c>
      <c r="C175" t="str">
        <f t="shared" si="10"/>
        <v>Optiondata_20240419</v>
      </c>
      <c r="D175">
        <f t="shared" si="11"/>
        <v>202405</v>
      </c>
      <c r="E175" s="12">
        <f t="shared" si="12"/>
        <v>45427</v>
      </c>
      <c r="F175" s="13">
        <f t="shared" si="13"/>
        <v>26</v>
      </c>
      <c r="G175">
        <f t="shared" si="14"/>
        <v>7.1000000000000004E-3</v>
      </c>
    </row>
    <row r="176" spans="1:7" ht="15">
      <c r="A176" s="1">
        <v>45400</v>
      </c>
      <c r="B176">
        <v>20301.2</v>
      </c>
      <c r="C176" t="str">
        <f t="shared" si="10"/>
        <v>Optiondata_20240418</v>
      </c>
      <c r="D176">
        <f t="shared" si="11"/>
        <v>202405</v>
      </c>
      <c r="E176" s="12">
        <f t="shared" si="12"/>
        <v>45427</v>
      </c>
      <c r="F176" s="13">
        <f t="shared" si="13"/>
        <v>27</v>
      </c>
      <c r="G176">
        <f t="shared" si="14"/>
        <v>7.1000000000000004E-3</v>
      </c>
    </row>
    <row r="177" spans="1:7" ht="15">
      <c r="A177" s="1">
        <v>45399</v>
      </c>
      <c r="B177">
        <v>20213.330000000002</v>
      </c>
      <c r="C177" t="str">
        <f t="shared" si="10"/>
        <v>Optiondata_20240417</v>
      </c>
      <c r="D177">
        <f t="shared" si="11"/>
        <v>202404</v>
      </c>
      <c r="E177" s="12">
        <f t="shared" si="12"/>
        <v>45399</v>
      </c>
      <c r="F177" s="13">
        <f t="shared" si="13"/>
        <v>0</v>
      </c>
      <c r="G177">
        <f t="shared" si="14"/>
        <v>7.1000000000000004E-3</v>
      </c>
    </row>
    <row r="178" spans="1:7" ht="15">
      <c r="A178" s="1">
        <v>45398</v>
      </c>
      <c r="B178">
        <v>19901.96</v>
      </c>
      <c r="C178" t="str">
        <f t="shared" si="10"/>
        <v>Optiondata_20240416</v>
      </c>
      <c r="D178">
        <f t="shared" si="11"/>
        <v>202404</v>
      </c>
      <c r="E178" s="12">
        <f t="shared" si="12"/>
        <v>45399</v>
      </c>
      <c r="F178" s="13">
        <f t="shared" si="13"/>
        <v>1</v>
      </c>
      <c r="G178">
        <f t="shared" si="14"/>
        <v>7.1000000000000004E-3</v>
      </c>
    </row>
    <row r="179" spans="1:7" ht="15">
      <c r="A179" s="1">
        <v>45397</v>
      </c>
      <c r="B179">
        <v>20449.77</v>
      </c>
      <c r="C179" t="str">
        <f t="shared" si="10"/>
        <v>Optiondata_20240415</v>
      </c>
      <c r="D179">
        <f t="shared" si="11"/>
        <v>202404</v>
      </c>
      <c r="E179" s="12">
        <f t="shared" si="12"/>
        <v>45399</v>
      </c>
      <c r="F179" s="13">
        <f t="shared" si="13"/>
        <v>2</v>
      </c>
      <c r="G179">
        <f t="shared" si="14"/>
        <v>7.1000000000000004E-3</v>
      </c>
    </row>
    <row r="180" spans="1:7" ht="15">
      <c r="A180" s="1">
        <v>45394</v>
      </c>
      <c r="B180">
        <v>20736.57</v>
      </c>
      <c r="C180" t="str">
        <f t="shared" si="10"/>
        <v>Optiondata_20240412</v>
      </c>
      <c r="D180">
        <f t="shared" si="11"/>
        <v>202404</v>
      </c>
      <c r="E180" s="12">
        <f t="shared" si="12"/>
        <v>45399</v>
      </c>
      <c r="F180" s="13">
        <f t="shared" si="13"/>
        <v>5</v>
      </c>
      <c r="G180">
        <f t="shared" si="14"/>
        <v>7.1000000000000004E-3</v>
      </c>
    </row>
    <row r="181" spans="1:7" ht="15">
      <c r="A181" s="1">
        <v>45393</v>
      </c>
      <c r="B181">
        <v>20753.22</v>
      </c>
      <c r="C181" t="str">
        <f t="shared" si="10"/>
        <v>Optiondata_20240411</v>
      </c>
      <c r="D181">
        <f t="shared" si="11"/>
        <v>202404</v>
      </c>
      <c r="E181" s="12">
        <f t="shared" si="12"/>
        <v>45399</v>
      </c>
      <c r="F181" s="13">
        <f t="shared" si="13"/>
        <v>6</v>
      </c>
      <c r="G181">
        <f t="shared" si="14"/>
        <v>7.1000000000000004E-3</v>
      </c>
    </row>
    <row r="182" spans="1:7" ht="15">
      <c r="A182" s="1">
        <v>45392</v>
      </c>
      <c r="B182">
        <v>20763.53</v>
      </c>
      <c r="C182" t="str">
        <f t="shared" si="10"/>
        <v>Optiondata_20240410</v>
      </c>
      <c r="D182">
        <f t="shared" si="11"/>
        <v>202404</v>
      </c>
      <c r="E182" s="12">
        <f t="shared" si="12"/>
        <v>45399</v>
      </c>
      <c r="F182" s="13">
        <f t="shared" si="13"/>
        <v>7</v>
      </c>
      <c r="G182">
        <f t="shared" si="14"/>
        <v>7.1000000000000004E-3</v>
      </c>
    </row>
    <row r="183" spans="1:7" ht="15">
      <c r="A183" s="1">
        <v>45391</v>
      </c>
      <c r="B183">
        <v>20796.2</v>
      </c>
      <c r="C183" t="str">
        <f t="shared" si="10"/>
        <v>Optiondata_20240409</v>
      </c>
      <c r="D183">
        <f t="shared" si="11"/>
        <v>202404</v>
      </c>
      <c r="E183" s="12">
        <f t="shared" si="12"/>
        <v>45399</v>
      </c>
      <c r="F183" s="13">
        <f t="shared" si="13"/>
        <v>8</v>
      </c>
      <c r="G183">
        <f t="shared" si="14"/>
        <v>7.1000000000000004E-3</v>
      </c>
    </row>
    <row r="184" spans="1:7" ht="15">
      <c r="A184" s="1">
        <v>45390</v>
      </c>
      <c r="B184">
        <v>20417.7</v>
      </c>
      <c r="C184" t="str">
        <f t="shared" si="10"/>
        <v>Optiondata_20240408</v>
      </c>
      <c r="D184">
        <f t="shared" si="11"/>
        <v>202404</v>
      </c>
      <c r="E184" s="12">
        <f t="shared" si="12"/>
        <v>45399</v>
      </c>
      <c r="F184" s="13">
        <f t="shared" si="13"/>
        <v>9</v>
      </c>
      <c r="G184">
        <f t="shared" si="14"/>
        <v>7.1000000000000004E-3</v>
      </c>
    </row>
    <row r="185" spans="1:7" ht="15">
      <c r="A185" s="1">
        <v>45385</v>
      </c>
      <c r="B185">
        <v>20337.599999999999</v>
      </c>
      <c r="C185" t="str">
        <f t="shared" si="10"/>
        <v>Optiondata_20240403</v>
      </c>
      <c r="D185">
        <f t="shared" si="11"/>
        <v>202404</v>
      </c>
      <c r="E185" s="12">
        <f t="shared" si="12"/>
        <v>45399</v>
      </c>
      <c r="F185" s="13">
        <f t="shared" si="13"/>
        <v>14</v>
      </c>
      <c r="G185">
        <f t="shared" si="14"/>
        <v>7.1000000000000004E-3</v>
      </c>
    </row>
    <row r="186" spans="1:7" ht="15">
      <c r="A186" s="1">
        <v>45384</v>
      </c>
      <c r="B186">
        <v>20466.57</v>
      </c>
      <c r="C186" t="str">
        <f t="shared" si="10"/>
        <v>Optiondata_20240402</v>
      </c>
      <c r="D186">
        <f t="shared" si="11"/>
        <v>202404</v>
      </c>
      <c r="E186" s="12">
        <f t="shared" si="12"/>
        <v>45399</v>
      </c>
      <c r="F186" s="13">
        <f t="shared" si="13"/>
        <v>15</v>
      </c>
      <c r="G186">
        <f t="shared" si="14"/>
        <v>7.1000000000000004E-3</v>
      </c>
    </row>
    <row r="187" spans="1:7" ht="15">
      <c r="A187" s="1">
        <v>45383</v>
      </c>
      <c r="B187">
        <v>20222.330000000002</v>
      </c>
      <c r="C187" t="str">
        <f t="shared" si="10"/>
        <v>Optiondata_20240401</v>
      </c>
      <c r="D187">
        <f t="shared" si="11"/>
        <v>202404</v>
      </c>
      <c r="E187" s="12">
        <f t="shared" si="12"/>
        <v>45399</v>
      </c>
      <c r="F187" s="13">
        <f t="shared" si="13"/>
        <v>16</v>
      </c>
      <c r="G187">
        <f t="shared" si="14"/>
        <v>7.1000000000000004E-3</v>
      </c>
    </row>
    <row r="188" spans="1:7" ht="15">
      <c r="A188" s="1">
        <v>45380</v>
      </c>
      <c r="B188">
        <v>20294.45</v>
      </c>
      <c r="C188" t="str">
        <f t="shared" si="10"/>
        <v>Optiondata_20240329</v>
      </c>
      <c r="D188">
        <f t="shared" si="11"/>
        <v>202404</v>
      </c>
      <c r="E188" s="12">
        <f t="shared" si="12"/>
        <v>45399</v>
      </c>
      <c r="F188" s="13">
        <f t="shared" si="13"/>
        <v>19</v>
      </c>
      <c r="G188">
        <f t="shared" si="14"/>
        <v>5.8500000000000002E-3</v>
      </c>
    </row>
    <row r="189" spans="1:7" ht="15">
      <c r="A189" s="1">
        <v>45379</v>
      </c>
      <c r="B189">
        <v>20146.55</v>
      </c>
      <c r="C189" t="str">
        <f t="shared" si="10"/>
        <v>Optiondata_20240328</v>
      </c>
      <c r="D189">
        <f t="shared" si="11"/>
        <v>202404</v>
      </c>
      <c r="E189" s="12">
        <f t="shared" si="12"/>
        <v>45399</v>
      </c>
      <c r="F189" s="13">
        <f t="shared" si="13"/>
        <v>20</v>
      </c>
      <c r="G189">
        <f t="shared" si="14"/>
        <v>5.8500000000000002E-3</v>
      </c>
    </row>
    <row r="190" spans="1:7" ht="15">
      <c r="A190" s="1">
        <v>45378</v>
      </c>
      <c r="B190">
        <v>20200.12</v>
      </c>
      <c r="C190" t="str">
        <f t="shared" si="10"/>
        <v>Optiondata_20240327</v>
      </c>
      <c r="D190">
        <f t="shared" si="11"/>
        <v>202404</v>
      </c>
      <c r="E190" s="12">
        <f t="shared" si="12"/>
        <v>45399</v>
      </c>
      <c r="F190" s="13">
        <f t="shared" si="13"/>
        <v>21</v>
      </c>
      <c r="G190">
        <f t="shared" si="14"/>
        <v>5.8500000000000002E-3</v>
      </c>
    </row>
    <row r="191" spans="1:7" ht="15">
      <c r="A191" s="1">
        <v>45377</v>
      </c>
      <c r="B191">
        <v>20126.490000000002</v>
      </c>
      <c r="C191" t="str">
        <f t="shared" si="10"/>
        <v>Optiondata_20240326</v>
      </c>
      <c r="D191">
        <f t="shared" si="11"/>
        <v>202404</v>
      </c>
      <c r="E191" s="12">
        <f t="shared" si="12"/>
        <v>45399</v>
      </c>
      <c r="F191" s="13">
        <f t="shared" si="13"/>
        <v>22</v>
      </c>
      <c r="G191">
        <f t="shared" si="14"/>
        <v>5.8500000000000002E-3</v>
      </c>
    </row>
    <row r="192" spans="1:7" ht="15">
      <c r="A192" s="1">
        <v>45376</v>
      </c>
      <c r="B192">
        <v>20192.25</v>
      </c>
      <c r="C192" t="str">
        <f t="shared" si="10"/>
        <v>Optiondata_20240325</v>
      </c>
      <c r="D192">
        <f t="shared" si="11"/>
        <v>202404</v>
      </c>
      <c r="E192" s="12">
        <f t="shared" si="12"/>
        <v>45399</v>
      </c>
      <c r="F192" s="13">
        <f t="shared" si="13"/>
        <v>23</v>
      </c>
      <c r="G192">
        <f t="shared" si="14"/>
        <v>5.8500000000000002E-3</v>
      </c>
    </row>
    <row r="193" spans="1:7" ht="15">
      <c r="A193" s="1">
        <v>45373</v>
      </c>
      <c r="B193">
        <v>20228.43</v>
      </c>
      <c r="C193" t="str">
        <f t="shared" si="10"/>
        <v>Optiondata_20240322</v>
      </c>
      <c r="D193">
        <f t="shared" si="11"/>
        <v>202404</v>
      </c>
      <c r="E193" s="12">
        <f t="shared" si="12"/>
        <v>45399</v>
      </c>
      <c r="F193" s="13">
        <f t="shared" si="13"/>
        <v>26</v>
      </c>
      <c r="G193">
        <f t="shared" si="14"/>
        <v>5.8500000000000002E-3</v>
      </c>
    </row>
    <row r="194" spans="1:7" ht="15">
      <c r="A194" s="1">
        <v>45372</v>
      </c>
      <c r="B194">
        <v>20199.09</v>
      </c>
      <c r="C194" t="str">
        <f t="shared" si="10"/>
        <v>Optiondata_20240321</v>
      </c>
      <c r="D194">
        <f t="shared" si="11"/>
        <v>202404</v>
      </c>
      <c r="E194" s="12">
        <f t="shared" si="12"/>
        <v>45399</v>
      </c>
      <c r="F194" s="13">
        <f t="shared" si="13"/>
        <v>27</v>
      </c>
      <c r="G194">
        <f t="shared" si="14"/>
        <v>5.8500000000000002E-3</v>
      </c>
    </row>
    <row r="195" spans="1:7" ht="15">
      <c r="A195" s="1">
        <v>45371</v>
      </c>
      <c r="B195">
        <v>19784.45</v>
      </c>
      <c r="C195" t="str">
        <f t="shared" ref="C195:C243" si="15">"Optiondata_"&amp;TEXT(A195,"yyyymmdd")</f>
        <v>Optiondata_20240320</v>
      </c>
      <c r="D195">
        <f t="shared" ref="D195:D243" si="16">_xlfn.XLOOKUP(A195, $K$2:$K$14, $J$2:$J$14, "錯誤", 1)</f>
        <v>202403</v>
      </c>
      <c r="E195" s="12">
        <f t="shared" ref="E195:E243" si="17">_xlfn.XLOOKUP(A195, $K$2:$K$14, $K$2:$K$14, "日期錯誤", 1)</f>
        <v>45371</v>
      </c>
      <c r="F195" s="13">
        <f t="shared" ref="F195:F243" si="18">E195 - A195</f>
        <v>0</v>
      </c>
      <c r="G195">
        <f t="shared" ref="G195:G243" si="19">IF(MONTH(A195)&lt;=3, 0.00585, 0.0071)</f>
        <v>5.8500000000000002E-3</v>
      </c>
    </row>
    <row r="196" spans="1:7" ht="15">
      <c r="A196" s="1">
        <v>45370</v>
      </c>
      <c r="B196">
        <v>19857.2</v>
      </c>
      <c r="C196" t="str">
        <f t="shared" si="15"/>
        <v>Optiondata_20240319</v>
      </c>
      <c r="D196">
        <f t="shared" si="16"/>
        <v>202403</v>
      </c>
      <c r="E196" s="12">
        <f t="shared" si="17"/>
        <v>45371</v>
      </c>
      <c r="F196" s="13">
        <f t="shared" si="18"/>
        <v>1</v>
      </c>
      <c r="G196">
        <f t="shared" si="19"/>
        <v>5.8500000000000002E-3</v>
      </c>
    </row>
    <row r="197" spans="1:7" ht="15">
      <c r="A197" s="1">
        <v>45369</v>
      </c>
      <c r="B197">
        <v>19879.849999999999</v>
      </c>
      <c r="C197" t="str">
        <f t="shared" si="15"/>
        <v>Optiondata_20240318</v>
      </c>
      <c r="D197">
        <f t="shared" si="16"/>
        <v>202403</v>
      </c>
      <c r="E197" s="12">
        <f t="shared" si="17"/>
        <v>45371</v>
      </c>
      <c r="F197" s="13">
        <f t="shared" si="18"/>
        <v>2</v>
      </c>
      <c r="G197">
        <f t="shared" si="19"/>
        <v>5.8500000000000002E-3</v>
      </c>
    </row>
    <row r="198" spans="1:7" ht="15">
      <c r="A198" s="1">
        <v>45366</v>
      </c>
      <c r="B198">
        <v>19682.5</v>
      </c>
      <c r="C198" t="str">
        <f t="shared" si="15"/>
        <v>Optiondata_20240315</v>
      </c>
      <c r="D198">
        <f t="shared" si="16"/>
        <v>202403</v>
      </c>
      <c r="E198" s="12">
        <f t="shared" si="17"/>
        <v>45371</v>
      </c>
      <c r="F198" s="13">
        <f t="shared" si="18"/>
        <v>5</v>
      </c>
      <c r="G198">
        <f t="shared" si="19"/>
        <v>5.8500000000000002E-3</v>
      </c>
    </row>
    <row r="199" spans="1:7" ht="15">
      <c r="A199" s="1">
        <v>45365</v>
      </c>
      <c r="B199">
        <v>19937.919999999998</v>
      </c>
      <c r="C199" t="str">
        <f t="shared" si="15"/>
        <v>Optiondata_20240314</v>
      </c>
      <c r="D199">
        <f t="shared" si="16"/>
        <v>202403</v>
      </c>
      <c r="E199" s="12">
        <f t="shared" si="17"/>
        <v>45371</v>
      </c>
      <c r="F199" s="13">
        <f t="shared" si="18"/>
        <v>6</v>
      </c>
      <c r="G199">
        <f t="shared" si="19"/>
        <v>5.8500000000000002E-3</v>
      </c>
    </row>
    <row r="200" spans="1:7" ht="15">
      <c r="A200" s="1">
        <v>45364</v>
      </c>
      <c r="B200">
        <v>19928.509999999998</v>
      </c>
      <c r="C200" t="str">
        <f t="shared" si="15"/>
        <v>Optiondata_20240313</v>
      </c>
      <c r="D200">
        <f t="shared" si="16"/>
        <v>202403</v>
      </c>
      <c r="E200" s="12">
        <f t="shared" si="17"/>
        <v>45371</v>
      </c>
      <c r="F200" s="13">
        <f t="shared" si="18"/>
        <v>7</v>
      </c>
      <c r="G200">
        <f t="shared" si="19"/>
        <v>5.8500000000000002E-3</v>
      </c>
    </row>
    <row r="201" spans="1:7" ht="15">
      <c r="A201" s="1">
        <v>45363</v>
      </c>
      <c r="B201">
        <v>19914.55</v>
      </c>
      <c r="C201" t="str">
        <f t="shared" si="15"/>
        <v>Optiondata_20240312</v>
      </c>
      <c r="D201">
        <f t="shared" si="16"/>
        <v>202403</v>
      </c>
      <c r="E201" s="12">
        <f t="shared" si="17"/>
        <v>45371</v>
      </c>
      <c r="F201" s="13">
        <f t="shared" si="18"/>
        <v>8</v>
      </c>
      <c r="G201">
        <f t="shared" si="19"/>
        <v>5.8500000000000002E-3</v>
      </c>
    </row>
    <row r="202" spans="1:7" ht="15">
      <c r="A202" s="1">
        <v>45362</v>
      </c>
      <c r="B202">
        <v>19726.080000000002</v>
      </c>
      <c r="C202" t="str">
        <f t="shared" si="15"/>
        <v>Optiondata_20240311</v>
      </c>
      <c r="D202">
        <f t="shared" si="16"/>
        <v>202403</v>
      </c>
      <c r="E202" s="12">
        <f t="shared" si="17"/>
        <v>45371</v>
      </c>
      <c r="F202" s="13">
        <f t="shared" si="18"/>
        <v>9</v>
      </c>
      <c r="G202">
        <f t="shared" si="19"/>
        <v>5.8500000000000002E-3</v>
      </c>
    </row>
    <row r="203" spans="1:7" ht="15">
      <c r="A203" s="1">
        <v>45359</v>
      </c>
      <c r="B203">
        <v>19785.32</v>
      </c>
      <c r="C203" t="str">
        <f t="shared" si="15"/>
        <v>Optiondata_20240308</v>
      </c>
      <c r="D203">
        <f t="shared" si="16"/>
        <v>202403</v>
      </c>
      <c r="E203" s="12">
        <f t="shared" si="17"/>
        <v>45371</v>
      </c>
      <c r="F203" s="13">
        <f t="shared" si="18"/>
        <v>12</v>
      </c>
      <c r="G203">
        <f t="shared" si="19"/>
        <v>5.8500000000000002E-3</v>
      </c>
    </row>
    <row r="204" spans="1:7" ht="15">
      <c r="A204" s="1">
        <v>45358</v>
      </c>
      <c r="B204">
        <v>19693.52</v>
      </c>
      <c r="C204" t="str">
        <f t="shared" si="15"/>
        <v>Optiondata_20240307</v>
      </c>
      <c r="D204">
        <f t="shared" si="16"/>
        <v>202403</v>
      </c>
      <c r="E204" s="12">
        <f t="shared" si="17"/>
        <v>45371</v>
      </c>
      <c r="F204" s="13">
        <f t="shared" si="18"/>
        <v>13</v>
      </c>
      <c r="G204">
        <f t="shared" si="19"/>
        <v>5.8500000000000002E-3</v>
      </c>
    </row>
    <row r="205" spans="1:7" ht="15">
      <c r="A205" s="1">
        <v>45357</v>
      </c>
      <c r="B205">
        <v>19499.45</v>
      </c>
      <c r="C205" t="str">
        <f t="shared" si="15"/>
        <v>Optiondata_20240306</v>
      </c>
      <c r="D205">
        <f t="shared" si="16"/>
        <v>202403</v>
      </c>
      <c r="E205" s="12">
        <f t="shared" si="17"/>
        <v>45371</v>
      </c>
      <c r="F205" s="13">
        <f t="shared" si="18"/>
        <v>14</v>
      </c>
      <c r="G205">
        <f t="shared" si="19"/>
        <v>5.8500000000000002E-3</v>
      </c>
    </row>
    <row r="206" spans="1:7" ht="15">
      <c r="A206" s="1">
        <v>45356</v>
      </c>
      <c r="B206">
        <v>19386.919999999998</v>
      </c>
      <c r="C206" t="str">
        <f t="shared" si="15"/>
        <v>Optiondata_20240305</v>
      </c>
      <c r="D206">
        <f t="shared" si="16"/>
        <v>202403</v>
      </c>
      <c r="E206" s="12">
        <f t="shared" si="17"/>
        <v>45371</v>
      </c>
      <c r="F206" s="13">
        <f t="shared" si="18"/>
        <v>15</v>
      </c>
      <c r="G206">
        <f t="shared" si="19"/>
        <v>5.8500000000000002E-3</v>
      </c>
    </row>
    <row r="207" spans="1:7" ht="15">
      <c r="A207" s="1">
        <v>45355</v>
      </c>
      <c r="B207">
        <v>19305.310000000001</v>
      </c>
      <c r="C207" t="str">
        <f t="shared" si="15"/>
        <v>Optiondata_20240304</v>
      </c>
      <c r="D207">
        <f t="shared" si="16"/>
        <v>202403</v>
      </c>
      <c r="E207" s="12">
        <f t="shared" si="17"/>
        <v>45371</v>
      </c>
      <c r="F207" s="13">
        <f t="shared" si="18"/>
        <v>16</v>
      </c>
      <c r="G207">
        <f t="shared" si="19"/>
        <v>5.8500000000000002E-3</v>
      </c>
    </row>
    <row r="208" spans="1:7" ht="15">
      <c r="A208" s="1">
        <v>45352</v>
      </c>
      <c r="B208">
        <v>18935.93</v>
      </c>
      <c r="C208" t="str">
        <f t="shared" si="15"/>
        <v>Optiondata_20240301</v>
      </c>
      <c r="D208">
        <f t="shared" si="16"/>
        <v>202403</v>
      </c>
      <c r="E208" s="12">
        <f t="shared" si="17"/>
        <v>45371</v>
      </c>
      <c r="F208" s="13">
        <f t="shared" si="18"/>
        <v>19</v>
      </c>
      <c r="G208">
        <f t="shared" si="19"/>
        <v>5.8500000000000002E-3</v>
      </c>
    </row>
    <row r="209" spans="1:7" ht="15">
      <c r="A209" s="1">
        <v>45351</v>
      </c>
      <c r="B209">
        <v>18966.77</v>
      </c>
      <c r="C209" t="str">
        <f t="shared" si="15"/>
        <v>Optiondata_20240229</v>
      </c>
      <c r="D209">
        <f t="shared" si="16"/>
        <v>202403</v>
      </c>
      <c r="E209" s="12">
        <f t="shared" si="17"/>
        <v>45371</v>
      </c>
      <c r="F209" s="13">
        <f t="shared" si="18"/>
        <v>20</v>
      </c>
      <c r="G209">
        <f t="shared" si="19"/>
        <v>5.8500000000000002E-3</v>
      </c>
    </row>
    <row r="210" spans="1:7" ht="15">
      <c r="A210" s="1">
        <v>45349</v>
      </c>
      <c r="B210">
        <v>18854.41</v>
      </c>
      <c r="C210" t="str">
        <f t="shared" si="15"/>
        <v>Optiondata_20240227</v>
      </c>
      <c r="D210">
        <f t="shared" si="16"/>
        <v>202403</v>
      </c>
      <c r="E210" s="12">
        <f t="shared" si="17"/>
        <v>45371</v>
      </c>
      <c r="F210" s="13">
        <f t="shared" si="18"/>
        <v>22</v>
      </c>
      <c r="G210">
        <f t="shared" si="19"/>
        <v>5.8500000000000002E-3</v>
      </c>
    </row>
    <row r="211" spans="1:7" ht="15">
      <c r="A211" s="1">
        <v>45348</v>
      </c>
      <c r="B211">
        <v>18948.05</v>
      </c>
      <c r="C211" t="str">
        <f t="shared" si="15"/>
        <v>Optiondata_20240226</v>
      </c>
      <c r="D211">
        <f t="shared" si="16"/>
        <v>202403</v>
      </c>
      <c r="E211" s="12">
        <f t="shared" si="17"/>
        <v>45371</v>
      </c>
      <c r="F211" s="13">
        <f t="shared" si="18"/>
        <v>23</v>
      </c>
      <c r="G211">
        <f t="shared" si="19"/>
        <v>5.8500000000000002E-3</v>
      </c>
    </row>
    <row r="212" spans="1:7" ht="15">
      <c r="A212" s="1">
        <v>45345</v>
      </c>
      <c r="B212">
        <v>18889.189999999999</v>
      </c>
      <c r="C212" t="str">
        <f t="shared" si="15"/>
        <v>Optiondata_20240223</v>
      </c>
      <c r="D212">
        <f t="shared" si="16"/>
        <v>202403</v>
      </c>
      <c r="E212" s="12">
        <f t="shared" si="17"/>
        <v>45371</v>
      </c>
      <c r="F212" s="13">
        <f t="shared" si="18"/>
        <v>26</v>
      </c>
      <c r="G212">
        <f t="shared" si="19"/>
        <v>5.8500000000000002E-3</v>
      </c>
    </row>
    <row r="213" spans="1:7" ht="15">
      <c r="A213" s="1">
        <v>45344</v>
      </c>
      <c r="B213">
        <v>18852.78</v>
      </c>
      <c r="C213" t="str">
        <f t="shared" si="15"/>
        <v>Optiondata_20240222</v>
      </c>
      <c r="D213">
        <f t="shared" si="16"/>
        <v>202403</v>
      </c>
      <c r="E213" s="12">
        <f t="shared" si="17"/>
        <v>45371</v>
      </c>
      <c r="F213" s="13">
        <f t="shared" si="18"/>
        <v>27</v>
      </c>
      <c r="G213">
        <f t="shared" si="19"/>
        <v>5.8500000000000002E-3</v>
      </c>
    </row>
    <row r="214" spans="1:7" ht="15">
      <c r="A214" s="1">
        <v>45343</v>
      </c>
      <c r="B214">
        <v>18676.310000000001</v>
      </c>
      <c r="C214" t="str">
        <f t="shared" si="15"/>
        <v>Optiondata_20240221</v>
      </c>
      <c r="D214">
        <f t="shared" si="16"/>
        <v>202402</v>
      </c>
      <c r="E214" s="12">
        <f t="shared" si="17"/>
        <v>45343</v>
      </c>
      <c r="F214" s="13">
        <f t="shared" si="18"/>
        <v>0</v>
      </c>
      <c r="G214">
        <f t="shared" si="19"/>
        <v>5.8500000000000002E-3</v>
      </c>
    </row>
    <row r="215" spans="1:7" ht="15">
      <c r="A215" s="1">
        <v>45342</v>
      </c>
      <c r="B215">
        <v>18753.16</v>
      </c>
      <c r="C215" t="str">
        <f t="shared" si="15"/>
        <v>Optiondata_20240220</v>
      </c>
      <c r="D215">
        <f t="shared" si="16"/>
        <v>202402</v>
      </c>
      <c r="E215" s="12">
        <f t="shared" si="17"/>
        <v>45343</v>
      </c>
      <c r="F215" s="13">
        <f t="shared" si="18"/>
        <v>1</v>
      </c>
      <c r="G215">
        <f t="shared" si="19"/>
        <v>5.8500000000000002E-3</v>
      </c>
    </row>
    <row r="216" spans="1:7" ht="15">
      <c r="A216" s="1">
        <v>45341</v>
      </c>
      <c r="B216">
        <v>18635.8</v>
      </c>
      <c r="C216" t="str">
        <f t="shared" si="15"/>
        <v>Optiondata_20240219</v>
      </c>
      <c r="D216">
        <f t="shared" si="16"/>
        <v>202402</v>
      </c>
      <c r="E216" s="12">
        <f t="shared" si="17"/>
        <v>45343</v>
      </c>
      <c r="F216" s="13">
        <f t="shared" si="18"/>
        <v>2</v>
      </c>
      <c r="G216">
        <f t="shared" si="19"/>
        <v>5.8500000000000002E-3</v>
      </c>
    </row>
    <row r="217" spans="1:7" ht="15">
      <c r="A217" s="1">
        <v>45338</v>
      </c>
      <c r="B217">
        <v>18607.25</v>
      </c>
      <c r="C217" t="str">
        <f t="shared" si="15"/>
        <v>Optiondata_20240216</v>
      </c>
      <c r="D217">
        <f t="shared" si="16"/>
        <v>202402</v>
      </c>
      <c r="E217" s="12">
        <f t="shared" si="17"/>
        <v>45343</v>
      </c>
      <c r="F217" s="13">
        <f t="shared" si="18"/>
        <v>5</v>
      </c>
      <c r="G217">
        <f t="shared" si="19"/>
        <v>5.8500000000000002E-3</v>
      </c>
    </row>
    <row r="218" spans="1:7" ht="15">
      <c r="A218" s="1">
        <v>45337</v>
      </c>
      <c r="B218">
        <v>18644.57</v>
      </c>
      <c r="C218" t="str">
        <f t="shared" si="15"/>
        <v>Optiondata_20240215</v>
      </c>
      <c r="D218">
        <f t="shared" si="16"/>
        <v>202402</v>
      </c>
      <c r="E218" s="12">
        <f t="shared" si="17"/>
        <v>45343</v>
      </c>
      <c r="F218" s="13">
        <f t="shared" si="18"/>
        <v>6</v>
      </c>
      <c r="G218">
        <f t="shared" si="19"/>
        <v>5.8500000000000002E-3</v>
      </c>
    </row>
    <row r="219" spans="1:7" ht="15">
      <c r="A219" s="1">
        <v>45327</v>
      </c>
      <c r="B219">
        <v>18096.07</v>
      </c>
      <c r="C219" t="str">
        <f t="shared" si="15"/>
        <v>Optiondata_20240205</v>
      </c>
      <c r="D219">
        <f t="shared" si="16"/>
        <v>202402</v>
      </c>
      <c r="E219" s="12">
        <f t="shared" si="17"/>
        <v>45343</v>
      </c>
      <c r="F219" s="13">
        <f t="shared" si="18"/>
        <v>16</v>
      </c>
      <c r="G219">
        <f t="shared" si="19"/>
        <v>5.8500000000000002E-3</v>
      </c>
    </row>
    <row r="220" spans="1:7" ht="15">
      <c r="A220" s="1">
        <v>45324</v>
      </c>
      <c r="B220">
        <v>18059.93</v>
      </c>
      <c r="C220" t="str">
        <f t="shared" si="15"/>
        <v>Optiondata_20240202</v>
      </c>
      <c r="D220">
        <f t="shared" si="16"/>
        <v>202402</v>
      </c>
      <c r="E220" s="12">
        <f t="shared" si="17"/>
        <v>45343</v>
      </c>
      <c r="F220" s="13">
        <f t="shared" si="18"/>
        <v>19</v>
      </c>
      <c r="G220">
        <f t="shared" si="19"/>
        <v>5.8500000000000002E-3</v>
      </c>
    </row>
    <row r="221" spans="1:7" ht="15">
      <c r="A221" s="1">
        <v>45323</v>
      </c>
      <c r="B221">
        <v>17968.11</v>
      </c>
      <c r="C221" t="str">
        <f t="shared" si="15"/>
        <v>Optiondata_20240201</v>
      </c>
      <c r="D221">
        <f t="shared" si="16"/>
        <v>202402</v>
      </c>
      <c r="E221" s="12">
        <f t="shared" si="17"/>
        <v>45343</v>
      </c>
      <c r="F221" s="13">
        <f t="shared" si="18"/>
        <v>20</v>
      </c>
      <c r="G221">
        <f t="shared" si="19"/>
        <v>5.8500000000000002E-3</v>
      </c>
    </row>
    <row r="222" spans="1:7" ht="15">
      <c r="A222" s="1">
        <v>45322</v>
      </c>
      <c r="B222">
        <v>17889.560000000001</v>
      </c>
      <c r="C222" t="str">
        <f t="shared" si="15"/>
        <v>Optiondata_20240131</v>
      </c>
      <c r="D222">
        <f t="shared" si="16"/>
        <v>202402</v>
      </c>
      <c r="E222" s="12">
        <f t="shared" si="17"/>
        <v>45343</v>
      </c>
      <c r="F222" s="13">
        <f t="shared" si="18"/>
        <v>21</v>
      </c>
      <c r="G222">
        <f t="shared" si="19"/>
        <v>5.8500000000000002E-3</v>
      </c>
    </row>
    <row r="223" spans="1:7" ht="15">
      <c r="A223" s="1">
        <v>45321</v>
      </c>
      <c r="B223">
        <v>18034.63</v>
      </c>
      <c r="C223" t="str">
        <f t="shared" si="15"/>
        <v>Optiondata_20240130</v>
      </c>
      <c r="D223">
        <f t="shared" si="16"/>
        <v>202402</v>
      </c>
      <c r="E223" s="12">
        <f t="shared" si="17"/>
        <v>45343</v>
      </c>
      <c r="F223" s="13">
        <f t="shared" si="18"/>
        <v>22</v>
      </c>
      <c r="G223">
        <f t="shared" si="19"/>
        <v>5.8500000000000002E-3</v>
      </c>
    </row>
    <row r="224" spans="1:7" ht="15">
      <c r="A224" s="1">
        <v>45320</v>
      </c>
      <c r="B224">
        <v>18119.63</v>
      </c>
      <c r="C224" t="str">
        <f t="shared" si="15"/>
        <v>Optiondata_20240129</v>
      </c>
      <c r="D224">
        <f t="shared" si="16"/>
        <v>202402</v>
      </c>
      <c r="E224" s="12">
        <f t="shared" si="17"/>
        <v>45343</v>
      </c>
      <c r="F224" s="13">
        <f t="shared" si="18"/>
        <v>23</v>
      </c>
      <c r="G224">
        <f t="shared" si="19"/>
        <v>5.8500000000000002E-3</v>
      </c>
    </row>
    <row r="225" spans="1:7" ht="15">
      <c r="A225" s="1">
        <v>45317</v>
      </c>
      <c r="B225">
        <v>17995.03</v>
      </c>
      <c r="C225" t="str">
        <f t="shared" si="15"/>
        <v>Optiondata_20240126</v>
      </c>
      <c r="D225">
        <f t="shared" si="16"/>
        <v>202402</v>
      </c>
      <c r="E225" s="12">
        <f t="shared" si="17"/>
        <v>45343</v>
      </c>
      <c r="F225" s="13">
        <f t="shared" si="18"/>
        <v>26</v>
      </c>
      <c r="G225">
        <f t="shared" si="19"/>
        <v>5.8500000000000002E-3</v>
      </c>
    </row>
    <row r="226" spans="1:7" ht="15">
      <c r="A226" s="1">
        <v>45316</v>
      </c>
      <c r="B226">
        <v>18002.62</v>
      </c>
      <c r="C226" t="str">
        <f t="shared" si="15"/>
        <v>Optiondata_20240125</v>
      </c>
      <c r="D226">
        <f t="shared" si="16"/>
        <v>202402</v>
      </c>
      <c r="E226" s="12">
        <f t="shared" si="17"/>
        <v>45343</v>
      </c>
      <c r="F226" s="13">
        <f t="shared" si="18"/>
        <v>27</v>
      </c>
      <c r="G226">
        <f t="shared" si="19"/>
        <v>5.8500000000000002E-3</v>
      </c>
    </row>
    <row r="227" spans="1:7" ht="15">
      <c r="A227" s="1">
        <v>45315</v>
      </c>
      <c r="B227">
        <v>17875.830000000002</v>
      </c>
      <c r="C227" t="str">
        <f t="shared" si="15"/>
        <v>Optiondata_20240124</v>
      </c>
      <c r="D227">
        <f t="shared" si="16"/>
        <v>202402</v>
      </c>
      <c r="E227" s="12">
        <f t="shared" si="17"/>
        <v>45343</v>
      </c>
      <c r="F227" s="13">
        <f t="shared" si="18"/>
        <v>28</v>
      </c>
      <c r="G227">
        <f t="shared" si="19"/>
        <v>5.8500000000000002E-3</v>
      </c>
    </row>
    <row r="228" spans="1:7" ht="15">
      <c r="A228" s="1">
        <v>45314</v>
      </c>
      <c r="B228">
        <v>17874.59</v>
      </c>
      <c r="C228" t="str">
        <f t="shared" si="15"/>
        <v>Optiondata_20240123</v>
      </c>
      <c r="D228">
        <f t="shared" si="16"/>
        <v>202402</v>
      </c>
      <c r="E228" s="12">
        <f t="shared" si="17"/>
        <v>45343</v>
      </c>
      <c r="F228" s="13">
        <f t="shared" si="18"/>
        <v>29</v>
      </c>
      <c r="G228">
        <f t="shared" si="19"/>
        <v>5.8500000000000002E-3</v>
      </c>
    </row>
    <row r="229" spans="1:7" ht="15">
      <c r="A229" s="1">
        <v>45313</v>
      </c>
      <c r="B229">
        <v>17815.099999999999</v>
      </c>
      <c r="C229" t="str">
        <f t="shared" si="15"/>
        <v>Optiondata_20240122</v>
      </c>
      <c r="D229">
        <f t="shared" si="16"/>
        <v>202402</v>
      </c>
      <c r="E229" s="12">
        <f t="shared" si="17"/>
        <v>45343</v>
      </c>
      <c r="F229" s="13">
        <f t="shared" si="18"/>
        <v>30</v>
      </c>
      <c r="G229">
        <f t="shared" si="19"/>
        <v>5.8500000000000002E-3</v>
      </c>
    </row>
    <row r="230" spans="1:7" ht="15">
      <c r="A230" s="1">
        <v>45310</v>
      </c>
      <c r="B230">
        <v>17681.52</v>
      </c>
      <c r="C230" t="str">
        <f t="shared" si="15"/>
        <v>Optiondata_20240119</v>
      </c>
      <c r="D230">
        <f t="shared" si="16"/>
        <v>202402</v>
      </c>
      <c r="E230" s="12">
        <f t="shared" si="17"/>
        <v>45343</v>
      </c>
      <c r="F230" s="13">
        <f t="shared" si="18"/>
        <v>33</v>
      </c>
      <c r="G230">
        <f t="shared" si="19"/>
        <v>5.8500000000000002E-3</v>
      </c>
    </row>
    <row r="231" spans="1:7" ht="15">
      <c r="A231" s="1">
        <v>45309</v>
      </c>
      <c r="B231">
        <v>17227.79</v>
      </c>
      <c r="C231" t="str">
        <f t="shared" si="15"/>
        <v>Optiondata_20240118</v>
      </c>
      <c r="D231">
        <f t="shared" si="16"/>
        <v>202402</v>
      </c>
      <c r="E231" s="12">
        <f t="shared" si="17"/>
        <v>45343</v>
      </c>
      <c r="F231" s="13">
        <f t="shared" si="18"/>
        <v>34</v>
      </c>
      <c r="G231">
        <f t="shared" si="19"/>
        <v>5.8500000000000002E-3</v>
      </c>
    </row>
    <row r="232" spans="1:7" ht="15">
      <c r="A232" s="1">
        <v>45308</v>
      </c>
      <c r="B232">
        <v>17161.79</v>
      </c>
      <c r="C232" t="str">
        <f t="shared" si="15"/>
        <v>Optiondata_20240117</v>
      </c>
      <c r="D232">
        <f t="shared" si="16"/>
        <v>202401</v>
      </c>
      <c r="E232" s="12">
        <f t="shared" si="17"/>
        <v>45308</v>
      </c>
      <c r="F232" s="13">
        <f t="shared" si="18"/>
        <v>0</v>
      </c>
      <c r="G232">
        <f t="shared" si="19"/>
        <v>5.8500000000000002E-3</v>
      </c>
    </row>
    <row r="233" spans="1:7" ht="15">
      <c r="A233" s="1">
        <v>45307</v>
      </c>
      <c r="B233">
        <v>17346.87</v>
      </c>
      <c r="C233" t="str">
        <f t="shared" si="15"/>
        <v>Optiondata_20240116</v>
      </c>
      <c r="D233">
        <f t="shared" si="16"/>
        <v>202401</v>
      </c>
      <c r="E233" s="12">
        <f t="shared" si="17"/>
        <v>45308</v>
      </c>
      <c r="F233" s="13">
        <f t="shared" si="18"/>
        <v>1</v>
      </c>
      <c r="G233">
        <f t="shared" si="19"/>
        <v>5.8500000000000002E-3</v>
      </c>
    </row>
    <row r="234" spans="1:7" ht="15">
      <c r="A234" s="1">
        <v>45306</v>
      </c>
      <c r="B234">
        <v>17546.82</v>
      </c>
      <c r="C234" t="str">
        <f t="shared" si="15"/>
        <v>Optiondata_20240115</v>
      </c>
      <c r="D234">
        <f t="shared" si="16"/>
        <v>202401</v>
      </c>
      <c r="E234" s="12">
        <f t="shared" si="17"/>
        <v>45308</v>
      </c>
      <c r="F234" s="13">
        <f t="shared" si="18"/>
        <v>2</v>
      </c>
      <c r="G234">
        <f t="shared" si="19"/>
        <v>5.8500000000000002E-3</v>
      </c>
    </row>
    <row r="235" spans="1:7" ht="15">
      <c r="A235" s="1">
        <v>45303</v>
      </c>
      <c r="B235">
        <v>17512.830000000002</v>
      </c>
      <c r="C235" t="str">
        <f t="shared" si="15"/>
        <v>Optiondata_20240112</v>
      </c>
      <c r="D235">
        <f t="shared" si="16"/>
        <v>202401</v>
      </c>
      <c r="E235" s="12">
        <f t="shared" si="17"/>
        <v>45308</v>
      </c>
      <c r="F235" s="13">
        <f t="shared" si="18"/>
        <v>5</v>
      </c>
      <c r="G235">
        <f t="shared" si="19"/>
        <v>5.8500000000000002E-3</v>
      </c>
    </row>
    <row r="236" spans="1:7" ht="15">
      <c r="A236" s="1">
        <v>45302</v>
      </c>
      <c r="B236">
        <v>17545.32</v>
      </c>
      <c r="C236" t="str">
        <f t="shared" si="15"/>
        <v>Optiondata_20240111</v>
      </c>
      <c r="D236">
        <f t="shared" si="16"/>
        <v>202401</v>
      </c>
      <c r="E236" s="12">
        <f t="shared" si="17"/>
        <v>45308</v>
      </c>
      <c r="F236" s="13">
        <f t="shared" si="18"/>
        <v>6</v>
      </c>
      <c r="G236">
        <f t="shared" si="19"/>
        <v>5.8500000000000002E-3</v>
      </c>
    </row>
    <row r="237" spans="1:7" ht="15">
      <c r="A237" s="1">
        <v>45301</v>
      </c>
      <c r="B237">
        <v>17465.63</v>
      </c>
      <c r="C237" t="str">
        <f t="shared" si="15"/>
        <v>Optiondata_20240110</v>
      </c>
      <c r="D237">
        <f t="shared" si="16"/>
        <v>202401</v>
      </c>
      <c r="E237" s="12">
        <f t="shared" si="17"/>
        <v>45308</v>
      </c>
      <c r="F237" s="13">
        <f t="shared" si="18"/>
        <v>7</v>
      </c>
      <c r="G237">
        <f t="shared" si="19"/>
        <v>5.8500000000000002E-3</v>
      </c>
    </row>
    <row r="238" spans="1:7" ht="15">
      <c r="A238" s="1">
        <v>45300</v>
      </c>
      <c r="B238">
        <v>17535.490000000002</v>
      </c>
      <c r="C238" t="str">
        <f t="shared" si="15"/>
        <v>Optiondata_20240109</v>
      </c>
      <c r="D238">
        <f t="shared" si="16"/>
        <v>202401</v>
      </c>
      <c r="E238" s="12">
        <f t="shared" si="17"/>
        <v>45308</v>
      </c>
      <c r="F238" s="13">
        <f t="shared" si="18"/>
        <v>8</v>
      </c>
      <c r="G238">
        <f t="shared" si="19"/>
        <v>5.8500000000000002E-3</v>
      </c>
    </row>
    <row r="239" spans="1:7" ht="15">
      <c r="A239" s="1">
        <v>45299</v>
      </c>
      <c r="B239">
        <v>17572.66</v>
      </c>
      <c r="C239" t="str">
        <f t="shared" si="15"/>
        <v>Optiondata_20240108</v>
      </c>
      <c r="D239">
        <f t="shared" si="16"/>
        <v>202401</v>
      </c>
      <c r="E239" s="12">
        <f t="shared" si="17"/>
        <v>45308</v>
      </c>
      <c r="F239" s="13">
        <f t="shared" si="18"/>
        <v>9</v>
      </c>
      <c r="G239">
        <f t="shared" si="19"/>
        <v>5.8500000000000002E-3</v>
      </c>
    </row>
    <row r="240" spans="1:7" ht="15">
      <c r="A240" s="1">
        <v>45296</v>
      </c>
      <c r="B240">
        <v>17519.14</v>
      </c>
      <c r="C240" t="str">
        <f t="shared" si="15"/>
        <v>Optiondata_20240105</v>
      </c>
      <c r="D240">
        <f t="shared" si="16"/>
        <v>202401</v>
      </c>
      <c r="E240" s="12">
        <f t="shared" si="17"/>
        <v>45308</v>
      </c>
      <c r="F240" s="13">
        <f t="shared" si="18"/>
        <v>12</v>
      </c>
      <c r="G240">
        <f t="shared" si="19"/>
        <v>5.8500000000000002E-3</v>
      </c>
    </row>
    <row r="241" spans="1:7" ht="15">
      <c r="A241" s="1">
        <v>45295</v>
      </c>
      <c r="B241">
        <v>17549.650000000001</v>
      </c>
      <c r="C241" t="str">
        <f t="shared" si="15"/>
        <v>Optiondata_20240104</v>
      </c>
      <c r="D241">
        <f t="shared" si="16"/>
        <v>202401</v>
      </c>
      <c r="E241" s="12">
        <f t="shared" si="17"/>
        <v>45308</v>
      </c>
      <c r="F241" s="13">
        <f t="shared" si="18"/>
        <v>13</v>
      </c>
      <c r="G241">
        <f t="shared" si="19"/>
        <v>5.8500000000000002E-3</v>
      </c>
    </row>
    <row r="242" spans="1:7" ht="15">
      <c r="A242" s="1">
        <v>45294</v>
      </c>
      <c r="B242">
        <v>17559.310000000001</v>
      </c>
      <c r="C242" t="str">
        <f t="shared" si="15"/>
        <v>Optiondata_20240103</v>
      </c>
      <c r="D242">
        <f t="shared" si="16"/>
        <v>202401</v>
      </c>
      <c r="E242" s="12">
        <f t="shared" si="17"/>
        <v>45308</v>
      </c>
      <c r="F242" s="13">
        <f t="shared" si="18"/>
        <v>14</v>
      </c>
      <c r="G242">
        <f t="shared" si="19"/>
        <v>5.8500000000000002E-3</v>
      </c>
    </row>
    <row r="243" spans="1:7" ht="15">
      <c r="A243" s="1">
        <v>45293</v>
      </c>
      <c r="B243">
        <v>17853.759999999998</v>
      </c>
      <c r="C243" t="str">
        <f t="shared" si="15"/>
        <v>Optiondata_20240102</v>
      </c>
      <c r="D243">
        <f t="shared" si="16"/>
        <v>202401</v>
      </c>
      <c r="E243" s="12">
        <f t="shared" si="17"/>
        <v>45308</v>
      </c>
      <c r="F243" s="13">
        <f t="shared" si="18"/>
        <v>15</v>
      </c>
      <c r="G243">
        <f t="shared" si="19"/>
        <v>5.8500000000000002E-3</v>
      </c>
    </row>
    <row r="244" spans="1:7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5A8F-67A6-4856-9979-CACA728EF86F}">
  <dimension ref="A1:C7"/>
  <sheetViews>
    <sheetView tabSelected="1" workbookViewId="0"/>
  </sheetViews>
  <sheetFormatPr defaultRowHeight="15"/>
  <cols>
    <col min="1" max="1" width="14.875" bestFit="1" customWidth="1"/>
    <col min="2" max="2" width="21.25" bestFit="1" customWidth="1"/>
  </cols>
  <sheetData>
    <row r="1" spans="1:3">
      <c r="A1" s="2" t="s">
        <v>7</v>
      </c>
      <c r="B1" s="3" t="s">
        <v>8</v>
      </c>
      <c r="C1" s="4"/>
    </row>
    <row r="2" spans="1:3">
      <c r="A2" s="5">
        <v>202401</v>
      </c>
      <c r="B2" s="7">
        <v>45308</v>
      </c>
      <c r="C2" s="8"/>
    </row>
    <row r="3" spans="1:3">
      <c r="A3" s="5">
        <v>202402</v>
      </c>
      <c r="B3" s="7">
        <v>45343</v>
      </c>
      <c r="C3" s="8"/>
    </row>
    <row r="4" spans="1:3">
      <c r="A4" s="5">
        <v>202403</v>
      </c>
      <c r="B4" s="7">
        <v>45371</v>
      </c>
      <c r="C4" s="8"/>
    </row>
    <row r="5" spans="1:3">
      <c r="A5" s="5" t="s">
        <v>9</v>
      </c>
      <c r="B5" s="6" t="s">
        <v>9</v>
      </c>
      <c r="C5" s="8"/>
    </row>
    <row r="6" spans="1:3">
      <c r="A6" s="5">
        <v>202501</v>
      </c>
      <c r="B6" s="7">
        <v>45672</v>
      </c>
      <c r="C6" s="8"/>
    </row>
    <row r="7" spans="1:3">
      <c r="A7" s="9"/>
      <c r="B7" s="10"/>
      <c r="C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2026-04-08T07:16:35Z</dcterms:created>
  <dcterms:modified xsi:type="dcterms:W3CDTF">2026-04-08T08:22:51Z</dcterms:modified>
  <cp:category/>
  <cp:contentStatus/>
</cp:coreProperties>
</file>